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5" windowWidth="28665" windowHeight="14145"/>
  </bookViews>
  <sheets>
    <sheet name="All data" sheetId="1" r:id="rId1"/>
    <sheet name="CGS" sheetId="6" r:id="rId2"/>
    <sheet name="Pigs" sheetId="7" r:id="rId3"/>
    <sheet name="dairy" sheetId="4" r:id="rId4"/>
    <sheet name="meat cross walk" sheetId="5" r:id="rId5"/>
    <sheet name="Old beef calcs " sheetId="3" r:id="rId6"/>
    <sheet name="Old pig calcs" sheetId="2" r:id="rId7"/>
  </sheets>
  <calcPr calcId="125725" concurrentCalc="0"/>
</workbook>
</file>

<file path=xl/calcChain.xml><?xml version="1.0" encoding="utf-8"?>
<calcChain xmlns="http://schemas.openxmlformats.org/spreadsheetml/2006/main">
  <c r="B22" i="6"/>
  <c r="C42" i="7"/>
  <c r="C37"/>
  <c r="C32"/>
  <c r="B32"/>
  <c r="C16"/>
  <c r="C28"/>
  <c r="C33"/>
  <c r="D40"/>
  <c r="B16"/>
  <c r="B28"/>
  <c r="B33"/>
  <c r="C40"/>
  <c r="D39"/>
  <c r="C39"/>
  <c r="D38"/>
  <c r="C38"/>
  <c r="D37"/>
  <c r="B29"/>
  <c r="F13"/>
  <c r="F15"/>
  <c r="F18"/>
  <c r="F19"/>
  <c r="B19"/>
  <c r="B20"/>
  <c r="B21"/>
  <c r="C29"/>
  <c r="C10"/>
  <c r="B10"/>
  <c r="G13"/>
  <c r="G15"/>
  <c r="G18"/>
  <c r="G19"/>
  <c r="C5"/>
  <c r="C8"/>
  <c r="C9"/>
  <c r="B5"/>
  <c r="B8"/>
  <c r="B9"/>
  <c r="C21"/>
  <c r="C19"/>
  <c r="C20"/>
  <c r="C34" i="2"/>
  <c r="B34"/>
  <c r="F31"/>
  <c r="F25"/>
  <c r="B10"/>
  <c r="J3" i="1"/>
  <c r="C22" i="6"/>
  <c r="D22"/>
  <c r="P5"/>
  <c r="P6"/>
  <c r="Q6"/>
  <c r="R6"/>
  <c r="S6"/>
  <c r="T6"/>
  <c r="U6"/>
  <c r="O6"/>
  <c r="N6"/>
  <c r="L6"/>
  <c r="T5"/>
  <c r="O5"/>
  <c r="N5"/>
  <c r="Q4"/>
  <c r="N4"/>
  <c r="O4"/>
  <c r="F7"/>
  <c r="G7"/>
  <c r="F8"/>
  <c r="G8"/>
  <c r="F6"/>
  <c r="G6"/>
  <c r="C24"/>
  <c r="D24"/>
  <c r="C23"/>
  <c r="D23"/>
  <c r="C21"/>
  <c r="D21"/>
  <c r="C20"/>
  <c r="D20"/>
  <c r="H7"/>
  <c r="H8"/>
  <c r="H6"/>
  <c r="E10"/>
  <c r="J4" i="1"/>
  <c r="C6" i="4"/>
  <c r="C3"/>
  <c r="D3"/>
  <c r="C4"/>
  <c r="D4"/>
  <c r="C5"/>
  <c r="D5"/>
  <c r="C2"/>
  <c r="D2"/>
  <c r="G15" i="2"/>
  <c r="F15"/>
  <c r="G20"/>
  <c r="F20"/>
  <c r="G17"/>
  <c r="G21"/>
  <c r="F17"/>
  <c r="F21"/>
  <c r="C22"/>
  <c r="B22"/>
  <c r="C11"/>
  <c r="B11"/>
  <c r="C17"/>
  <c r="B17"/>
  <c r="C6"/>
  <c r="B6"/>
  <c r="C20"/>
  <c r="B20"/>
  <c r="C21"/>
  <c r="B21"/>
  <c r="J5" i="1"/>
  <c r="C30" i="2"/>
  <c r="C31"/>
  <c r="B30"/>
  <c r="B31"/>
  <c r="C9"/>
  <c r="B9"/>
  <c r="C10"/>
  <c r="G6" i="3"/>
  <c r="E8"/>
  <c r="E10"/>
  <c r="H6"/>
  <c r="I6"/>
  <c r="J6"/>
  <c r="D43"/>
  <c r="C34"/>
  <c r="D34"/>
  <c r="E34"/>
  <c r="F34"/>
  <c r="C33"/>
  <c r="D33"/>
  <c r="E33"/>
  <c r="F33"/>
  <c r="D42"/>
  <c r="G5"/>
  <c r="H5"/>
  <c r="I5"/>
  <c r="J5"/>
  <c r="C32"/>
  <c r="D32"/>
  <c r="E32"/>
  <c r="F32"/>
  <c r="D40"/>
  <c r="G4"/>
  <c r="H4"/>
  <c r="I4"/>
  <c r="J4"/>
  <c r="C31"/>
  <c r="D31"/>
  <c r="E31"/>
  <c r="F31"/>
  <c r="D41"/>
  <c r="K6"/>
  <c r="C43"/>
  <c r="K4"/>
  <c r="B25"/>
  <c r="C25"/>
  <c r="D25"/>
  <c r="E25"/>
  <c r="F25"/>
  <c r="C41"/>
  <c r="K5"/>
  <c r="B26"/>
  <c r="C26"/>
  <c r="D26"/>
  <c r="E26"/>
  <c r="F26"/>
  <c r="C40"/>
  <c r="C20"/>
  <c r="D20"/>
  <c r="E20"/>
  <c r="F20"/>
  <c r="B46"/>
  <c r="B43"/>
  <c r="C19"/>
  <c r="D19"/>
  <c r="E19"/>
  <c r="F19"/>
  <c r="C17"/>
  <c r="D17"/>
  <c r="E17"/>
  <c r="F17"/>
  <c r="B42"/>
  <c r="B41"/>
  <c r="C16"/>
  <c r="D16"/>
  <c r="E16"/>
  <c r="F16"/>
  <c r="C18"/>
  <c r="D18"/>
  <c r="E18"/>
  <c r="F18"/>
  <c r="B40"/>
  <c r="E9"/>
  <c r="C35" i="2"/>
  <c r="B35"/>
  <c r="D39"/>
  <c r="D41"/>
  <c r="D40"/>
  <c r="D42"/>
  <c r="C40"/>
  <c r="C42"/>
  <c r="C41"/>
  <c r="C39"/>
</calcChain>
</file>

<file path=xl/comments1.xml><?xml version="1.0" encoding="utf-8"?>
<comments xmlns="http://schemas.openxmlformats.org/spreadsheetml/2006/main">
  <authors>
    <author>dinman</author>
  </authors>
  <commentList>
    <comment ref="K6" authorId="0">
      <text>
        <r>
          <rPr>
            <b/>
            <sz val="10"/>
            <color indexed="81"/>
            <rFont val="Tahoma"/>
            <family val="2"/>
          </rPr>
          <t>dinman:</t>
        </r>
        <r>
          <rPr>
            <sz val="10"/>
            <color indexed="81"/>
            <rFont val="Tahoma"/>
            <family val="2"/>
          </rPr>
          <t xml:space="preserve">
Pelletier excludes the production of eggs b/c it was insignificant in the study, so there was no data reported for this</t>
        </r>
      </text>
    </comment>
  </commentList>
</comments>
</file>

<file path=xl/comments2.xml><?xml version="1.0" encoding="utf-8"?>
<comments xmlns="http://schemas.openxmlformats.org/spreadsheetml/2006/main">
  <authors>
    <author>dinman</author>
  </authors>
  <commentList>
    <comment ref="D11" authorId="0">
      <text>
        <r>
          <rPr>
            <b/>
            <sz val="10"/>
            <color indexed="81"/>
            <rFont val="Tahoma"/>
            <family val="2"/>
          </rPr>
          <t>dinman:</t>
        </r>
        <r>
          <rPr>
            <sz val="10"/>
            <color indexed="81"/>
            <rFont val="Tahoma"/>
            <family val="2"/>
          </rPr>
          <t xml:space="preserve">
the 15 cows are considered in the feeding, but not in the kg per kg meat calcs. They are essentially condsidered free in terms of inputs required to produce calves.</t>
        </r>
      </text>
    </comment>
  </commentList>
</comments>
</file>

<file path=xl/comments3.xml><?xml version="1.0" encoding="utf-8"?>
<comments xmlns="http://schemas.openxmlformats.org/spreadsheetml/2006/main">
  <authors>
    <author>dinman</author>
  </authors>
  <commentList>
    <comment ref="D9" authorId="0">
      <text>
        <r>
          <rPr>
            <b/>
            <sz val="10"/>
            <color indexed="81"/>
            <rFont val="Tahoma"/>
            <family val="2"/>
          </rPr>
          <t>dinman:</t>
        </r>
        <r>
          <rPr>
            <sz val="10"/>
            <color indexed="81"/>
            <rFont val="Tahoma"/>
            <family val="2"/>
          </rPr>
          <t xml:space="preserve">
the 15 cows are considered in the feeding, but not in the kg per kg meat calcs. They are essentially condsidered free in terms of inputs required to produce calves.</t>
        </r>
      </text>
    </comment>
    <comment ref="A12" authorId="0">
      <text>
        <r>
          <rPr>
            <b/>
            <sz val="10"/>
            <color indexed="81"/>
            <rFont val="Tahoma"/>
            <family val="2"/>
          </rPr>
          <t>dinman:</t>
        </r>
        <r>
          <rPr>
            <sz val="10"/>
            <color indexed="81"/>
            <rFont val="Tahoma"/>
            <family val="2"/>
          </rPr>
          <t xml:space="preserve">
62.2% of the hoof weight is used as meat
Source: USDA</t>
        </r>
      </text>
    </comment>
  </commentList>
</comments>
</file>

<file path=xl/sharedStrings.xml><?xml version="1.0" encoding="utf-8"?>
<sst xmlns="http://schemas.openxmlformats.org/spreadsheetml/2006/main" count="313" uniqueCount="151">
  <si>
    <t>Animal Class</t>
  </si>
  <si>
    <t>Forage</t>
  </si>
  <si>
    <t>Pasture</t>
  </si>
  <si>
    <t>Maize</t>
  </si>
  <si>
    <t>Wheat</t>
  </si>
  <si>
    <t>Rice</t>
  </si>
  <si>
    <t>CerealGrainNEC</t>
  </si>
  <si>
    <t>Oil Crop</t>
  </si>
  <si>
    <t>Sugar</t>
  </si>
  <si>
    <t>Total kg</t>
  </si>
  <si>
    <t>Embodied inputs</t>
  </si>
  <si>
    <t>Data Source</t>
  </si>
  <si>
    <t>Beef Goat Sheep</t>
  </si>
  <si>
    <t>Dairy</t>
  </si>
  <si>
    <t>Pig</t>
  </si>
  <si>
    <t>Y</t>
  </si>
  <si>
    <t>Poultry</t>
  </si>
  <si>
    <t>kg</t>
  </si>
  <si>
    <t>hay</t>
  </si>
  <si>
    <t>wheat</t>
  </si>
  <si>
    <t>corn grain</t>
  </si>
  <si>
    <t>corn silage</t>
  </si>
  <si>
    <t>corn gluten feed</t>
  </si>
  <si>
    <t>soy</t>
  </si>
  <si>
    <t>pasture</t>
  </si>
  <si>
    <t>Hay</t>
  </si>
  <si>
    <t>100 cows</t>
  </si>
  <si>
    <t>3 bulls</t>
  </si>
  <si>
    <t>15 Heifers</t>
  </si>
  <si>
    <t>mean herd</t>
  </si>
  <si>
    <t>Output</t>
  </si>
  <si>
    <t>tonnes</t>
  </si>
  <si>
    <t>corn</t>
  </si>
  <si>
    <t>corn meal/dgs</t>
  </si>
  <si>
    <t>weight gain (kg)</t>
  </si>
  <si>
    <t>total(kg)</t>
  </si>
  <si>
    <t>calves</t>
  </si>
  <si>
    <t>cows</t>
  </si>
  <si>
    <t>number</t>
  </si>
  <si>
    <t>wt</t>
  </si>
  <si>
    <t>total wt (kg)</t>
  </si>
  <si>
    <t>total live meat</t>
  </si>
  <si>
    <t>kg kg meat</t>
  </si>
  <si>
    <t>Avg yeild</t>
  </si>
  <si>
    <t>kg kg meat(hoof)</t>
  </si>
  <si>
    <t>kg kg meat (hoof)</t>
  </si>
  <si>
    <t>weighted</t>
  </si>
  <si>
    <t xml:space="preserve">FEEDLOT </t>
  </si>
  <si>
    <t>PASTURE FINISH</t>
  </si>
  <si>
    <t>BACKGROUNDING</t>
  </si>
  <si>
    <t>Weighted(1)</t>
  </si>
  <si>
    <t>Weighted (2)</t>
  </si>
  <si>
    <t xml:space="preserve">LCA Feedinput for Bovine Meat Production </t>
  </si>
  <si>
    <t>Feedlot</t>
  </si>
  <si>
    <t>Pasture only</t>
  </si>
  <si>
    <t>Backgrounding</t>
  </si>
  <si>
    <t>Pelletier 2010</t>
  </si>
  <si>
    <t>Pelletier 2008</t>
  </si>
  <si>
    <t>System 1</t>
  </si>
  <si>
    <t>System 2</t>
  </si>
  <si>
    <t>Finishing pigs</t>
  </si>
  <si>
    <t>Output (piglets)/yr</t>
  </si>
  <si>
    <t>mean piglet wt</t>
  </si>
  <si>
    <t>kg kg pig</t>
  </si>
  <si>
    <t>gain kg</t>
  </si>
  <si>
    <t>kg feed/hd/day</t>
  </si>
  <si>
    <t>kg feed / cycle</t>
  </si>
  <si>
    <t>weighting</t>
  </si>
  <si>
    <t>Total feed to meat (on the hoof)</t>
  </si>
  <si>
    <t>Total feed to meat</t>
  </si>
  <si>
    <t>coarse grains</t>
  </si>
  <si>
    <t>small grains</t>
  </si>
  <si>
    <t>oil crops</t>
  </si>
  <si>
    <t>other</t>
  </si>
  <si>
    <t>Pig feed compostion kg kg feed</t>
  </si>
  <si>
    <t>Y &amp; N</t>
  </si>
  <si>
    <t>Lactating sow maintenance</t>
  </si>
  <si>
    <t>Gestating sow maintenance</t>
  </si>
  <si>
    <t>Cycle length (days)</t>
  </si>
  <si>
    <t>cycle length (days)</t>
  </si>
  <si>
    <t>kg/hd/cycle</t>
  </si>
  <si>
    <t>Output (piglets)/cycle</t>
  </si>
  <si>
    <t>kg piglet/cycle</t>
  </si>
  <si>
    <t>Weighted sow maintenance*</t>
  </si>
  <si>
    <t>weighting (days)</t>
  </si>
  <si>
    <t>Base case system input per kg of product</t>
  </si>
  <si>
    <t>component</t>
  </si>
  <si>
    <t>alfalfa silage</t>
  </si>
  <si>
    <t>alfalfa hay</t>
  </si>
  <si>
    <t>other grain</t>
  </si>
  <si>
    <t>sh ton (dm)</t>
  </si>
  <si>
    <t>milk production lbs per cow</t>
  </si>
  <si>
    <t xml:space="preserve">kg </t>
  </si>
  <si>
    <t>kg per kg milk</t>
  </si>
  <si>
    <t>Univ. WI, Zartz</t>
  </si>
  <si>
    <t>Aquatic Animals, Others</t>
  </si>
  <si>
    <t>Aquatic Plants</t>
  </si>
  <si>
    <t>Bovine Meat</t>
  </si>
  <si>
    <t>Butter, Ghee</t>
  </si>
  <si>
    <t>Cephalopods</t>
  </si>
  <si>
    <t>Cheese</t>
  </si>
  <si>
    <t>Cream</t>
  </si>
  <si>
    <t>Crustaceans</t>
  </si>
  <si>
    <t>Demersal Fish</t>
  </si>
  <si>
    <t>Eggs</t>
  </si>
  <si>
    <t>Fats, Animals, Raw</t>
  </si>
  <si>
    <t>Fish, Body Oil</t>
  </si>
  <si>
    <t>Fish, Liver Oil</t>
  </si>
  <si>
    <t>Freshwater Fish</t>
  </si>
  <si>
    <t>Honey</t>
  </si>
  <si>
    <t>Marine Fish, Other</t>
  </si>
  <si>
    <t>Meat, Other</t>
  </si>
  <si>
    <t>Milk - Excluding Butter</t>
  </si>
  <si>
    <t>Milk, Whole</t>
  </si>
  <si>
    <t>Molluscs, Other</t>
  </si>
  <si>
    <t>Mutton &amp; Goat Meat</t>
  </si>
  <si>
    <t>Offals, Edible</t>
  </si>
  <si>
    <t>Pelagic Fish</t>
  </si>
  <si>
    <t>Pigmeat</t>
  </si>
  <si>
    <t>Poultry Meat</t>
  </si>
  <si>
    <t>Whey</t>
  </si>
  <si>
    <t>FAO category</t>
  </si>
  <si>
    <t>FAO code</t>
  </si>
  <si>
    <t>NREL LIC category</t>
  </si>
  <si>
    <t>BGS</t>
  </si>
  <si>
    <t>nc</t>
  </si>
  <si>
    <t>not classified</t>
  </si>
  <si>
    <t>D</t>
  </si>
  <si>
    <t>Po</t>
  </si>
  <si>
    <t>Pg</t>
  </si>
  <si>
    <t>Mass allocation</t>
  </si>
  <si>
    <t>tonnes beef sent to finish</t>
  </si>
  <si>
    <t>tonnes beef slaughtered</t>
  </si>
  <si>
    <t>Total</t>
  </si>
  <si>
    <t>slaughtered ratio</t>
  </si>
  <si>
    <t>finisher ratio</t>
  </si>
  <si>
    <t>Bull</t>
  </si>
  <si>
    <t>Meat on the hoof</t>
  </si>
  <si>
    <t>Phase 1</t>
  </si>
  <si>
    <t>Phase 2</t>
  </si>
  <si>
    <t>forage</t>
  </si>
  <si>
    <t>maize</t>
  </si>
  <si>
    <t>rice</t>
  </si>
  <si>
    <t>cereals nec</t>
  </si>
  <si>
    <t>oil</t>
  </si>
  <si>
    <t>sugar</t>
  </si>
  <si>
    <t>ratio of feed in to meat out</t>
  </si>
  <si>
    <t>allocation</t>
  </si>
  <si>
    <t>weighted total</t>
  </si>
  <si>
    <t>kg kg</t>
  </si>
  <si>
    <t>corn silage (grain eq)</t>
  </si>
</sst>
</file>

<file path=xl/styles.xml><?xml version="1.0" encoding="utf-8"?>
<styleSheet xmlns="http://schemas.openxmlformats.org/spreadsheetml/2006/main">
  <numFmts count="1">
    <numFmt numFmtId="164" formatCode="0.0"/>
  </numFmts>
  <fonts count="8">
    <font>
      <sz val="11"/>
      <color theme="1"/>
      <name val="Calibri"/>
      <family val="2"/>
      <scheme val="minor"/>
    </font>
    <font>
      <sz val="10"/>
      <color indexed="81"/>
      <name val="Tahoma"/>
      <family val="2"/>
    </font>
    <font>
      <b/>
      <sz val="10"/>
      <color indexed="81"/>
      <name val="Tahoma"/>
      <family val="2"/>
    </font>
    <font>
      <b/>
      <sz val="11"/>
      <color theme="1"/>
      <name val="Calibri"/>
      <family val="2"/>
      <scheme val="minor"/>
    </font>
    <font>
      <b/>
      <u/>
      <sz val="11"/>
      <color theme="1"/>
      <name val="Calibri"/>
      <family val="2"/>
      <scheme val="minor"/>
    </font>
    <font>
      <i/>
      <sz val="11"/>
      <color theme="1"/>
      <name val="Calibri"/>
      <family val="2"/>
      <scheme val="minor"/>
    </font>
    <font>
      <b/>
      <sz val="11"/>
      <color rgb="FFFF0000"/>
      <name val="Calibri"/>
      <family val="2"/>
      <scheme val="minor"/>
    </font>
    <font>
      <b/>
      <sz val="11"/>
      <color rgb="FF92D05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51">
    <xf numFmtId="0" fontId="0" fillId="0" borderId="0" xfId="0"/>
    <xf numFmtId="0" fontId="0" fillId="0" borderId="0" xfId="0" applyAlignment="1">
      <alignment horizontal="center"/>
    </xf>
    <xf numFmtId="10" fontId="0" fillId="0" borderId="0" xfId="0" applyNumberFormat="1"/>
    <xf numFmtId="0" fontId="3" fillId="0" borderId="0" xfId="0" applyFont="1"/>
    <xf numFmtId="0" fontId="4" fillId="0" borderId="0" xfId="0" applyFont="1" applyAlignment="1">
      <alignment horizontal="center"/>
    </xf>
    <xf numFmtId="0" fontId="4" fillId="0" borderId="0" xfId="0" applyFont="1"/>
    <xf numFmtId="0" fontId="4" fillId="0" borderId="0" xfId="0" applyFont="1" applyAlignment="1">
      <alignment horizontal="center"/>
    </xf>
    <xf numFmtId="0" fontId="3" fillId="2" borderId="0" xfId="0" applyFont="1" applyFill="1"/>
    <xf numFmtId="0" fontId="0" fillId="2" borderId="0" xfId="0" applyFill="1"/>
    <xf numFmtId="0" fontId="4" fillId="2" borderId="0" xfId="0" applyFont="1" applyFill="1"/>
    <xf numFmtId="0" fontId="0" fillId="0" borderId="1" xfId="0" applyFill="1" applyBorder="1"/>
    <xf numFmtId="0" fontId="0" fillId="0" borderId="2" xfId="0" applyFill="1" applyBorder="1" applyAlignment="1">
      <alignment horizontal="center"/>
    </xf>
    <xf numFmtId="0" fontId="0" fillId="0" borderId="3" xfId="0" applyFill="1" applyBorder="1"/>
    <xf numFmtId="0" fontId="0" fillId="0" borderId="0" xfId="0" applyFill="1" applyBorder="1" applyAlignment="1">
      <alignment horizontal="center"/>
    </xf>
    <xf numFmtId="0" fontId="0" fillId="0" borderId="5" xfId="0" applyFill="1" applyBorder="1" applyAlignment="1">
      <alignment horizontal="center"/>
    </xf>
    <xf numFmtId="0" fontId="3" fillId="0" borderId="8" xfId="0" applyFont="1" applyFill="1" applyBorder="1"/>
    <xf numFmtId="0" fontId="3" fillId="0" borderId="7" xfId="0" applyFont="1" applyFill="1" applyBorder="1"/>
    <xf numFmtId="0" fontId="3" fillId="0" borderId="4" xfId="0" applyFont="1" applyFill="1" applyBorder="1"/>
    <xf numFmtId="0" fontId="3" fillId="0" borderId="5" xfId="0" applyFont="1" applyFill="1" applyBorder="1"/>
    <xf numFmtId="0" fontId="3" fillId="0" borderId="5" xfId="0" applyFont="1" applyFill="1" applyBorder="1" applyAlignment="1">
      <alignment horizontal="center"/>
    </xf>
    <xf numFmtId="0" fontId="3" fillId="0" borderId="6" xfId="0" applyFont="1" applyFill="1" applyBorder="1"/>
    <xf numFmtId="0" fontId="5" fillId="0" borderId="0" xfId="0" applyFont="1" applyFill="1" applyBorder="1"/>
    <xf numFmtId="0" fontId="5" fillId="0" borderId="5" xfId="0" applyFont="1" applyFill="1" applyBorder="1"/>
    <xf numFmtId="164" fontId="0" fillId="0" borderId="0" xfId="0" applyNumberFormat="1" applyFill="1" applyBorder="1"/>
    <xf numFmtId="164" fontId="0" fillId="0" borderId="4" xfId="0" applyNumberFormat="1" applyFill="1" applyBorder="1"/>
    <xf numFmtId="164" fontId="0" fillId="0" borderId="5" xfId="0" applyNumberFormat="1" applyFill="1" applyBorder="1"/>
    <xf numFmtId="9" fontId="0" fillId="0" borderId="0" xfId="0" applyNumberFormat="1"/>
    <xf numFmtId="0" fontId="0" fillId="0" borderId="0" xfId="0" applyFill="1"/>
    <xf numFmtId="0" fontId="0" fillId="3" borderId="0" xfId="0" applyFill="1"/>
    <xf numFmtId="0" fontId="0" fillId="0" borderId="0" xfId="0" applyAlignment="1">
      <alignment horizontal="center"/>
    </xf>
    <xf numFmtId="0" fontId="0" fillId="4" borderId="0" xfId="0" applyFill="1"/>
    <xf numFmtId="0" fontId="4" fillId="4" borderId="0" xfId="0" applyFont="1" applyFill="1"/>
    <xf numFmtId="0" fontId="3" fillId="4" borderId="0" xfId="0" applyFont="1" applyFill="1"/>
    <xf numFmtId="0" fontId="7" fillId="4" borderId="0" xfId="0" applyFont="1" applyFill="1"/>
    <xf numFmtId="0" fontId="6" fillId="4" borderId="0" xfId="0" applyFont="1" applyFill="1"/>
    <xf numFmtId="0" fontId="4" fillId="0" borderId="0" xfId="0" applyFont="1" applyFill="1"/>
    <xf numFmtId="0" fontId="4" fillId="5" borderId="0" xfId="0" applyFont="1" applyFill="1" applyAlignment="1">
      <alignment horizontal="center"/>
    </xf>
    <xf numFmtId="0" fontId="4" fillId="5" borderId="0" xfId="0" applyFont="1" applyFill="1"/>
    <xf numFmtId="0" fontId="0" fillId="5" borderId="0" xfId="0" applyFill="1"/>
    <xf numFmtId="0" fontId="3" fillId="5" borderId="0" xfId="0" applyFont="1" applyFill="1"/>
    <xf numFmtId="0" fontId="3" fillId="6" borderId="0" xfId="0" applyFont="1" applyFill="1"/>
    <xf numFmtId="0" fontId="6" fillId="6" borderId="0" xfId="0" applyFont="1" applyFill="1"/>
    <xf numFmtId="0" fontId="0" fillId="6" borderId="0" xfId="0" applyFill="1"/>
    <xf numFmtId="0" fontId="0" fillId="0" borderId="2" xfId="0" applyFill="1" applyBorder="1" applyAlignment="1">
      <alignment horizontal="center"/>
    </xf>
    <xf numFmtId="0" fontId="0" fillId="4" borderId="0" xfId="0" applyFill="1" applyAlignment="1">
      <alignment horizontal="center"/>
    </xf>
    <xf numFmtId="0" fontId="4" fillId="4" borderId="0" xfId="0" applyFont="1" applyFill="1" applyAlignment="1">
      <alignment horizontal="center"/>
    </xf>
    <xf numFmtId="0" fontId="0" fillId="0" borderId="0" xfId="0" applyAlignment="1">
      <alignment horizontal="center"/>
    </xf>
    <xf numFmtId="0" fontId="0" fillId="3" borderId="0" xfId="0" applyFill="1" applyAlignment="1">
      <alignment horizontal="center"/>
    </xf>
    <xf numFmtId="0" fontId="0" fillId="2" borderId="0" xfId="0" applyFill="1" applyAlignment="1">
      <alignment horizontal="center"/>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57150</xdr:rowOff>
    </xdr:from>
    <xdr:to>
      <xdr:col>7</xdr:col>
      <xdr:colOff>790575</xdr:colOff>
      <xdr:row>1</xdr:row>
      <xdr:rowOff>152400</xdr:rowOff>
    </xdr:to>
    <xdr:sp macro="" textlink="">
      <xdr:nvSpPr>
        <xdr:cNvPr id="2" name="TextBox 1"/>
        <xdr:cNvSpPr txBox="1"/>
      </xdr:nvSpPr>
      <xdr:spPr>
        <a:xfrm>
          <a:off x="0" y="57150"/>
          <a:ext cx="71723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t>Cow-Calf Phase</a:t>
          </a:r>
        </a:p>
      </xdr:txBody>
    </xdr:sp>
    <xdr:clientData/>
  </xdr:twoCellAnchor>
  <xdr:twoCellAnchor>
    <xdr:from>
      <xdr:col>0</xdr:col>
      <xdr:colOff>0</xdr:colOff>
      <xdr:row>16</xdr:row>
      <xdr:rowOff>76200</xdr:rowOff>
    </xdr:from>
    <xdr:to>
      <xdr:col>7</xdr:col>
      <xdr:colOff>781050</xdr:colOff>
      <xdr:row>17</xdr:row>
      <xdr:rowOff>171450</xdr:rowOff>
    </xdr:to>
    <xdr:sp macro="" textlink="">
      <xdr:nvSpPr>
        <xdr:cNvPr id="3" name="TextBox 2"/>
        <xdr:cNvSpPr txBox="1"/>
      </xdr:nvSpPr>
      <xdr:spPr>
        <a:xfrm>
          <a:off x="0" y="3124200"/>
          <a:ext cx="71628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t>Feedlot Phase</a:t>
          </a:r>
        </a:p>
      </xdr:txBody>
    </xdr:sp>
    <xdr:clientData/>
  </xdr:twoCellAnchor>
  <xdr:oneCellAnchor>
    <xdr:from>
      <xdr:col>10</xdr:col>
      <xdr:colOff>0</xdr:colOff>
      <xdr:row>8</xdr:row>
      <xdr:rowOff>123825</xdr:rowOff>
    </xdr:from>
    <xdr:ext cx="7715250" cy="3467100"/>
    <xdr:sp macro="" textlink="">
      <xdr:nvSpPr>
        <xdr:cNvPr id="4" name="TextBox 3"/>
        <xdr:cNvSpPr txBox="1"/>
      </xdr:nvSpPr>
      <xdr:spPr>
        <a:xfrm>
          <a:off x="8429625" y="1647825"/>
          <a:ext cx="7715250" cy="3467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a:t>Allocation of feed is split on a mass basis among the kgs</a:t>
          </a:r>
          <a:r>
            <a:rPr lang="en-US" sz="1100" baseline="0"/>
            <a:t> of beef leaving the system at various stages in the process.</a:t>
          </a:r>
        </a:p>
        <a:p>
          <a:endParaRPr lang="en-US" sz="1100" baseline="0"/>
        </a:p>
        <a:p>
          <a:r>
            <a:rPr lang="en-US" sz="1100" baseline="0"/>
            <a:t>At the cow-calf phase, 15 heifers leave to be slaughtered, they weigh 636 kg each, also one bull leaves each year  and weighs 727 kg. </a:t>
          </a:r>
        </a:p>
        <a:p>
          <a:endParaRPr lang="en-US" sz="1100" baseline="0"/>
        </a:p>
        <a:p>
          <a:r>
            <a:rPr lang="en-US" sz="1100" baseline="0"/>
            <a:t>From the cow calf phase, 75 calves , weighing 216 kg each go on to the feedlot.</a:t>
          </a:r>
        </a:p>
        <a:p>
          <a:endParaRPr lang="en-US" sz="1100" baseline="0"/>
        </a:p>
        <a:p>
          <a:r>
            <a:rPr lang="en-US" sz="1100" baseline="0"/>
            <a:t>At the feedlot, the 75 calves gain 420 kg each and are slaughtered. </a:t>
          </a:r>
        </a:p>
        <a:p>
          <a:endParaRPr lang="en-US" sz="1100" baseline="0"/>
        </a:p>
        <a:p>
          <a:r>
            <a:rPr lang="en-US" sz="1100" baseline="0"/>
            <a:t>On a mass basis  this is 18% from phase one, 82 % from phase two.</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581025</xdr:colOff>
      <xdr:row>0</xdr:row>
      <xdr:rowOff>0</xdr:rowOff>
    </xdr:from>
    <xdr:to>
      <xdr:col>13</xdr:col>
      <xdr:colOff>38100</xdr:colOff>
      <xdr:row>22</xdr:row>
      <xdr:rowOff>66675</xdr:rowOff>
    </xdr:to>
    <xdr:sp macro="" textlink="">
      <xdr:nvSpPr>
        <xdr:cNvPr id="2" name="TextBox 1"/>
        <xdr:cNvSpPr txBox="1"/>
      </xdr:nvSpPr>
      <xdr:spPr>
        <a:xfrm>
          <a:off x="4695825" y="152400"/>
          <a:ext cx="3724275" cy="410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a:p>
        <a:p>
          <a:r>
            <a:rPr lang="en-US" sz="1100"/>
            <a:t>Data are based on a 25-year simulation of several</a:t>
          </a:r>
          <a:r>
            <a:rPr lang="en-US" sz="1100" baseline="0"/>
            <a:t> types of dairy farms in MI.  From Rotz and Zartman 1997.</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19050</xdr:colOff>
      <xdr:row>22</xdr:row>
      <xdr:rowOff>142875</xdr:rowOff>
    </xdr:from>
    <xdr:to>
      <xdr:col>22</xdr:col>
      <xdr:colOff>295275</xdr:colOff>
      <xdr:row>55</xdr:row>
      <xdr:rowOff>57150</xdr:rowOff>
    </xdr:to>
    <xdr:sp macro="" textlink="">
      <xdr:nvSpPr>
        <xdr:cNvPr id="2" name="TextBox 1"/>
        <xdr:cNvSpPr txBox="1"/>
      </xdr:nvSpPr>
      <xdr:spPr>
        <a:xfrm>
          <a:off x="8810625" y="4333875"/>
          <a:ext cx="6981825" cy="6010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Data are from</a:t>
          </a:r>
          <a:r>
            <a:rPr lang="en-US" sz="1100" baseline="0"/>
            <a:t> Tables 1 and 2 (p383). </a:t>
          </a:r>
          <a:r>
            <a:rPr lang="en-US" sz="1100" b="1" i="1" baseline="0"/>
            <a:t>Pelletier, N., R. Pirog, and R. Rasmussen. 2010. Comparative life cycle environmental impacts of three beef production stratagies in the Upper Midwestern United States.  Agricultural Systems 103:380-389.</a:t>
          </a:r>
        </a:p>
        <a:p>
          <a:endParaRPr lang="en-US" sz="1100" baseline="0"/>
        </a:p>
        <a:p>
          <a:r>
            <a:rPr lang="en-US" sz="1100" b="1" baseline="0"/>
            <a:t>Notes on data and assumptions:</a:t>
          </a:r>
        </a:p>
        <a:p>
          <a:r>
            <a:rPr lang="en-US" sz="1100" baseline="0"/>
            <a:t>The LCA takes into account the amount of feed required by an average herd consisting of 100 cows, 15 heifers, and 3 bulls. From this herd  an average annual production of 75 calves  each weighing 216 kg  is  achieved. These calves go on to the next stage along with 15 cows each weighing 636kg. The total amount of "live meat, aka on the hoof" that moves from the cow-calf operation to the finishing stage is 25,740 kg. The next stage is "finishing" , there are three options: feedlot, backgrounding (combination of feedlot and pasture), and pasture only. During the finishing stage 420 kg per animal is gained for the feedlot and backgrounding opterations and 289 kg for the pasture operations.</a:t>
          </a:r>
        </a:p>
        <a:p>
          <a:endParaRPr lang="en-US" sz="1100" baseline="0"/>
        </a:p>
        <a:p>
          <a:r>
            <a:rPr lang="en-US" sz="1100" baseline="0"/>
            <a:t>It is assumed that the average yield per slaughtered bovine is 62.2%, this factor was applied to reach a kg input per kg "meat". The remaining 37.8% is assumed to be waste/co-product material.</a:t>
          </a:r>
        </a:p>
        <a:p>
          <a:endParaRPr lang="en-US" sz="1100" baseline="0"/>
        </a:p>
        <a:p>
          <a:r>
            <a:rPr lang="en-US" sz="1100" baseline="0"/>
            <a:t>Weighted average is applied to the pasture and finishing to represent the average kg of meat through the production chain.</a:t>
          </a:r>
        </a:p>
        <a:p>
          <a:endParaRPr lang="en-US" sz="1100" baseline="0"/>
        </a:p>
        <a:p>
          <a:r>
            <a:rPr lang="en-US" sz="1100" baseline="0"/>
            <a:t>Assumptions: </a:t>
          </a:r>
        </a:p>
        <a:p>
          <a:endParaRPr lang="en-US" sz="1100" baseline="0"/>
        </a:p>
        <a:p>
          <a:r>
            <a:rPr lang="en-US" sz="1100" baseline="0"/>
            <a:t>1 animal = 216 kg (1st phase) + 420 kg (2nd phase) = 636 kg live wt, 395.6 kg meat.</a:t>
          </a:r>
        </a:p>
        <a:p>
          <a:endParaRPr lang="en-US" sz="1100" baseline="0"/>
        </a:p>
        <a:p>
          <a:r>
            <a:rPr lang="en-US" sz="1100" baseline="0"/>
            <a:t>Weighting factors = .34 (1 phase) .66 (2nd phase)- feedlot and backgrounding</a:t>
          </a:r>
          <a:endParaRPr lang="en-US" sz="1100" b="1" i="0" u="sng" strike="noStrike" baseline="0">
            <a:solidFill>
              <a:schemeClr val="dk1"/>
            </a:solidFill>
            <a:latin typeface="+mn-lt"/>
            <a:ea typeface="+mn-ea"/>
            <a:cs typeface="+mn-cs"/>
          </a:endParaRPr>
        </a:p>
        <a:p>
          <a:endParaRPr lang="en-US" sz="1100" baseline="0"/>
        </a:p>
        <a:p>
          <a:r>
            <a:rPr lang="en-US" sz="1100" baseline="0">
              <a:solidFill>
                <a:schemeClr val="dk1"/>
              </a:solidFill>
              <a:latin typeface="+mn-lt"/>
              <a:ea typeface="+mn-ea"/>
              <a:cs typeface="+mn-cs"/>
            </a:rPr>
            <a:t>Weighting factors = .43 (1 phase) .57(2nd phase)- feedlot and backgrounding</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Groupings:</a:t>
          </a:r>
        </a:p>
        <a:p>
          <a:r>
            <a:rPr lang="en-US" sz="1100" baseline="0">
              <a:solidFill>
                <a:schemeClr val="dk1"/>
              </a:solidFill>
              <a:latin typeface="+mn-lt"/>
              <a:ea typeface="+mn-ea"/>
              <a:cs typeface="+mn-cs"/>
            </a:rPr>
            <a:t>Forage = hay, corn silage</a:t>
          </a:r>
        </a:p>
        <a:p>
          <a:r>
            <a:rPr lang="en-US" sz="1100" baseline="0">
              <a:solidFill>
                <a:schemeClr val="dk1"/>
              </a:solidFill>
              <a:latin typeface="+mn-lt"/>
              <a:ea typeface="+mn-ea"/>
              <a:cs typeface="+mn-cs"/>
            </a:rPr>
            <a:t>Pasture = pasture</a:t>
          </a:r>
        </a:p>
        <a:p>
          <a:r>
            <a:rPr lang="en-US" sz="1100" baseline="0">
              <a:solidFill>
                <a:schemeClr val="dk1"/>
              </a:solidFill>
              <a:latin typeface="+mn-lt"/>
              <a:ea typeface="+mn-ea"/>
              <a:cs typeface="+mn-cs"/>
            </a:rPr>
            <a:t>maize = corn, corn gluten feed*, corn meal*</a:t>
          </a:r>
        </a:p>
        <a:p>
          <a:r>
            <a:rPr lang="en-US" sz="1100" baseline="0">
              <a:solidFill>
                <a:schemeClr val="dk1"/>
              </a:solidFill>
              <a:latin typeface="+mn-lt"/>
              <a:ea typeface="+mn-ea"/>
              <a:cs typeface="+mn-cs"/>
            </a:rPr>
            <a:t>oil crop = soy</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 both corn gluten feed and corn meal are coproducts of other processes. I have decided to not include these as "corn" </a:t>
          </a:r>
        </a:p>
        <a:p>
          <a:endParaRPr lang="en-US" sz="1100" baseline="0"/>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66675</xdr:colOff>
      <xdr:row>0</xdr:row>
      <xdr:rowOff>85725</xdr:rowOff>
    </xdr:from>
    <xdr:to>
      <xdr:col>21</xdr:col>
      <xdr:colOff>76200</xdr:colOff>
      <xdr:row>20</xdr:row>
      <xdr:rowOff>152400</xdr:rowOff>
    </xdr:to>
    <xdr:sp macro="" textlink="">
      <xdr:nvSpPr>
        <xdr:cNvPr id="2" name="TextBox 1"/>
        <xdr:cNvSpPr txBox="1"/>
      </xdr:nvSpPr>
      <xdr:spPr>
        <a:xfrm>
          <a:off x="8096250" y="85725"/>
          <a:ext cx="6715125" cy="3876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Data from  Tables  1-5 p 5.  </a:t>
          </a:r>
          <a:r>
            <a:rPr lang="en-US" sz="1100" i="1"/>
            <a:t>Pelletier, N., P.</a:t>
          </a:r>
          <a:r>
            <a:rPr lang="en-US" sz="1100" i="1" baseline="0"/>
            <a:t> Lammers, D. Stender, and R. Pirog. 2010. </a:t>
          </a:r>
          <a:r>
            <a:rPr lang="en-US" sz="1100" i="1" baseline="0" smtClean="0">
              <a:solidFill>
                <a:schemeClr val="dk1"/>
              </a:solidFill>
              <a:latin typeface="+mn-lt"/>
              <a:ea typeface="+mn-ea"/>
              <a:cs typeface="+mn-cs"/>
            </a:rPr>
            <a:t>Life cycle assessment of high- and low-profitability commodity and deep-bedded niche swine production systems in the Upper Midwestern United States. Agricultural Systems. </a:t>
          </a:r>
          <a:r>
            <a:rPr lang="en-US" sz="1100" b="1" i="1" baseline="0" smtClean="0">
              <a:solidFill>
                <a:schemeClr val="dk1"/>
              </a:solidFill>
              <a:latin typeface="+mn-lt"/>
              <a:ea typeface="+mn-ea"/>
              <a:cs typeface="+mn-cs"/>
            </a:rPr>
            <a:t>In-Press.</a:t>
          </a:r>
        </a:p>
        <a:p>
          <a:endParaRPr lang="en-US" sz="1100" b="1" i="1" baseline="0" smtClean="0">
            <a:solidFill>
              <a:schemeClr val="dk1"/>
            </a:solidFill>
            <a:latin typeface="+mn-lt"/>
            <a:ea typeface="+mn-ea"/>
            <a:cs typeface="+mn-cs"/>
          </a:endParaRPr>
        </a:p>
        <a:p>
          <a:r>
            <a:rPr lang="en-US" sz="1100" b="0" i="0" baseline="0" smtClean="0">
              <a:solidFill>
                <a:schemeClr val="dk1"/>
              </a:solidFill>
              <a:latin typeface="+mn-lt"/>
              <a:ea typeface="+mn-ea"/>
              <a:cs typeface="+mn-cs"/>
            </a:rPr>
            <a:t>Assumptions:</a:t>
          </a:r>
        </a:p>
        <a:p>
          <a:r>
            <a:rPr lang="en-US" sz="1100" b="0" i="0" baseline="0" smtClean="0">
              <a:solidFill>
                <a:schemeClr val="dk1"/>
              </a:solidFill>
              <a:latin typeface="+mn-lt"/>
              <a:ea typeface="+mn-ea"/>
              <a:cs typeface="+mn-cs"/>
            </a:rPr>
            <a:t>Weaning takes 21 days</a:t>
          </a:r>
        </a:p>
        <a:p>
          <a:r>
            <a:rPr lang="en-US" sz="1100" b="0" i="0" baseline="0" smtClean="0">
              <a:solidFill>
                <a:schemeClr val="dk1"/>
              </a:solidFill>
              <a:latin typeface="+mn-lt"/>
              <a:ea typeface="+mn-ea"/>
              <a:cs typeface="+mn-cs"/>
            </a:rPr>
            <a:t>Finishing takes  130 days</a:t>
          </a:r>
        </a:p>
        <a:p>
          <a:r>
            <a:rPr lang="en-US" sz="1100" b="0" i="0" baseline="0" smtClean="0">
              <a:solidFill>
                <a:schemeClr val="dk1"/>
              </a:solidFill>
              <a:latin typeface="+mn-lt"/>
              <a:ea typeface="+mn-ea"/>
              <a:cs typeface="+mn-cs"/>
            </a:rPr>
            <a:t>Gestation takes 114 days</a:t>
          </a:r>
        </a:p>
        <a:p>
          <a:endParaRPr lang="en-US" sz="1100" b="0" i="0" baseline="0" smtClean="0">
            <a:solidFill>
              <a:schemeClr val="dk1"/>
            </a:solidFill>
            <a:latin typeface="+mn-lt"/>
            <a:ea typeface="+mn-ea"/>
            <a:cs typeface="+mn-cs"/>
          </a:endParaRPr>
        </a:p>
        <a:p>
          <a:r>
            <a:rPr lang="en-US" sz="1100" b="0" i="0" baseline="0" smtClean="0">
              <a:solidFill>
                <a:schemeClr val="dk1"/>
              </a:solidFill>
              <a:latin typeface="+mn-lt"/>
              <a:ea typeface="+mn-ea"/>
              <a:cs typeface="+mn-cs"/>
            </a:rPr>
            <a:t>*Gestation and Lactation are weighted by  duration</a:t>
          </a:r>
        </a:p>
        <a:p>
          <a:r>
            <a:rPr lang="en-US" sz="1100" b="0" i="0" baseline="0" smtClean="0">
              <a:solidFill>
                <a:schemeClr val="dk1"/>
              </a:solidFill>
              <a:latin typeface="+mn-lt"/>
              <a:ea typeface="+mn-ea"/>
              <a:cs typeface="+mn-cs"/>
            </a:rPr>
            <a:t>The weighted sow maintenance is weighted by animal weight</a:t>
          </a:r>
        </a:p>
        <a:p>
          <a:endParaRPr lang="en-US" sz="1100" b="0" i="0" baseline="0" smtClean="0">
            <a:solidFill>
              <a:schemeClr val="dk1"/>
            </a:solidFill>
            <a:latin typeface="+mn-lt"/>
            <a:ea typeface="+mn-ea"/>
            <a:cs typeface="+mn-cs"/>
          </a:endParaRPr>
        </a:p>
        <a:p>
          <a:r>
            <a:rPr lang="en-US" sz="1100" b="0" i="0" baseline="0" smtClean="0">
              <a:solidFill>
                <a:schemeClr val="dk1"/>
              </a:solidFill>
              <a:latin typeface="+mn-lt"/>
              <a:ea typeface="+mn-ea"/>
              <a:cs typeface="+mn-cs"/>
            </a:rPr>
            <a:t>meat yield (percent of meat per kg on the hoof) 75</a:t>
          </a:r>
        </a:p>
        <a:p>
          <a:endParaRPr lang="en-US" sz="1100" b="0" i="0" baseline="0" smtClean="0">
            <a:solidFill>
              <a:schemeClr val="dk1"/>
            </a:solidFill>
            <a:latin typeface="+mn-lt"/>
            <a:ea typeface="+mn-ea"/>
            <a:cs typeface="+mn-cs"/>
          </a:endParaRPr>
        </a:p>
        <a:p>
          <a:r>
            <a:rPr lang="en-US" sz="1100" b="0" i="0" baseline="0" smtClean="0">
              <a:solidFill>
                <a:schemeClr val="dk1"/>
              </a:solidFill>
              <a:latin typeface="+mn-lt"/>
              <a:ea typeface="+mn-ea"/>
              <a:cs typeface="+mn-cs"/>
            </a:rPr>
            <a:t>System 1 represents a profit maximizing system</a:t>
          </a:r>
        </a:p>
        <a:p>
          <a:r>
            <a:rPr lang="en-US" sz="1100" b="0" i="0" baseline="0" smtClean="0">
              <a:solidFill>
                <a:schemeClr val="dk1"/>
              </a:solidFill>
              <a:latin typeface="+mn-lt"/>
              <a:ea typeface="+mn-ea"/>
              <a:cs typeface="+mn-cs"/>
            </a:rPr>
            <a:t>System 2 represents a more "subsitence" type of operation  (this is Danny's interpretation)</a:t>
          </a:r>
        </a:p>
        <a:p>
          <a:endParaRPr lang="en-US" sz="1100" b="0" i="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L17"/>
  <sheetViews>
    <sheetView tabSelected="1" zoomScale="120" zoomScaleNormal="120" workbookViewId="0">
      <selection activeCell="F11" sqref="F11"/>
    </sheetView>
  </sheetViews>
  <sheetFormatPr defaultRowHeight="15"/>
  <cols>
    <col min="1" max="1" width="15.85546875" bestFit="1" customWidth="1"/>
    <col min="2" max="2" width="16" bestFit="1" customWidth="1"/>
    <col min="3" max="3" width="7.7109375" bestFit="1" customWidth="1"/>
    <col min="4" max="4" width="7.5703125" customWidth="1"/>
    <col min="5" max="5" width="6.85546875" bestFit="1" customWidth="1"/>
    <col min="6" max="6" width="12.85546875" bestFit="1" customWidth="1"/>
    <col min="7" max="7" width="15.140625" bestFit="1" customWidth="1"/>
    <col min="11" max="11" width="16.140625" style="1" bestFit="1" customWidth="1"/>
    <col min="12" max="12" width="18.28515625" bestFit="1" customWidth="1"/>
  </cols>
  <sheetData>
    <row r="1" spans="1:12">
      <c r="A1" s="10"/>
      <c r="B1" s="43" t="s">
        <v>85</v>
      </c>
      <c r="C1" s="43"/>
      <c r="D1" s="43"/>
      <c r="E1" s="43"/>
      <c r="F1" s="43"/>
      <c r="G1" s="43"/>
      <c r="H1" s="43"/>
      <c r="I1" s="43"/>
      <c r="J1" s="43"/>
      <c r="K1" s="11"/>
      <c r="L1" s="12"/>
    </row>
    <row r="2" spans="1:12">
      <c r="A2" s="15" t="s">
        <v>0</v>
      </c>
      <c r="B2" s="17" t="s">
        <v>1</v>
      </c>
      <c r="C2" s="18" t="s">
        <v>2</v>
      </c>
      <c r="D2" s="18" t="s">
        <v>3</v>
      </c>
      <c r="E2" s="18" t="s">
        <v>4</v>
      </c>
      <c r="F2" s="18" t="s">
        <v>5</v>
      </c>
      <c r="G2" s="18" t="s">
        <v>6</v>
      </c>
      <c r="H2" s="18" t="s">
        <v>7</v>
      </c>
      <c r="I2" s="18" t="s">
        <v>8</v>
      </c>
      <c r="J2" s="18" t="s">
        <v>9</v>
      </c>
      <c r="K2" s="19" t="s">
        <v>10</v>
      </c>
      <c r="L2" s="20" t="s">
        <v>11</v>
      </c>
    </row>
    <row r="3" spans="1:12">
      <c r="A3" s="15" t="s">
        <v>12</v>
      </c>
      <c r="B3" s="23">
        <v>61</v>
      </c>
      <c r="C3" s="23">
        <v>49</v>
      </c>
      <c r="D3" s="23">
        <v>264.7</v>
      </c>
      <c r="E3" s="23">
        <v>0.08</v>
      </c>
      <c r="F3" s="23">
        <v>0</v>
      </c>
      <c r="G3" s="23">
        <v>0</v>
      </c>
      <c r="H3" s="23">
        <v>10.7</v>
      </c>
      <c r="I3" s="23">
        <v>0</v>
      </c>
      <c r="J3" s="23">
        <f>SUM(B3:I3)</f>
        <v>385.47999999999996</v>
      </c>
      <c r="K3" s="13" t="s">
        <v>15</v>
      </c>
      <c r="L3" s="21" t="s">
        <v>56</v>
      </c>
    </row>
    <row r="4" spans="1:12">
      <c r="A4" s="15" t="s">
        <v>13</v>
      </c>
      <c r="B4" s="23">
        <v>45.3</v>
      </c>
      <c r="C4" s="23">
        <v>0</v>
      </c>
      <c r="D4" s="23">
        <v>11.9</v>
      </c>
      <c r="E4" s="23">
        <v>0</v>
      </c>
      <c r="F4" s="23">
        <v>0</v>
      </c>
      <c r="G4" s="23">
        <v>19.600000000000001</v>
      </c>
      <c r="H4" s="23">
        <v>0</v>
      </c>
      <c r="I4" s="23">
        <v>0</v>
      </c>
      <c r="J4" s="23">
        <f>SUM(B4:I4)</f>
        <v>76.8</v>
      </c>
      <c r="K4" s="13" t="s">
        <v>15</v>
      </c>
      <c r="L4" s="21" t="s">
        <v>94</v>
      </c>
    </row>
    <row r="5" spans="1:12">
      <c r="A5" s="15" t="s">
        <v>14</v>
      </c>
      <c r="B5" s="23">
        <v>0</v>
      </c>
      <c r="C5" s="23">
        <v>0</v>
      </c>
      <c r="D5" s="23">
        <v>1.17</v>
      </c>
      <c r="E5" s="23">
        <v>1.44</v>
      </c>
      <c r="F5" s="23">
        <v>0</v>
      </c>
      <c r="G5" s="23">
        <v>0.33800000000000002</v>
      </c>
      <c r="H5" s="23">
        <v>0.65500000000000003</v>
      </c>
      <c r="I5" s="23">
        <v>0</v>
      </c>
      <c r="J5" s="23">
        <f>SUM(B5:I5)</f>
        <v>3.6029999999999998</v>
      </c>
      <c r="K5" s="13" t="s">
        <v>15</v>
      </c>
      <c r="L5" s="22" t="s">
        <v>56</v>
      </c>
    </row>
    <row r="6" spans="1:12">
      <c r="A6" s="16" t="s">
        <v>16</v>
      </c>
      <c r="B6" s="24">
        <v>0</v>
      </c>
      <c r="C6" s="25">
        <v>0</v>
      </c>
      <c r="D6" s="25">
        <v>1.4</v>
      </c>
      <c r="E6" s="25">
        <v>0.27</v>
      </c>
      <c r="F6" s="25">
        <v>0</v>
      </c>
      <c r="G6" s="25">
        <v>0</v>
      </c>
      <c r="H6" s="25">
        <v>0.6</v>
      </c>
      <c r="I6" s="25">
        <v>0</v>
      </c>
      <c r="J6" s="25">
        <v>2.42</v>
      </c>
      <c r="K6" s="14" t="s">
        <v>75</v>
      </c>
      <c r="L6" s="22" t="s">
        <v>57</v>
      </c>
    </row>
    <row r="8" spans="1:12">
      <c r="K8"/>
    </row>
    <row r="9" spans="1:12">
      <c r="K9"/>
    </row>
    <row r="10" spans="1:12">
      <c r="K10"/>
    </row>
    <row r="11" spans="1:12">
      <c r="K11"/>
    </row>
    <row r="12" spans="1:12">
      <c r="K12"/>
    </row>
    <row r="13" spans="1:12">
      <c r="K13"/>
    </row>
    <row r="14" spans="1:12">
      <c r="K14"/>
    </row>
    <row r="15" spans="1:12">
      <c r="K15"/>
    </row>
    <row r="16" spans="1:12">
      <c r="K16"/>
    </row>
    <row r="17" spans="11:11">
      <c r="K17"/>
    </row>
  </sheetData>
  <mergeCells count="1">
    <mergeCell ref="B1:J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2:U30"/>
  <sheetViews>
    <sheetView workbookViewId="0">
      <selection activeCell="B21" sqref="B21"/>
    </sheetView>
  </sheetViews>
  <sheetFormatPr defaultRowHeight="15"/>
  <cols>
    <col min="1" max="1" width="24.140625" bestFit="1" customWidth="1"/>
    <col min="4" max="4" width="16.140625" bestFit="1" customWidth="1"/>
    <col min="5" max="5" width="11.7109375" bestFit="1" customWidth="1"/>
    <col min="7" max="7" width="16.28515625" bestFit="1" customWidth="1"/>
    <col min="8" max="8" width="12.42578125" bestFit="1" customWidth="1"/>
    <col min="11" max="11" width="16.42578125" bestFit="1" customWidth="1"/>
    <col min="19" max="19" width="10.85546875" bestFit="1" customWidth="1"/>
  </cols>
  <sheetData>
    <row r="2" spans="1:21">
      <c r="N2" s="46" t="s">
        <v>146</v>
      </c>
      <c r="O2" s="46"/>
      <c r="P2" s="46"/>
      <c r="Q2" s="46"/>
      <c r="R2" s="46"/>
      <c r="S2" s="46"/>
      <c r="T2" s="46"/>
      <c r="U2" s="46"/>
    </row>
    <row r="3" spans="1:21">
      <c r="A3" s="30"/>
      <c r="B3" s="44" t="s">
        <v>29</v>
      </c>
      <c r="C3" s="44"/>
      <c r="D3" s="44"/>
      <c r="E3" s="44"/>
      <c r="F3" s="30"/>
      <c r="G3" s="30"/>
      <c r="H3" s="30"/>
      <c r="J3" s="27"/>
      <c r="K3" s="27" t="s">
        <v>137</v>
      </c>
      <c r="L3" s="29" t="s">
        <v>31</v>
      </c>
      <c r="M3" s="29" t="s">
        <v>147</v>
      </c>
      <c r="N3" s="29" t="s">
        <v>140</v>
      </c>
      <c r="O3" s="29" t="s">
        <v>24</v>
      </c>
      <c r="P3" s="29" t="s">
        <v>141</v>
      </c>
      <c r="Q3" s="29" t="s">
        <v>19</v>
      </c>
      <c r="R3" s="29" t="s">
        <v>142</v>
      </c>
      <c r="S3" s="29" t="s">
        <v>143</v>
      </c>
      <c r="T3" s="29" t="s">
        <v>144</v>
      </c>
      <c r="U3" s="29" t="s">
        <v>145</v>
      </c>
    </row>
    <row r="4" spans="1:21">
      <c r="A4" s="31"/>
      <c r="B4" s="31" t="s">
        <v>26</v>
      </c>
      <c r="C4" s="31"/>
      <c r="D4" s="31" t="s">
        <v>27</v>
      </c>
      <c r="E4" s="31" t="s">
        <v>28</v>
      </c>
      <c r="F4" s="31" t="s">
        <v>133</v>
      </c>
      <c r="G4" s="31" t="s">
        <v>134</v>
      </c>
      <c r="H4" s="31" t="s">
        <v>135</v>
      </c>
      <c r="J4" s="35"/>
      <c r="K4" s="27" t="s">
        <v>138</v>
      </c>
      <c r="L4" s="29">
        <v>10.3</v>
      </c>
      <c r="M4" s="29">
        <v>0.18</v>
      </c>
      <c r="N4" s="29">
        <f>G7</f>
        <v>12.636893203883496</v>
      </c>
      <c r="O4" s="29">
        <f>G6</f>
        <v>51.335922330097084</v>
      </c>
      <c r="P4" s="29">
        <v>0</v>
      </c>
      <c r="Q4" s="29">
        <f>G8</f>
        <v>0.41941747572815535</v>
      </c>
      <c r="R4" s="29">
        <v>0</v>
      </c>
      <c r="S4" s="29">
        <v>0</v>
      </c>
      <c r="T4" s="29">
        <v>0</v>
      </c>
      <c r="U4" s="29">
        <v>0</v>
      </c>
    </row>
    <row r="5" spans="1:21">
      <c r="A5" s="31"/>
      <c r="B5" s="45" t="s">
        <v>31</v>
      </c>
      <c r="C5" s="45"/>
      <c r="D5" s="45"/>
      <c r="E5" s="45"/>
      <c r="F5" s="30"/>
      <c r="G5" s="30"/>
      <c r="H5" s="30"/>
      <c r="J5" s="27"/>
      <c r="K5" s="27" t="s">
        <v>139</v>
      </c>
      <c r="L5" s="29">
        <v>47.7</v>
      </c>
      <c r="M5" s="29">
        <v>0.82</v>
      </c>
      <c r="N5" s="29">
        <f>H7+D20</f>
        <v>71.575661375661383</v>
      </c>
      <c r="O5" s="29">
        <f>H6</f>
        <v>48.959259259259262</v>
      </c>
      <c r="P5" s="29">
        <f>D21+D22</f>
        <v>322.85714285714283</v>
      </c>
      <c r="Q5" s="29">
        <v>0</v>
      </c>
      <c r="R5" s="29">
        <v>0</v>
      </c>
      <c r="S5" s="29">
        <v>0</v>
      </c>
      <c r="T5" s="29">
        <f>D24</f>
        <v>13.095238095238095</v>
      </c>
      <c r="U5" s="29">
        <v>0</v>
      </c>
    </row>
    <row r="6" spans="1:21">
      <c r="A6" s="32" t="s">
        <v>2</v>
      </c>
      <c r="B6" s="30">
        <v>1178.4000000000001</v>
      </c>
      <c r="C6" s="30"/>
      <c r="D6" s="30">
        <v>36.299999999999997</v>
      </c>
      <c r="E6" s="30">
        <v>107.2</v>
      </c>
      <c r="F6" s="30">
        <f>SUM(B6:E6)</f>
        <v>1321.9</v>
      </c>
      <c r="G6" s="30">
        <f>(F6/$B$15)*$C$15</f>
        <v>51.335922330097084</v>
      </c>
      <c r="H6" s="30">
        <f>(F6/$B$14)*$C$14</f>
        <v>48.959259259259262</v>
      </c>
      <c r="J6" s="27"/>
      <c r="K6" s="27" t="s">
        <v>148</v>
      </c>
      <c r="L6">
        <f>L4+L5</f>
        <v>58</v>
      </c>
      <c r="N6">
        <f>(N4*$M$4)+(N5*$M$5)</f>
        <v>60.966683104741364</v>
      </c>
      <c r="O6">
        <f>(O4*$M$4)+(O5*$M$5)</f>
        <v>49.387058612010065</v>
      </c>
      <c r="P6">
        <f t="shared" ref="P6:U6" si="0">(P4*$M$4)+(P5*$M$5)</f>
        <v>264.74285714285713</v>
      </c>
      <c r="Q6">
        <f t="shared" si="0"/>
        <v>7.5495145631067961E-2</v>
      </c>
      <c r="R6">
        <f t="shared" si="0"/>
        <v>0</v>
      </c>
      <c r="S6">
        <f t="shared" si="0"/>
        <v>0</v>
      </c>
      <c r="T6">
        <f t="shared" si="0"/>
        <v>10.738095238095237</v>
      </c>
      <c r="U6">
        <f t="shared" si="0"/>
        <v>0</v>
      </c>
    </row>
    <row r="7" spans="1:21">
      <c r="A7" s="32" t="s">
        <v>18</v>
      </c>
      <c r="B7" s="30">
        <v>296.10000000000002</v>
      </c>
      <c r="C7" s="30"/>
      <c r="D7" s="30">
        <v>11.2</v>
      </c>
      <c r="E7" s="30">
        <v>18.100000000000001</v>
      </c>
      <c r="F7" s="30">
        <f t="shared" ref="F7:F8" si="1">SUM(B7:E7)</f>
        <v>325.40000000000003</v>
      </c>
      <c r="G7" s="30">
        <f t="shared" ref="G7:G8" si="2">(F7/$B$15)*$C$15</f>
        <v>12.636893203883496</v>
      </c>
      <c r="H7" s="30">
        <f t="shared" ref="H7:H8" si="3">(F7/$B$14)*$C$14</f>
        <v>12.051851851851852</v>
      </c>
      <c r="J7" s="27"/>
      <c r="K7" s="27"/>
    </row>
    <row r="8" spans="1:21">
      <c r="A8" s="32" t="s">
        <v>19</v>
      </c>
      <c r="B8" s="30">
        <v>9.3000000000000007</v>
      </c>
      <c r="C8" s="30"/>
      <c r="D8" s="30"/>
      <c r="E8" s="30">
        <v>1.5</v>
      </c>
      <c r="F8" s="30">
        <f t="shared" si="1"/>
        <v>10.8</v>
      </c>
      <c r="G8" s="30">
        <f t="shared" si="2"/>
        <v>0.41941747572815535</v>
      </c>
      <c r="H8" s="30">
        <f t="shared" si="3"/>
        <v>0.4</v>
      </c>
      <c r="J8" s="27"/>
      <c r="K8" s="27"/>
    </row>
    <row r="9" spans="1:21">
      <c r="A9" s="32" t="s">
        <v>30</v>
      </c>
      <c r="B9" s="30" t="s">
        <v>38</v>
      </c>
      <c r="C9" s="30"/>
      <c r="D9" s="30" t="s">
        <v>39</v>
      </c>
      <c r="E9" s="30" t="s">
        <v>40</v>
      </c>
      <c r="F9" s="30"/>
      <c r="G9" s="30"/>
      <c r="H9" s="30"/>
      <c r="J9" s="27"/>
      <c r="K9" s="27"/>
    </row>
    <row r="10" spans="1:21">
      <c r="A10" s="32" t="s">
        <v>36</v>
      </c>
      <c r="B10" s="30">
        <v>75</v>
      </c>
      <c r="C10" s="30"/>
      <c r="D10" s="30">
        <v>216</v>
      </c>
      <c r="E10" s="30">
        <f>D10*B10</f>
        <v>16200</v>
      </c>
      <c r="F10" s="30"/>
      <c r="G10" s="30"/>
      <c r="H10" s="30"/>
      <c r="J10" s="27"/>
      <c r="K10" s="27"/>
    </row>
    <row r="11" spans="1:21">
      <c r="A11" s="32" t="s">
        <v>37</v>
      </c>
      <c r="B11" s="30">
        <v>15</v>
      </c>
      <c r="C11" s="30"/>
      <c r="D11" s="30">
        <v>636</v>
      </c>
      <c r="E11" s="30">
        <v>10267</v>
      </c>
      <c r="F11" s="30"/>
      <c r="G11" s="30"/>
      <c r="H11" s="30"/>
      <c r="J11" s="27"/>
      <c r="K11" s="27"/>
    </row>
    <row r="12" spans="1:21">
      <c r="A12" s="32" t="s">
        <v>136</v>
      </c>
      <c r="B12" s="30">
        <v>1</v>
      </c>
      <c r="C12" s="30"/>
      <c r="D12" s="30">
        <v>727</v>
      </c>
      <c r="E12" s="30"/>
      <c r="F12" s="30"/>
      <c r="G12" s="30"/>
      <c r="H12" s="30"/>
      <c r="J12" s="27"/>
      <c r="K12" s="27"/>
    </row>
    <row r="13" spans="1:21">
      <c r="A13" s="32"/>
      <c r="B13" s="30"/>
      <c r="C13" s="30" t="s">
        <v>130</v>
      </c>
      <c r="D13" s="30"/>
      <c r="E13" s="30"/>
      <c r="F13" s="30"/>
      <c r="G13" s="30"/>
      <c r="H13" s="30"/>
    </row>
    <row r="14" spans="1:21">
      <c r="A14" s="32" t="s">
        <v>131</v>
      </c>
      <c r="B14" s="33">
        <v>16.2</v>
      </c>
      <c r="C14" s="30">
        <v>0.6</v>
      </c>
      <c r="D14" s="30"/>
      <c r="E14" s="30"/>
      <c r="F14" s="30"/>
      <c r="G14" s="30"/>
      <c r="H14" s="30"/>
    </row>
    <row r="15" spans="1:21">
      <c r="A15" s="32" t="s">
        <v>132</v>
      </c>
      <c r="B15" s="34">
        <v>10.3</v>
      </c>
      <c r="C15" s="30">
        <v>0.4</v>
      </c>
      <c r="D15" s="30"/>
      <c r="E15" s="30"/>
      <c r="F15" s="30"/>
      <c r="G15" s="30"/>
      <c r="H15" s="30"/>
    </row>
    <row r="16" spans="1:21">
      <c r="A16" s="40"/>
      <c r="B16" s="41"/>
      <c r="C16" s="42"/>
      <c r="D16" s="42"/>
      <c r="E16" s="42"/>
      <c r="F16" s="42"/>
      <c r="G16" s="42"/>
      <c r="H16" s="42"/>
    </row>
    <row r="17" spans="1:8">
      <c r="A17" s="40"/>
      <c r="B17" s="41"/>
      <c r="C17" s="42"/>
      <c r="D17" s="42"/>
      <c r="E17" s="42"/>
      <c r="F17" s="42"/>
      <c r="G17" s="42"/>
      <c r="H17" s="42"/>
    </row>
    <row r="19" spans="1:8">
      <c r="A19" s="36"/>
      <c r="B19" s="36" t="s">
        <v>31</v>
      </c>
      <c r="C19" s="36" t="s">
        <v>17</v>
      </c>
      <c r="D19" s="37" t="s">
        <v>44</v>
      </c>
      <c r="E19" s="37"/>
      <c r="F19" s="36"/>
      <c r="G19" s="38"/>
      <c r="H19" s="38"/>
    </row>
    <row r="20" spans="1:8">
      <c r="A20" s="39" t="s">
        <v>18</v>
      </c>
      <c r="B20" s="38">
        <v>25</v>
      </c>
      <c r="C20" s="38">
        <f>B20*1000</f>
        <v>25000</v>
      </c>
      <c r="D20" s="38">
        <f>C20/$B$25</f>
        <v>59.523809523809526</v>
      </c>
      <c r="E20" s="38"/>
      <c r="F20" s="38"/>
      <c r="G20" s="38"/>
      <c r="H20" s="38"/>
    </row>
    <row r="21" spans="1:8">
      <c r="A21" s="39" t="s">
        <v>20</v>
      </c>
      <c r="B21" s="38">
        <v>60.4</v>
      </c>
      <c r="C21" s="38">
        <f t="shared" ref="C21:C24" si="4">B21*1000</f>
        <v>60400</v>
      </c>
      <c r="D21" s="38">
        <f t="shared" ref="D21:D24" si="5">C21/$B$25</f>
        <v>143.8095238095238</v>
      </c>
      <c r="E21" s="38"/>
      <c r="F21" s="38"/>
      <c r="G21" s="38"/>
      <c r="H21" s="38"/>
    </row>
    <row r="22" spans="1:8">
      <c r="A22" s="39" t="s">
        <v>150</v>
      </c>
      <c r="B22" s="38">
        <f>150.4*0.5</f>
        <v>75.2</v>
      </c>
      <c r="C22" s="38">
        <f t="shared" si="4"/>
        <v>75200</v>
      </c>
      <c r="D22" s="38">
        <f t="shared" si="5"/>
        <v>179.04761904761904</v>
      </c>
      <c r="E22" s="38"/>
      <c r="F22" s="38"/>
      <c r="G22" s="38"/>
      <c r="H22" s="38"/>
    </row>
    <row r="23" spans="1:8">
      <c r="A23" s="39" t="s">
        <v>22</v>
      </c>
      <c r="B23" s="38">
        <v>0</v>
      </c>
      <c r="C23" s="38">
        <f t="shared" si="4"/>
        <v>0</v>
      </c>
      <c r="D23" s="38">
        <f t="shared" si="5"/>
        <v>0</v>
      </c>
      <c r="E23" s="38"/>
      <c r="F23" s="38"/>
      <c r="G23" s="38"/>
      <c r="H23" s="38"/>
    </row>
    <row r="24" spans="1:8">
      <c r="A24" s="39" t="s">
        <v>23</v>
      </c>
      <c r="B24" s="38">
        <v>5.5</v>
      </c>
      <c r="C24" s="38">
        <f t="shared" si="4"/>
        <v>5500</v>
      </c>
      <c r="D24" s="38">
        <f t="shared" si="5"/>
        <v>13.095238095238095</v>
      </c>
      <c r="E24" s="38"/>
      <c r="F24" s="38"/>
      <c r="G24" s="38"/>
      <c r="H24" s="38"/>
    </row>
    <row r="25" spans="1:8">
      <c r="A25" s="39" t="s">
        <v>34</v>
      </c>
      <c r="B25" s="38">
        <v>420</v>
      </c>
      <c r="C25" s="38"/>
      <c r="D25" s="38"/>
      <c r="E25" s="38"/>
      <c r="F25" s="38"/>
      <c r="G25" s="38"/>
      <c r="H25" s="38"/>
    </row>
    <row r="26" spans="1:8">
      <c r="A26" s="38"/>
      <c r="B26" s="38"/>
      <c r="C26" s="38"/>
      <c r="D26" s="38"/>
      <c r="E26" s="38"/>
      <c r="F26" s="38"/>
      <c r="G26" s="38"/>
      <c r="H26" s="38"/>
    </row>
    <row r="27" spans="1:8">
      <c r="A27" s="38"/>
      <c r="B27" s="38"/>
      <c r="C27" s="38"/>
      <c r="D27" s="38"/>
      <c r="E27" s="38"/>
      <c r="F27" s="38"/>
      <c r="G27" s="38"/>
      <c r="H27" s="38"/>
    </row>
    <row r="28" spans="1:8">
      <c r="A28" s="38"/>
      <c r="B28" s="38"/>
      <c r="C28" s="38"/>
      <c r="D28" s="38"/>
      <c r="E28" s="38"/>
      <c r="F28" s="38"/>
      <c r="G28" s="38"/>
      <c r="H28" s="38"/>
    </row>
    <row r="29" spans="1:8">
      <c r="A29" s="38"/>
      <c r="B29" s="38"/>
      <c r="C29" s="38"/>
      <c r="D29" s="38"/>
      <c r="E29" s="38"/>
      <c r="F29" s="38"/>
      <c r="G29" s="38"/>
      <c r="H29" s="38"/>
    </row>
    <row r="30" spans="1:8">
      <c r="A30" s="38"/>
      <c r="B30" s="38"/>
      <c r="C30" s="38"/>
      <c r="D30" s="38"/>
      <c r="E30" s="38"/>
      <c r="F30" s="38"/>
      <c r="G30" s="38"/>
      <c r="H30" s="38"/>
    </row>
  </sheetData>
  <mergeCells count="3">
    <mergeCell ref="B3:E3"/>
    <mergeCell ref="B5:E5"/>
    <mergeCell ref="N2:U2"/>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dimension ref="A1:G42"/>
  <sheetViews>
    <sheetView workbookViewId="0">
      <selection activeCell="A35" sqref="A35:D40"/>
    </sheetView>
  </sheetViews>
  <sheetFormatPr defaultRowHeight="15"/>
  <cols>
    <col min="1" max="1" width="30.140625" bestFit="1" customWidth="1"/>
    <col min="2" max="3" width="12" bestFit="1" customWidth="1"/>
  </cols>
  <sheetData>
    <row r="1" spans="1:7">
      <c r="A1" s="46" t="s">
        <v>77</v>
      </c>
      <c r="B1" s="46"/>
      <c r="C1" s="46"/>
    </row>
    <row r="2" spans="1:7">
      <c r="B2" t="s">
        <v>58</v>
      </c>
      <c r="C2" t="s">
        <v>59</v>
      </c>
    </row>
    <row r="3" spans="1:7">
      <c r="A3" t="s">
        <v>65</v>
      </c>
      <c r="B3">
        <v>2.27</v>
      </c>
      <c r="C3">
        <v>4.1900000000000004</v>
      </c>
    </row>
    <row r="4" spans="1:7">
      <c r="A4" t="s">
        <v>78</v>
      </c>
      <c r="B4">
        <v>114</v>
      </c>
      <c r="C4">
        <v>114</v>
      </c>
    </row>
    <row r="5" spans="1:7">
      <c r="A5" t="s">
        <v>80</v>
      </c>
      <c r="B5">
        <f>B3*B4</f>
        <v>258.78000000000003</v>
      </c>
      <c r="C5">
        <f>C3*C4</f>
        <v>477.66</v>
      </c>
    </row>
    <row r="6" spans="1:7">
      <c r="A6" t="s">
        <v>61</v>
      </c>
      <c r="B6">
        <v>9.6999999999999993</v>
      </c>
      <c r="C6">
        <v>6.375</v>
      </c>
    </row>
    <row r="7" spans="1:7">
      <c r="A7" t="s">
        <v>62</v>
      </c>
      <c r="B7">
        <v>6.8</v>
      </c>
      <c r="C7">
        <v>12.7</v>
      </c>
    </row>
    <row r="8" spans="1:7">
      <c r="A8" t="s">
        <v>82</v>
      </c>
      <c r="B8">
        <f>B7*B6</f>
        <v>65.959999999999994</v>
      </c>
      <c r="C8">
        <f>C7*C6</f>
        <v>80.962499999999991</v>
      </c>
    </row>
    <row r="9" spans="1:7">
      <c r="A9" t="s">
        <v>63</v>
      </c>
      <c r="B9">
        <f>B5/B8</f>
        <v>3.9232868405094004</v>
      </c>
      <c r="C9">
        <f>C5/C8</f>
        <v>5.8997684113015296</v>
      </c>
    </row>
    <row r="10" spans="1:7">
      <c r="A10" t="s">
        <v>84</v>
      </c>
      <c r="B10">
        <f>B4/(B4+B15)</f>
        <v>0.84444444444444444</v>
      </c>
      <c r="C10">
        <f>C4/(C4+C15)</f>
        <v>0.84444444444444444</v>
      </c>
    </row>
    <row r="11" spans="1:7">
      <c r="E11" s="47" t="s">
        <v>83</v>
      </c>
      <c r="F11" s="47"/>
      <c r="G11" s="47"/>
    </row>
    <row r="12" spans="1:7">
      <c r="A12" s="46" t="s">
        <v>76</v>
      </c>
      <c r="B12" s="46"/>
      <c r="C12" s="46"/>
      <c r="E12" s="28"/>
      <c r="F12" s="28" t="s">
        <v>58</v>
      </c>
      <c r="G12" s="28" t="s">
        <v>59</v>
      </c>
    </row>
    <row r="13" spans="1:7">
      <c r="B13" t="s">
        <v>58</v>
      </c>
      <c r="C13" t="s">
        <v>59</v>
      </c>
      <c r="E13" s="28" t="s">
        <v>65</v>
      </c>
      <c r="F13" s="28">
        <f>(B14*0.16)+(B3*0.84)</f>
        <v>2.7372000000000001</v>
      </c>
      <c r="G13" s="28">
        <f>(C14*0.16)+(C3*0.84)</f>
        <v>4.5339999999999998</v>
      </c>
    </row>
    <row r="14" spans="1:7">
      <c r="A14" t="s">
        <v>65</v>
      </c>
      <c r="B14">
        <v>5.19</v>
      </c>
      <c r="C14">
        <v>6.34</v>
      </c>
      <c r="E14" s="28" t="s">
        <v>78</v>
      </c>
      <c r="F14" s="28">
        <v>114</v>
      </c>
      <c r="G14" s="28">
        <v>114</v>
      </c>
    </row>
    <row r="15" spans="1:7">
      <c r="A15" t="s">
        <v>78</v>
      </c>
      <c r="B15">
        <v>21</v>
      </c>
      <c r="C15">
        <v>21</v>
      </c>
      <c r="E15" s="28" t="s">
        <v>80</v>
      </c>
      <c r="F15" s="28">
        <f>F13*F14</f>
        <v>312.04079999999999</v>
      </c>
      <c r="G15" s="28">
        <f>G13*G14</f>
        <v>516.87599999999998</v>
      </c>
    </row>
    <row r="16" spans="1:7">
      <c r="A16" t="s">
        <v>80</v>
      </c>
      <c r="B16">
        <f>B14*B15</f>
        <v>108.99000000000001</v>
      </c>
      <c r="C16">
        <f>C14*C15</f>
        <v>133.13999999999999</v>
      </c>
      <c r="E16" s="28" t="s">
        <v>61</v>
      </c>
      <c r="F16" s="28">
        <v>9.6999999999999993</v>
      </c>
      <c r="G16" s="28">
        <v>6.375</v>
      </c>
    </row>
    <row r="17" spans="1:7">
      <c r="A17" t="s">
        <v>81</v>
      </c>
      <c r="B17">
        <v>9.6999999999999993</v>
      </c>
      <c r="C17">
        <v>6.375</v>
      </c>
      <c r="E17" s="28" t="s">
        <v>62</v>
      </c>
      <c r="F17" s="28">
        <v>6.8</v>
      </c>
      <c r="G17" s="28">
        <v>12.7</v>
      </c>
    </row>
    <row r="18" spans="1:7">
      <c r="A18" t="s">
        <v>62</v>
      </c>
      <c r="B18">
        <v>6.8</v>
      </c>
      <c r="C18">
        <v>12.7</v>
      </c>
      <c r="E18" s="28" t="s">
        <v>82</v>
      </c>
      <c r="F18" s="28">
        <f>F17*F16</f>
        <v>65.959999999999994</v>
      </c>
      <c r="G18" s="28">
        <f>G17*G16</f>
        <v>80.962499999999991</v>
      </c>
    </row>
    <row r="19" spans="1:7">
      <c r="A19" t="s">
        <v>82</v>
      </c>
      <c r="B19">
        <f>B18*B17</f>
        <v>65.959999999999994</v>
      </c>
      <c r="C19">
        <f>C18*C17</f>
        <v>80.962499999999991</v>
      </c>
      <c r="E19" s="28" t="s">
        <v>63</v>
      </c>
      <c r="F19" s="28">
        <f>F15/F18</f>
        <v>4.7307580351728324</v>
      </c>
      <c r="G19" s="28">
        <f>G15/G18</f>
        <v>6.3841408059286708</v>
      </c>
    </row>
    <row r="20" spans="1:7">
      <c r="A20" t="s">
        <v>63</v>
      </c>
      <c r="B20">
        <f>B16/B19</f>
        <v>1.6523650697392362</v>
      </c>
      <c r="C20">
        <f>C16/C19</f>
        <v>1.6444650301065309</v>
      </c>
      <c r="E20" s="27" t="s">
        <v>67</v>
      </c>
      <c r="F20" s="27">
        <v>0.06</v>
      </c>
      <c r="G20" s="27">
        <v>0.1</v>
      </c>
    </row>
    <row r="21" spans="1:7">
      <c r="A21" t="s">
        <v>84</v>
      </c>
      <c r="B21">
        <f>B15/(B15+B4)</f>
        <v>0.15555555555555556</v>
      </c>
      <c r="C21">
        <f>C15/(C15+C4)</f>
        <v>0.15555555555555556</v>
      </c>
    </row>
    <row r="23" spans="1:7">
      <c r="A23" s="46" t="s">
        <v>60</v>
      </c>
      <c r="B23" s="46"/>
      <c r="C23" s="46"/>
    </row>
    <row r="24" spans="1:7">
      <c r="B24" t="s">
        <v>58</v>
      </c>
      <c r="C24" t="s">
        <v>59</v>
      </c>
    </row>
    <row r="25" spans="1:7">
      <c r="A25" t="s">
        <v>65</v>
      </c>
      <c r="B25">
        <v>2.17</v>
      </c>
      <c r="C25">
        <v>2.34</v>
      </c>
    </row>
    <row r="26" spans="1:7">
      <c r="A26" t="s">
        <v>64</v>
      </c>
      <c r="B26">
        <v>112</v>
      </c>
      <c r="C26">
        <v>111</v>
      </c>
    </row>
    <row r="27" spans="1:7">
      <c r="A27" t="s">
        <v>79</v>
      </c>
      <c r="B27">
        <v>130</v>
      </c>
      <c r="C27">
        <v>203</v>
      </c>
    </row>
    <row r="28" spans="1:7">
      <c r="A28" t="s">
        <v>66</v>
      </c>
      <c r="B28">
        <f>B27*B25</f>
        <v>282.09999999999997</v>
      </c>
      <c r="C28">
        <f>C27*C25</f>
        <v>475.02</v>
      </c>
    </row>
    <row r="29" spans="1:7">
      <c r="A29" t="s">
        <v>63</v>
      </c>
      <c r="B29">
        <f>B28/B26</f>
        <v>2.5187499999999998</v>
      </c>
      <c r="C29">
        <f>C28/C26</f>
        <v>4.279459459459459</v>
      </c>
    </row>
    <row r="30" spans="1:7">
      <c r="A30" t="s">
        <v>67</v>
      </c>
      <c r="B30">
        <v>0.94</v>
      </c>
      <c r="C30">
        <v>0.9</v>
      </c>
    </row>
    <row r="32" spans="1:7">
      <c r="A32" t="s">
        <v>68</v>
      </c>
      <c r="B32">
        <f>((B9+B20)*F20)+(B29*(1-F20))</f>
        <v>2.7021641146149182</v>
      </c>
      <c r="C32">
        <f>((C9+C20)*G20)+(C29*(1-G20))</f>
        <v>4.6059368576543189</v>
      </c>
    </row>
    <row r="33" spans="1:4">
      <c r="A33" t="s">
        <v>69</v>
      </c>
      <c r="B33">
        <f>B32/0.75</f>
        <v>3.6028854861532245</v>
      </c>
      <c r="C33">
        <f>C32/0.75</f>
        <v>6.1412491435390919</v>
      </c>
    </row>
    <row r="35" spans="1:4">
      <c r="A35" s="8"/>
      <c r="B35" s="8"/>
      <c r="C35" s="8" t="s">
        <v>58</v>
      </c>
      <c r="D35" s="8" t="s">
        <v>59</v>
      </c>
    </row>
    <row r="36" spans="1:4">
      <c r="A36" s="8" t="s">
        <v>74</v>
      </c>
      <c r="B36" s="8"/>
      <c r="C36" s="48" t="s">
        <v>42</v>
      </c>
      <c r="D36" s="48"/>
    </row>
    <row r="37" spans="1:4">
      <c r="A37" s="8" t="s">
        <v>70</v>
      </c>
      <c r="B37" s="8">
        <v>0.32400000000000001</v>
      </c>
      <c r="C37" s="8">
        <f>(B$33*$B37)</f>
        <v>1.1673348975136448</v>
      </c>
      <c r="D37" s="8">
        <f>C$33*$B37</f>
        <v>1.9897647225066659</v>
      </c>
    </row>
    <row r="38" spans="1:4">
      <c r="A38" s="8" t="s">
        <v>71</v>
      </c>
      <c r="B38" s="8">
        <v>0.39999999999999997</v>
      </c>
      <c r="C38" s="8">
        <f t="shared" ref="C38:D40" si="0">B$33*$B38</f>
        <v>1.4411541944612896</v>
      </c>
      <c r="D38" s="8">
        <f t="shared" si="0"/>
        <v>2.4564996574156366</v>
      </c>
    </row>
    <row r="39" spans="1:4">
      <c r="A39" s="8" t="s">
        <v>72</v>
      </c>
      <c r="B39" s="8">
        <v>0.182</v>
      </c>
      <c r="C39" s="8">
        <f t="shared" si="0"/>
        <v>0.65572515847988688</v>
      </c>
      <c r="D39" s="8">
        <f t="shared" si="0"/>
        <v>1.1177073441241148</v>
      </c>
    </row>
    <row r="40" spans="1:4">
      <c r="A40" s="8" t="s">
        <v>73</v>
      </c>
      <c r="B40" s="8">
        <v>9.4000000000000083E-2</v>
      </c>
      <c r="C40" s="8">
        <f t="shared" si="0"/>
        <v>0.33867123569840341</v>
      </c>
      <c r="D40" s="8">
        <f t="shared" si="0"/>
        <v>0.57727741949267519</v>
      </c>
    </row>
    <row r="42" spans="1:4">
      <c r="C42">
        <f>SUM(C37:C40)</f>
        <v>3.6028854861532249</v>
      </c>
    </row>
  </sheetData>
  <mergeCells count="5">
    <mergeCell ref="A12:C12"/>
    <mergeCell ref="A1:C1"/>
    <mergeCell ref="E11:G11"/>
    <mergeCell ref="A23:C23"/>
    <mergeCell ref="C36:D3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6"/>
  <sheetViews>
    <sheetView workbookViewId="0">
      <selection activeCell="E27" sqref="E27"/>
    </sheetView>
  </sheetViews>
  <sheetFormatPr defaultRowHeight="15"/>
  <cols>
    <col min="1" max="1" width="27.5703125" bestFit="1" customWidth="1"/>
    <col min="2" max="2" width="11.140625" bestFit="1" customWidth="1"/>
    <col min="4" max="4" width="13.28515625" bestFit="1" customWidth="1"/>
  </cols>
  <sheetData>
    <row r="1" spans="1:4">
      <c r="A1" t="s">
        <v>86</v>
      </c>
      <c r="B1" t="s">
        <v>90</v>
      </c>
      <c r="C1" t="s">
        <v>92</v>
      </c>
      <c r="D1" t="s">
        <v>93</v>
      </c>
    </row>
    <row r="2" spans="1:4">
      <c r="A2" t="s">
        <v>87</v>
      </c>
      <c r="B2">
        <v>334</v>
      </c>
      <c r="C2">
        <f>B2*2000/2.205</f>
        <v>302947.84580498864</v>
      </c>
      <c r="D2">
        <f>C2/$C$6</f>
        <v>33.4</v>
      </c>
    </row>
    <row r="3" spans="1:4">
      <c r="A3" t="s">
        <v>88</v>
      </c>
      <c r="B3">
        <v>119</v>
      </c>
      <c r="C3">
        <f t="shared" ref="C3:C5" si="0">B3*2000/2.205</f>
        <v>107936.50793650793</v>
      </c>
      <c r="D3">
        <f>C3/$C$6</f>
        <v>11.899999999999999</v>
      </c>
    </row>
    <row r="4" spans="1:4">
      <c r="A4" t="s">
        <v>21</v>
      </c>
      <c r="B4">
        <v>172</v>
      </c>
      <c r="C4">
        <f t="shared" si="0"/>
        <v>156009.07029478459</v>
      </c>
      <c r="D4">
        <f>C4/$C$6</f>
        <v>17.2</v>
      </c>
    </row>
    <row r="5" spans="1:4">
      <c r="A5" t="s">
        <v>89</v>
      </c>
      <c r="B5">
        <v>196</v>
      </c>
      <c r="C5">
        <f t="shared" si="0"/>
        <v>177777.77777777778</v>
      </c>
      <c r="D5">
        <f>C5/$C$6</f>
        <v>19.599999999999998</v>
      </c>
    </row>
    <row r="6" spans="1:4">
      <c r="A6" t="s">
        <v>91</v>
      </c>
      <c r="B6">
        <v>20000</v>
      </c>
      <c r="C6">
        <f>B6/2.205</f>
        <v>9070.2947845804993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J27"/>
  <sheetViews>
    <sheetView workbookViewId="0">
      <selection activeCell="G21" sqref="G21"/>
    </sheetView>
  </sheetViews>
  <sheetFormatPr defaultRowHeight="15"/>
  <cols>
    <col min="1" max="1" width="30.42578125" bestFit="1" customWidth="1"/>
    <col min="3" max="3" width="16.5703125" bestFit="1" customWidth="1"/>
  </cols>
  <sheetData>
    <row r="1" spans="1:10">
      <c r="A1" t="s">
        <v>121</v>
      </c>
      <c r="B1" t="s">
        <v>122</v>
      </c>
      <c r="C1" t="s">
        <v>123</v>
      </c>
    </row>
    <row r="2" spans="1:10">
      <c r="A2" t="s">
        <v>95</v>
      </c>
      <c r="B2">
        <v>2769</v>
      </c>
      <c r="C2" t="s">
        <v>125</v>
      </c>
      <c r="I2" t="s">
        <v>124</v>
      </c>
      <c r="J2" t="s">
        <v>12</v>
      </c>
    </row>
    <row r="3" spans="1:10">
      <c r="A3" t="s">
        <v>96</v>
      </c>
      <c r="B3">
        <v>2775</v>
      </c>
      <c r="C3" t="s">
        <v>125</v>
      </c>
      <c r="I3" t="s">
        <v>128</v>
      </c>
      <c r="J3" t="s">
        <v>16</v>
      </c>
    </row>
    <row r="4" spans="1:10">
      <c r="A4" t="s">
        <v>97</v>
      </c>
      <c r="B4">
        <v>2731</v>
      </c>
      <c r="C4" t="s">
        <v>124</v>
      </c>
      <c r="I4" t="s">
        <v>129</v>
      </c>
      <c r="J4" t="s">
        <v>14</v>
      </c>
    </row>
    <row r="5" spans="1:10">
      <c r="A5" t="s">
        <v>98</v>
      </c>
      <c r="B5">
        <v>2740</v>
      </c>
      <c r="C5" t="s">
        <v>127</v>
      </c>
      <c r="I5" t="s">
        <v>127</v>
      </c>
      <c r="J5" t="s">
        <v>13</v>
      </c>
    </row>
    <row r="6" spans="1:10">
      <c r="A6" t="s">
        <v>99</v>
      </c>
      <c r="B6">
        <v>2766</v>
      </c>
      <c r="C6" t="s">
        <v>125</v>
      </c>
      <c r="I6" t="s">
        <v>125</v>
      </c>
      <c r="J6" t="s">
        <v>126</v>
      </c>
    </row>
    <row r="7" spans="1:10">
      <c r="A7" t="s">
        <v>100</v>
      </c>
      <c r="B7">
        <v>2741</v>
      </c>
      <c r="C7" t="s">
        <v>127</v>
      </c>
    </row>
    <row r="8" spans="1:10">
      <c r="A8" t="s">
        <v>101</v>
      </c>
      <c r="B8">
        <v>2743</v>
      </c>
      <c r="C8" t="s">
        <v>127</v>
      </c>
    </row>
    <row r="9" spans="1:10">
      <c r="A9" t="s">
        <v>102</v>
      </c>
      <c r="B9">
        <v>2765</v>
      </c>
      <c r="C9" t="s">
        <v>125</v>
      </c>
    </row>
    <row r="10" spans="1:10">
      <c r="A10" t="s">
        <v>103</v>
      </c>
      <c r="B10">
        <v>2762</v>
      </c>
      <c r="C10" t="s">
        <v>125</v>
      </c>
    </row>
    <row r="11" spans="1:10">
      <c r="A11" t="s">
        <v>104</v>
      </c>
      <c r="B11">
        <v>2744</v>
      </c>
      <c r="C11" t="s">
        <v>128</v>
      </c>
    </row>
    <row r="12" spans="1:10">
      <c r="A12" t="s">
        <v>105</v>
      </c>
      <c r="B12">
        <v>2737</v>
      </c>
      <c r="C12" t="s">
        <v>125</v>
      </c>
    </row>
    <row r="13" spans="1:10">
      <c r="A13" t="s">
        <v>106</v>
      </c>
      <c r="B13">
        <v>2781</v>
      </c>
      <c r="C13" t="s">
        <v>125</v>
      </c>
    </row>
    <row r="14" spans="1:10">
      <c r="A14" t="s">
        <v>107</v>
      </c>
      <c r="B14">
        <v>2782</v>
      </c>
      <c r="C14" t="s">
        <v>125</v>
      </c>
    </row>
    <row r="15" spans="1:10">
      <c r="A15" t="s">
        <v>108</v>
      </c>
      <c r="B15">
        <v>2761</v>
      </c>
      <c r="C15" t="s">
        <v>125</v>
      </c>
    </row>
    <row r="16" spans="1:10">
      <c r="A16" t="s">
        <v>109</v>
      </c>
      <c r="B16">
        <v>2745</v>
      </c>
      <c r="C16" t="s">
        <v>125</v>
      </c>
    </row>
    <row r="17" spans="1:3">
      <c r="A17" t="s">
        <v>110</v>
      </c>
      <c r="B17">
        <v>2764</v>
      </c>
    </row>
    <row r="18" spans="1:3">
      <c r="A18" t="s">
        <v>111</v>
      </c>
      <c r="B18">
        <v>2735</v>
      </c>
      <c r="C18" t="s">
        <v>124</v>
      </c>
    </row>
    <row r="19" spans="1:3">
      <c r="A19" t="s">
        <v>112</v>
      </c>
      <c r="B19">
        <v>2848</v>
      </c>
      <c r="C19" t="s">
        <v>127</v>
      </c>
    </row>
    <row r="20" spans="1:3">
      <c r="A20" t="s">
        <v>113</v>
      </c>
      <c r="B20">
        <v>2738</v>
      </c>
      <c r="C20" t="s">
        <v>127</v>
      </c>
    </row>
    <row r="21" spans="1:3">
      <c r="A21" t="s">
        <v>114</v>
      </c>
      <c r="B21">
        <v>2767</v>
      </c>
      <c r="C21" t="s">
        <v>125</v>
      </c>
    </row>
    <row r="22" spans="1:3">
      <c r="A22" t="s">
        <v>115</v>
      </c>
      <c r="B22">
        <v>2732</v>
      </c>
      <c r="C22" t="s">
        <v>124</v>
      </c>
    </row>
    <row r="23" spans="1:3">
      <c r="A23" t="s">
        <v>116</v>
      </c>
      <c r="B23">
        <v>2736</v>
      </c>
      <c r="C23" t="s">
        <v>125</v>
      </c>
    </row>
    <row r="24" spans="1:3">
      <c r="A24" t="s">
        <v>117</v>
      </c>
      <c r="B24">
        <v>2763</v>
      </c>
      <c r="C24" t="s">
        <v>125</v>
      </c>
    </row>
    <row r="25" spans="1:3">
      <c r="A25" t="s">
        <v>118</v>
      </c>
      <c r="B25">
        <v>2733</v>
      </c>
      <c r="C25" t="s">
        <v>129</v>
      </c>
    </row>
    <row r="26" spans="1:3">
      <c r="A26" t="s">
        <v>119</v>
      </c>
      <c r="B26">
        <v>2734</v>
      </c>
      <c r="C26" t="s">
        <v>128</v>
      </c>
    </row>
    <row r="27" spans="1:3">
      <c r="A27" t="s">
        <v>120</v>
      </c>
      <c r="B27">
        <v>2742</v>
      </c>
      <c r="C27" t="s">
        <v>127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47"/>
  <sheetViews>
    <sheetView topLeftCell="A14" workbookViewId="0">
      <selection activeCell="A38" sqref="A38:D47"/>
    </sheetView>
  </sheetViews>
  <sheetFormatPr defaultRowHeight="15"/>
  <cols>
    <col min="1" max="1" width="15.7109375" bestFit="1" customWidth="1"/>
    <col min="3" max="3" width="11.42578125" customWidth="1"/>
    <col min="4" max="4" width="16.140625" bestFit="1" customWidth="1"/>
    <col min="5" max="5" width="11.7109375" bestFit="1" customWidth="1"/>
    <col min="6" max="6" width="12" bestFit="1" customWidth="1"/>
    <col min="8" max="8" width="16.5703125" bestFit="1" customWidth="1"/>
    <col min="9" max="9" width="10.42578125" bestFit="1" customWidth="1"/>
    <col min="10" max="10" width="12.140625" bestFit="1" customWidth="1"/>
    <col min="11" max="11" width="12.5703125" bestFit="1" customWidth="1"/>
  </cols>
  <sheetData>
    <row r="1" spans="1:11">
      <c r="B1" s="46" t="s">
        <v>29</v>
      </c>
      <c r="C1" s="46"/>
      <c r="D1" s="46"/>
      <c r="E1" s="46"/>
    </row>
    <row r="2" spans="1:11">
      <c r="A2" s="5"/>
      <c r="B2" s="5" t="s">
        <v>26</v>
      </c>
      <c r="C2" s="5"/>
      <c r="D2" s="5" t="s">
        <v>27</v>
      </c>
      <c r="E2" s="5" t="s">
        <v>28</v>
      </c>
    </row>
    <row r="3" spans="1:11">
      <c r="A3" s="5"/>
      <c r="B3" s="50" t="s">
        <v>31</v>
      </c>
      <c r="C3" s="50"/>
      <c r="D3" s="50"/>
      <c r="E3" s="50"/>
      <c r="G3" s="5" t="s">
        <v>35</v>
      </c>
      <c r="H3" s="5" t="s">
        <v>45</v>
      </c>
      <c r="I3" s="5" t="s">
        <v>42</v>
      </c>
      <c r="J3" s="5" t="s">
        <v>50</v>
      </c>
      <c r="K3" s="5" t="s">
        <v>51</v>
      </c>
    </row>
    <row r="4" spans="1:11">
      <c r="A4" s="3" t="s">
        <v>2</v>
      </c>
      <c r="B4">
        <v>1178.4000000000001</v>
      </c>
      <c r="D4">
        <v>36.299999999999997</v>
      </c>
      <c r="E4">
        <v>107.2</v>
      </c>
      <c r="G4">
        <f>1000*(B4+D4+E4)</f>
        <v>1321900</v>
      </c>
      <c r="H4">
        <f>G4/$E$10</f>
        <v>81.598765432098759</v>
      </c>
      <c r="I4">
        <f>H4/$B$12</f>
        <v>131.18772577507838</v>
      </c>
      <c r="J4">
        <f>I4*0.34</f>
        <v>44.603826763526648</v>
      </c>
      <c r="K4">
        <f>I4*0.43</f>
        <v>56.410722083283702</v>
      </c>
    </row>
    <row r="5" spans="1:11">
      <c r="A5" s="3" t="s">
        <v>18</v>
      </c>
      <c r="B5">
        <v>296.10000000000002</v>
      </c>
      <c r="D5">
        <v>11.2</v>
      </c>
      <c r="E5">
        <v>18.100000000000001</v>
      </c>
      <c r="G5">
        <f>1000*(B5+D5+E5)</f>
        <v>325400.00000000006</v>
      </c>
      <c r="H5">
        <f t="shared" ref="H5:H6" si="0">G5/$E$10</f>
        <v>20.086419753086425</v>
      </c>
      <c r="I5">
        <f t="shared" ref="I5:I6" si="1">H5/$B$12</f>
        <v>32.293279345798112</v>
      </c>
      <c r="J5">
        <f t="shared" ref="J5:J6" si="2">I5*0.34</f>
        <v>10.979714977571359</v>
      </c>
      <c r="K5">
        <f t="shared" ref="K5:K6" si="3">I5*0.43</f>
        <v>13.886110118693187</v>
      </c>
    </row>
    <row r="6" spans="1:11">
      <c r="A6" s="3" t="s">
        <v>19</v>
      </c>
      <c r="B6">
        <v>9.3000000000000007</v>
      </c>
      <c r="E6">
        <v>1.5</v>
      </c>
      <c r="G6">
        <f>1000*(B6+D6+E6)</f>
        <v>10800</v>
      </c>
      <c r="H6">
        <f t="shared" si="0"/>
        <v>0.66666666666666663</v>
      </c>
      <c r="I6">
        <f t="shared" si="1"/>
        <v>1.0718113612004287</v>
      </c>
      <c r="J6">
        <f t="shared" si="2"/>
        <v>0.36441586280814581</v>
      </c>
      <c r="K6">
        <f t="shared" si="3"/>
        <v>0.46087888531618437</v>
      </c>
    </row>
    <row r="7" spans="1:11">
      <c r="A7" s="3" t="s">
        <v>30</v>
      </c>
      <c r="B7" t="s">
        <v>38</v>
      </c>
      <c r="D7" t="s">
        <v>39</v>
      </c>
      <c r="E7" t="s">
        <v>40</v>
      </c>
    </row>
    <row r="8" spans="1:11">
      <c r="A8" s="3" t="s">
        <v>36</v>
      </c>
      <c r="B8">
        <v>75</v>
      </c>
      <c r="D8">
        <v>216</v>
      </c>
      <c r="E8">
        <f>D8*B8</f>
        <v>16200</v>
      </c>
    </row>
    <row r="9" spans="1:11">
      <c r="A9" s="3" t="s">
        <v>37</v>
      </c>
      <c r="B9">
        <v>15</v>
      </c>
      <c r="D9">
        <v>636</v>
      </c>
      <c r="E9">
        <f>D9*B9</f>
        <v>9540</v>
      </c>
    </row>
    <row r="10" spans="1:11">
      <c r="A10" s="3" t="s">
        <v>41</v>
      </c>
      <c r="E10">
        <f>E8</f>
        <v>16200</v>
      </c>
    </row>
    <row r="11" spans="1:11">
      <c r="A11" s="3" t="s">
        <v>43</v>
      </c>
    </row>
    <row r="12" spans="1:11">
      <c r="A12" s="2">
        <v>0.622</v>
      </c>
      <c r="B12">
        <v>0.622</v>
      </c>
    </row>
    <row r="14" spans="1:11">
      <c r="A14" s="49" t="s">
        <v>47</v>
      </c>
      <c r="B14" s="49"/>
      <c r="C14" s="1"/>
    </row>
    <row r="15" spans="1:11">
      <c r="A15" s="4"/>
      <c r="B15" s="4" t="s">
        <v>31</v>
      </c>
      <c r="C15" s="4" t="s">
        <v>17</v>
      </c>
      <c r="D15" s="5" t="s">
        <v>44</v>
      </c>
      <c r="E15" s="5" t="s">
        <v>42</v>
      </c>
      <c r="F15" s="6" t="s">
        <v>46</v>
      </c>
    </row>
    <row r="16" spans="1:11">
      <c r="A16" s="3" t="s">
        <v>18</v>
      </c>
      <c r="B16">
        <v>25</v>
      </c>
      <c r="C16">
        <f>B16*1000</f>
        <v>25000</v>
      </c>
      <c r="D16">
        <f>C16/$B$21</f>
        <v>59.523809523809526</v>
      </c>
      <c r="E16">
        <f>D16/$B$12</f>
        <v>95.697442964323997</v>
      </c>
      <c r="F16">
        <f>E16*0.66</f>
        <v>63.160312356453844</v>
      </c>
    </row>
    <row r="17" spans="1:6">
      <c r="A17" s="3" t="s">
        <v>20</v>
      </c>
      <c r="B17">
        <v>60.4</v>
      </c>
      <c r="C17">
        <f t="shared" ref="C17:C20" si="4">B17*1000</f>
        <v>60400</v>
      </c>
      <c r="D17">
        <f t="shared" ref="D17:D20" si="5">C17/$B$21</f>
        <v>143.8095238095238</v>
      </c>
      <c r="E17">
        <f t="shared" ref="E17:E20" si="6">D17/$B$12</f>
        <v>231.20502220180674</v>
      </c>
      <c r="F17">
        <f t="shared" ref="F17:F20" si="7">E17*0.66</f>
        <v>152.59531465319245</v>
      </c>
    </row>
    <row r="18" spans="1:6">
      <c r="A18" s="3" t="s">
        <v>21</v>
      </c>
      <c r="B18">
        <v>150.4</v>
      </c>
      <c r="C18">
        <f t="shared" si="4"/>
        <v>150400</v>
      </c>
      <c r="D18">
        <f t="shared" si="5"/>
        <v>358.09523809523807</v>
      </c>
      <c r="E18">
        <f t="shared" si="6"/>
        <v>575.71581687337311</v>
      </c>
      <c r="F18">
        <f t="shared" si="7"/>
        <v>379.97243913642626</v>
      </c>
    </row>
    <row r="19" spans="1:6">
      <c r="A19" s="3" t="s">
        <v>22</v>
      </c>
      <c r="B19">
        <v>0</v>
      </c>
      <c r="C19">
        <f t="shared" si="4"/>
        <v>0</v>
      </c>
      <c r="D19">
        <f t="shared" si="5"/>
        <v>0</v>
      </c>
      <c r="E19">
        <f t="shared" si="6"/>
        <v>0</v>
      </c>
      <c r="F19">
        <f t="shared" si="7"/>
        <v>0</v>
      </c>
    </row>
    <row r="20" spans="1:6">
      <c r="A20" s="3" t="s">
        <v>23</v>
      </c>
      <c r="B20">
        <v>5.5</v>
      </c>
      <c r="C20">
        <f t="shared" si="4"/>
        <v>5500</v>
      </c>
      <c r="D20">
        <f t="shared" si="5"/>
        <v>13.095238095238095</v>
      </c>
      <c r="E20">
        <f t="shared" si="6"/>
        <v>21.053437452151279</v>
      </c>
      <c r="F20">
        <f t="shared" si="7"/>
        <v>13.895268718419844</v>
      </c>
    </row>
    <row r="21" spans="1:6">
      <c r="A21" s="3" t="s">
        <v>34</v>
      </c>
      <c r="B21">
        <v>420</v>
      </c>
    </row>
    <row r="23" spans="1:6">
      <c r="A23" s="49" t="s">
        <v>48</v>
      </c>
      <c r="B23" s="49"/>
    </row>
    <row r="24" spans="1:6">
      <c r="A24" s="1"/>
      <c r="B24" s="6" t="s">
        <v>31</v>
      </c>
      <c r="C24" s="6" t="s">
        <v>17</v>
      </c>
      <c r="D24" s="5" t="s">
        <v>44</v>
      </c>
      <c r="E24" s="5" t="s">
        <v>42</v>
      </c>
      <c r="F24" s="5" t="s">
        <v>46</v>
      </c>
    </row>
    <row r="25" spans="1:6">
      <c r="A25" s="3" t="s">
        <v>24</v>
      </c>
      <c r="B25">
        <f>112.5+1031.2</f>
        <v>1143.7</v>
      </c>
      <c r="C25">
        <f>B25*1000</f>
        <v>1143700</v>
      </c>
      <c r="D25">
        <f>C25/$B$27</f>
        <v>2723.0952380952381</v>
      </c>
      <c r="E25">
        <f>D25/$B$12</f>
        <v>4377.9666207318942</v>
      </c>
      <c r="F25">
        <f>E25*0.57</f>
        <v>2495.4409738171794</v>
      </c>
    </row>
    <row r="26" spans="1:6">
      <c r="A26" s="3" t="s">
        <v>25</v>
      </c>
      <c r="B26">
        <f>54.3+36.2</f>
        <v>90.5</v>
      </c>
      <c r="C26">
        <f>B26*1000</f>
        <v>90500</v>
      </c>
      <c r="D26">
        <f>C26/$B$27</f>
        <v>215.47619047619048</v>
      </c>
      <c r="E26">
        <f>D26/$B$12</f>
        <v>346.42474353085288</v>
      </c>
      <c r="F26">
        <f>E26*0.57</f>
        <v>197.46210381258612</v>
      </c>
    </row>
    <row r="27" spans="1:6">
      <c r="A27" s="3" t="s">
        <v>34</v>
      </c>
      <c r="B27">
        <v>420</v>
      </c>
    </row>
    <row r="29" spans="1:6">
      <c r="A29" s="49" t="s">
        <v>49</v>
      </c>
      <c r="B29" s="49"/>
    </row>
    <row r="30" spans="1:6">
      <c r="A30" s="1"/>
      <c r="B30" s="6" t="s">
        <v>31</v>
      </c>
      <c r="C30" s="6" t="s">
        <v>17</v>
      </c>
      <c r="D30" s="5" t="s">
        <v>44</v>
      </c>
      <c r="E30" s="5" t="s">
        <v>42</v>
      </c>
      <c r="F30" s="5" t="s">
        <v>46</v>
      </c>
    </row>
    <row r="31" spans="1:6">
      <c r="A31" s="3" t="s">
        <v>24</v>
      </c>
      <c r="B31">
        <v>726.7</v>
      </c>
      <c r="C31">
        <f>B31*1000</f>
        <v>726700</v>
      </c>
      <c r="D31">
        <f>C31/$B$35</f>
        <v>2514.5328719723184</v>
      </c>
      <c r="E31">
        <f>D31/$B$12</f>
        <v>4042.6573504378111</v>
      </c>
      <c r="F31">
        <f>E31*0.66</f>
        <v>2668.1538512889556</v>
      </c>
    </row>
    <row r="32" spans="1:6">
      <c r="A32" s="3" t="s">
        <v>18</v>
      </c>
      <c r="B32">
        <v>21.2</v>
      </c>
      <c r="C32">
        <f t="shared" ref="C32:C34" si="8">B32*1000</f>
        <v>21200</v>
      </c>
      <c r="D32">
        <f t="shared" ref="D32:D34" si="9">C32/$B$35</f>
        <v>73.356401384083043</v>
      </c>
      <c r="E32">
        <f t="shared" ref="E32:E34" si="10">D32/$B$12</f>
        <v>117.9363366303586</v>
      </c>
      <c r="F32">
        <f t="shared" ref="F32:F34" si="11">E32*0.66</f>
        <v>77.837982176036675</v>
      </c>
    </row>
    <row r="33" spans="1:6">
      <c r="A33" s="3" t="s">
        <v>32</v>
      </c>
      <c r="B33">
        <v>109.6</v>
      </c>
      <c r="C33">
        <f t="shared" si="8"/>
        <v>109600</v>
      </c>
      <c r="D33">
        <f t="shared" si="9"/>
        <v>379.23875432525949</v>
      </c>
      <c r="E33">
        <f t="shared" si="10"/>
        <v>609.70860823996702</v>
      </c>
      <c r="F33">
        <f t="shared" si="11"/>
        <v>402.40768143837823</v>
      </c>
    </row>
    <row r="34" spans="1:6">
      <c r="A34" s="3" t="s">
        <v>33</v>
      </c>
      <c r="B34">
        <v>0</v>
      </c>
      <c r="C34">
        <f t="shared" si="8"/>
        <v>0</v>
      </c>
      <c r="D34">
        <f t="shared" si="9"/>
        <v>0</v>
      </c>
      <c r="E34">
        <f t="shared" si="10"/>
        <v>0</v>
      </c>
      <c r="F34">
        <f t="shared" si="11"/>
        <v>0</v>
      </c>
    </row>
    <row r="35" spans="1:6">
      <c r="A35" s="3" t="s">
        <v>34</v>
      </c>
      <c r="B35">
        <v>289</v>
      </c>
    </row>
    <row r="38" spans="1:6">
      <c r="A38" s="7" t="s">
        <v>52</v>
      </c>
      <c r="B38" s="8"/>
      <c r="C38" s="8"/>
      <c r="D38" s="8"/>
    </row>
    <row r="39" spans="1:6">
      <c r="A39" s="7"/>
      <c r="B39" s="9" t="s">
        <v>53</v>
      </c>
      <c r="C39" s="9" t="s">
        <v>54</v>
      </c>
      <c r="D39" s="9" t="s">
        <v>55</v>
      </c>
    </row>
    <row r="40" spans="1:6">
      <c r="A40" s="7" t="s">
        <v>1</v>
      </c>
      <c r="B40" s="8">
        <f>F16+F18+J5</f>
        <v>454.11246647045147</v>
      </c>
      <c r="C40" s="8">
        <f>K5+F26</f>
        <v>211.3482139312793</v>
      </c>
      <c r="D40" s="8">
        <f>J5+F32</f>
        <v>88.817697153608037</v>
      </c>
    </row>
    <row r="41" spans="1:6">
      <c r="A41" s="7" t="s">
        <v>2</v>
      </c>
      <c r="B41" s="8">
        <f>J4</f>
        <v>44.603826763526648</v>
      </c>
      <c r="C41" s="8">
        <f>K4+F25</f>
        <v>2551.8516959004633</v>
      </c>
      <c r="D41" s="8">
        <f>J4+F31</f>
        <v>2712.7576780524823</v>
      </c>
    </row>
    <row r="42" spans="1:6">
      <c r="A42" s="7" t="s">
        <v>3</v>
      </c>
      <c r="B42" s="8">
        <f>F17+F19</f>
        <v>152.59531465319245</v>
      </c>
      <c r="C42" s="8">
        <v>0</v>
      </c>
      <c r="D42" s="8">
        <f>F33+F34</f>
        <v>402.40768143837823</v>
      </c>
    </row>
    <row r="43" spans="1:6">
      <c r="A43" s="7" t="s">
        <v>4</v>
      </c>
      <c r="B43" s="8">
        <f>K6</f>
        <v>0.46087888531618437</v>
      </c>
      <c r="C43" s="8">
        <f>K6</f>
        <v>0.46087888531618437</v>
      </c>
      <c r="D43" s="8">
        <f>J6</f>
        <v>0.36441586280814581</v>
      </c>
    </row>
    <row r="44" spans="1:6">
      <c r="A44" s="7" t="s">
        <v>5</v>
      </c>
      <c r="B44" s="8">
        <v>0</v>
      </c>
      <c r="C44" s="8">
        <v>0</v>
      </c>
      <c r="D44" s="8">
        <v>0</v>
      </c>
    </row>
    <row r="45" spans="1:6">
      <c r="A45" s="7" t="s">
        <v>6</v>
      </c>
      <c r="B45" s="8">
        <v>0</v>
      </c>
      <c r="C45" s="8">
        <v>0</v>
      </c>
      <c r="D45" s="8">
        <v>0</v>
      </c>
    </row>
    <row r="46" spans="1:6">
      <c r="A46" s="7" t="s">
        <v>7</v>
      </c>
      <c r="B46" s="8">
        <f>F20</f>
        <v>13.895268718419844</v>
      </c>
      <c r="C46" s="8">
        <v>0</v>
      </c>
      <c r="D46" s="8">
        <v>0</v>
      </c>
    </row>
    <row r="47" spans="1:6">
      <c r="A47" s="7" t="s">
        <v>8</v>
      </c>
      <c r="B47" s="8">
        <v>0</v>
      </c>
      <c r="C47" s="8">
        <v>0</v>
      </c>
      <c r="D47" s="8">
        <v>0</v>
      </c>
    </row>
  </sheetData>
  <mergeCells count="5">
    <mergeCell ref="A14:B14"/>
    <mergeCell ref="A23:B23"/>
    <mergeCell ref="B1:E1"/>
    <mergeCell ref="B3:E3"/>
    <mergeCell ref="A29:B29"/>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dimension ref="A2:I42"/>
  <sheetViews>
    <sheetView workbookViewId="0">
      <selection activeCell="E36" sqref="E36"/>
    </sheetView>
  </sheetViews>
  <sheetFormatPr defaultRowHeight="15"/>
  <cols>
    <col min="1" max="1" width="30.140625" bestFit="1" customWidth="1"/>
    <col min="2" max="3" width="8.85546875" bestFit="1" customWidth="1"/>
    <col min="5" max="5" width="17.7109375" customWidth="1"/>
  </cols>
  <sheetData>
    <row r="2" spans="1:9">
      <c r="A2" s="46" t="s">
        <v>76</v>
      </c>
      <c r="B2" s="46"/>
      <c r="C2" s="46"/>
      <c r="I2" s="26"/>
    </row>
    <row r="3" spans="1:9">
      <c r="B3" t="s">
        <v>58</v>
      </c>
      <c r="C3" t="s">
        <v>59</v>
      </c>
    </row>
    <row r="4" spans="1:9">
      <c r="A4" t="s">
        <v>65</v>
      </c>
      <c r="B4">
        <v>5.19</v>
      </c>
      <c r="C4">
        <v>6.34</v>
      </c>
    </row>
    <row r="5" spans="1:9">
      <c r="A5" t="s">
        <v>78</v>
      </c>
      <c r="B5">
        <v>21</v>
      </c>
      <c r="C5">
        <v>21</v>
      </c>
    </row>
    <row r="6" spans="1:9">
      <c r="A6" t="s">
        <v>80</v>
      </c>
      <c r="B6">
        <f>B4*B5</f>
        <v>108.99000000000001</v>
      </c>
      <c r="C6">
        <f>C4*C5</f>
        <v>133.13999999999999</v>
      </c>
    </row>
    <row r="7" spans="1:9">
      <c r="A7" t="s">
        <v>81</v>
      </c>
      <c r="B7">
        <v>9.6999999999999993</v>
      </c>
      <c r="C7">
        <v>6.375</v>
      </c>
    </row>
    <row r="8" spans="1:9">
      <c r="A8" t="s">
        <v>62</v>
      </c>
      <c r="B8">
        <v>6.8</v>
      </c>
      <c r="C8">
        <v>12.7</v>
      </c>
    </row>
    <row r="9" spans="1:9">
      <c r="A9" t="s">
        <v>82</v>
      </c>
      <c r="B9">
        <f>B8*B7</f>
        <v>65.959999999999994</v>
      </c>
      <c r="C9">
        <f>C8*C7</f>
        <v>80.962499999999991</v>
      </c>
    </row>
    <row r="10" spans="1:9">
      <c r="A10" t="s">
        <v>63</v>
      </c>
      <c r="B10">
        <f>B6/B9</f>
        <v>1.6523650697392362</v>
      </c>
      <c r="C10">
        <f>C6/C9</f>
        <v>1.6444650301065309</v>
      </c>
    </row>
    <row r="11" spans="1:9">
      <c r="A11" t="s">
        <v>84</v>
      </c>
      <c r="B11">
        <f>B5/(B5+B16)</f>
        <v>0.15555555555555556</v>
      </c>
      <c r="C11">
        <f>C5/(C5+C16)</f>
        <v>0.15555555555555556</v>
      </c>
    </row>
    <row r="13" spans="1:9">
      <c r="A13" s="46" t="s">
        <v>77</v>
      </c>
      <c r="B13" s="46"/>
      <c r="C13" s="46"/>
      <c r="E13" s="47" t="s">
        <v>83</v>
      </c>
      <c r="F13" s="47"/>
      <c r="G13" s="47"/>
    </row>
    <row r="14" spans="1:9">
      <c r="B14" t="s">
        <v>58</v>
      </c>
      <c r="C14" t="s">
        <v>59</v>
      </c>
      <c r="E14" s="28"/>
      <c r="F14" s="28" t="s">
        <v>58</v>
      </c>
      <c r="G14" s="28" t="s">
        <v>59</v>
      </c>
    </row>
    <row r="15" spans="1:9">
      <c r="A15" t="s">
        <v>65</v>
      </c>
      <c r="B15">
        <v>2.27</v>
      </c>
      <c r="C15">
        <v>4.1900000000000004</v>
      </c>
      <c r="E15" s="28" t="s">
        <v>65</v>
      </c>
      <c r="F15" s="28">
        <f>(B4*0.16)+(B15*0.84)</f>
        <v>2.7372000000000001</v>
      </c>
      <c r="G15" s="28">
        <f>(C4*0.16)+(C15*0.84)</f>
        <v>4.5339999999999998</v>
      </c>
    </row>
    <row r="16" spans="1:9">
      <c r="A16" t="s">
        <v>78</v>
      </c>
      <c r="B16">
        <v>114</v>
      </c>
      <c r="C16">
        <v>114</v>
      </c>
      <c r="E16" s="28" t="s">
        <v>78</v>
      </c>
      <c r="F16" s="28">
        <v>114</v>
      </c>
      <c r="G16" s="28">
        <v>114</v>
      </c>
    </row>
    <row r="17" spans="1:7">
      <c r="A17" t="s">
        <v>80</v>
      </c>
      <c r="B17">
        <f>B15*B16</f>
        <v>258.78000000000003</v>
      </c>
      <c r="C17">
        <f>C15*C16</f>
        <v>477.66</v>
      </c>
      <c r="E17" s="28" t="s">
        <v>80</v>
      </c>
      <c r="F17" s="28">
        <f>F15*F16</f>
        <v>312.04079999999999</v>
      </c>
      <c r="G17" s="28">
        <f>G15*G16</f>
        <v>516.87599999999998</v>
      </c>
    </row>
    <row r="18" spans="1:7">
      <c r="A18" t="s">
        <v>61</v>
      </c>
      <c r="B18">
        <v>9.6999999999999993</v>
      </c>
      <c r="C18">
        <v>6.375</v>
      </c>
      <c r="E18" s="28" t="s">
        <v>61</v>
      </c>
      <c r="F18" s="28">
        <v>9.6999999999999993</v>
      </c>
      <c r="G18" s="28">
        <v>6.375</v>
      </c>
    </row>
    <row r="19" spans="1:7">
      <c r="A19" t="s">
        <v>62</v>
      </c>
      <c r="B19">
        <v>6.8</v>
      </c>
      <c r="C19">
        <v>12.7</v>
      </c>
      <c r="E19" s="28" t="s">
        <v>62</v>
      </c>
      <c r="F19" s="28">
        <v>6.8</v>
      </c>
      <c r="G19" s="28">
        <v>12.7</v>
      </c>
    </row>
    <row r="20" spans="1:7">
      <c r="A20" t="s">
        <v>82</v>
      </c>
      <c r="B20">
        <f>B19*B18</f>
        <v>65.959999999999994</v>
      </c>
      <c r="C20">
        <f>C19*C18</f>
        <v>80.962499999999991</v>
      </c>
      <c r="E20" s="28" t="s">
        <v>82</v>
      </c>
      <c r="F20" s="28">
        <f>F19*F18</f>
        <v>65.959999999999994</v>
      </c>
      <c r="G20" s="28">
        <f>G19*G18</f>
        <v>80.962499999999991</v>
      </c>
    </row>
    <row r="21" spans="1:7">
      <c r="A21" t="s">
        <v>63</v>
      </c>
      <c r="B21">
        <f>B17/B20</f>
        <v>3.9232868405094004</v>
      </c>
      <c r="C21">
        <f>C17/C20</f>
        <v>5.8997684113015296</v>
      </c>
      <c r="E21" s="28" t="s">
        <v>63</v>
      </c>
      <c r="F21" s="28">
        <f>F17/F20</f>
        <v>4.7307580351728324</v>
      </c>
      <c r="G21" s="28">
        <f>G17/G20</f>
        <v>6.3841408059286708</v>
      </c>
    </row>
    <row r="22" spans="1:7">
      <c r="A22" t="s">
        <v>84</v>
      </c>
      <c r="B22">
        <f>B16/(B16+B5)</f>
        <v>0.84444444444444444</v>
      </c>
      <c r="C22">
        <f>C16/(C16+C5)</f>
        <v>0.84444444444444444</v>
      </c>
      <c r="E22" s="27" t="s">
        <v>67</v>
      </c>
      <c r="F22" s="27">
        <v>0.06</v>
      </c>
      <c r="G22" s="27">
        <v>0.1</v>
      </c>
    </row>
    <row r="25" spans="1:7">
      <c r="A25" s="46" t="s">
        <v>60</v>
      </c>
      <c r="B25" s="46"/>
      <c r="C25" s="46"/>
      <c r="F25">
        <f>B10*B11</f>
        <v>0.25703456640388117</v>
      </c>
    </row>
    <row r="26" spans="1:7">
      <c r="B26" t="s">
        <v>58</v>
      </c>
      <c r="C26" t="s">
        <v>59</v>
      </c>
    </row>
    <row r="27" spans="1:7">
      <c r="A27" t="s">
        <v>65</v>
      </c>
      <c r="B27">
        <v>2.17</v>
      </c>
      <c r="C27">
        <v>2.34</v>
      </c>
    </row>
    <row r="28" spans="1:7">
      <c r="A28" t="s">
        <v>64</v>
      </c>
      <c r="B28">
        <v>112</v>
      </c>
      <c r="C28">
        <v>111</v>
      </c>
    </row>
    <row r="29" spans="1:7">
      <c r="A29" t="s">
        <v>79</v>
      </c>
      <c r="B29">
        <v>130</v>
      </c>
      <c r="C29">
        <v>203</v>
      </c>
    </row>
    <row r="30" spans="1:7">
      <c r="A30" t="s">
        <v>66</v>
      </c>
      <c r="B30">
        <f>B29*B27</f>
        <v>282.09999999999997</v>
      </c>
      <c r="C30">
        <f>C29*C27</f>
        <v>475.02</v>
      </c>
    </row>
    <row r="31" spans="1:7">
      <c r="A31" t="s">
        <v>63</v>
      </c>
      <c r="B31">
        <f>B30/B28</f>
        <v>2.5187499999999998</v>
      </c>
      <c r="C31">
        <f>C30/C28</f>
        <v>4.279459459459459</v>
      </c>
      <c r="E31" t="s">
        <v>149</v>
      </c>
      <c r="F31">
        <f>B31*B32+F21*F22+B10*B11</f>
        <v>2.9085050485142507</v>
      </c>
    </row>
    <row r="32" spans="1:7">
      <c r="A32" t="s">
        <v>67</v>
      </c>
      <c r="B32">
        <v>0.94</v>
      </c>
      <c r="C32">
        <v>0.9</v>
      </c>
    </row>
    <row r="34" spans="1:4">
      <c r="A34" t="s">
        <v>68</v>
      </c>
      <c r="B34">
        <f>(B6*F22)+(B30*B32)</f>
        <v>271.71339999999998</v>
      </c>
      <c r="C34">
        <f>(C6*G22)+(C30*C32)</f>
        <v>440.83199999999999</v>
      </c>
    </row>
    <row r="35" spans="1:4">
      <c r="A35" t="s">
        <v>69</v>
      </c>
      <c r="B35">
        <f>B34/0.75</f>
        <v>362.28453333333329</v>
      </c>
      <c r="C35">
        <f>C34/0.75</f>
        <v>587.77599999999995</v>
      </c>
    </row>
    <row r="37" spans="1:4">
      <c r="A37" s="8"/>
      <c r="B37" s="8"/>
      <c r="C37" s="8" t="s">
        <v>58</v>
      </c>
      <c r="D37" s="8" t="s">
        <v>59</v>
      </c>
    </row>
    <row r="38" spans="1:4">
      <c r="A38" s="8" t="s">
        <v>74</v>
      </c>
      <c r="B38" s="8"/>
      <c r="C38" s="48" t="s">
        <v>42</v>
      </c>
      <c r="D38" s="48"/>
    </row>
    <row r="39" spans="1:4">
      <c r="A39" s="8" t="s">
        <v>70</v>
      </c>
      <c r="B39" s="8">
        <v>0.32400000000000001</v>
      </c>
      <c r="C39" s="8">
        <f>B$35*$B39</f>
        <v>117.38018879999998</v>
      </c>
      <c r="D39" s="8">
        <f>C$35*$B39</f>
        <v>190.439424</v>
      </c>
    </row>
    <row r="40" spans="1:4">
      <c r="A40" s="8" t="s">
        <v>71</v>
      </c>
      <c r="B40" s="8">
        <v>0.39999999999999997</v>
      </c>
      <c r="C40" s="8">
        <f t="shared" ref="C40:D42" si="0">B$35*$B40</f>
        <v>144.91381333333331</v>
      </c>
      <c r="D40" s="8">
        <f t="shared" si="0"/>
        <v>235.11039999999997</v>
      </c>
    </row>
    <row r="41" spans="1:4">
      <c r="A41" s="8" t="s">
        <v>72</v>
      </c>
      <c r="B41" s="8">
        <v>0.182</v>
      </c>
      <c r="C41" s="8">
        <f t="shared" si="0"/>
        <v>65.935785066666654</v>
      </c>
      <c r="D41" s="8">
        <f t="shared" si="0"/>
        <v>106.97523199999999</v>
      </c>
    </row>
    <row r="42" spans="1:4">
      <c r="A42" s="8" t="s">
        <v>73</v>
      </c>
      <c r="B42" s="8">
        <v>9.4000000000000083E-2</v>
      </c>
      <c r="C42" s="8">
        <f t="shared" si="0"/>
        <v>34.05474613333336</v>
      </c>
      <c r="D42" s="8">
        <f t="shared" si="0"/>
        <v>55.250944000000047</v>
      </c>
    </row>
  </sheetData>
  <mergeCells count="5">
    <mergeCell ref="A25:C25"/>
    <mergeCell ref="A2:C2"/>
    <mergeCell ref="C38:D38"/>
    <mergeCell ref="A13:C13"/>
    <mergeCell ref="E13:G1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data</vt:lpstr>
      <vt:lpstr>CGS</vt:lpstr>
      <vt:lpstr>Pigs</vt:lpstr>
      <vt:lpstr>dairy</vt:lpstr>
      <vt:lpstr>meat cross walk</vt:lpstr>
      <vt:lpstr>Old beef calcs </vt:lpstr>
      <vt:lpstr>Old pig calcs</vt:lpstr>
    </vt:vector>
  </TitlesOfParts>
  <Company>NREL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dinman</dc:creator>
  <cp:lastModifiedBy>dinman</cp:lastModifiedBy>
  <dcterms:created xsi:type="dcterms:W3CDTF">2010-10-20T20:40:28Z</dcterms:created>
  <dcterms:modified xsi:type="dcterms:W3CDTF">2011-01-11T19:03:25Z</dcterms:modified>
</cp:coreProperties>
</file>