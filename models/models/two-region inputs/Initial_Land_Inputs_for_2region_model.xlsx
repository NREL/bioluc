
<file path=[Content_Types].xml><?xml version="1.0" encoding="utf-8"?>
<Types xmlns="http://schemas.openxmlformats.org/package/2006/content-types">
  <Default Extension="bin" ContentType="application/vnd.openxmlformats-officedocument.spreadsheetml.printerSetting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xl/worksheets/sheet4.xml" ContentType="application/vnd.openxmlformats-officedocument.spreadsheetml.worksheet+xml"/>
  <Override PartName="/xl/worksheets/sheet5.xml" ContentType="application/vnd.openxmlformats-officedocument.spreadsheetml.worksheet+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worksheets/sheet1.xml" ContentType="application/vnd.openxmlformats-officedocument.spreadsheetml.worksheet+xml"/>
  <Override PartName="/xl/calcChain.xml" ContentType="application/vnd.openxmlformats-officedocument.spreadsheetml.calcChain+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6"/>
  <workbookPr defaultThemeVersion="124226"/>
  <bookViews>
    <workbookView xWindow="720" yWindow="570" windowWidth="16635" windowHeight="8190" activeTab="4"/>
  </bookViews>
  <sheets>
    <sheet name="Model_Inputs" sheetId="4" r:id="rId1"/>
    <sheet name="FAO-data-calculations" sheetId="1" r:id="rId2"/>
    <sheet name="potential-natural-veg-calcs" sheetId="5" r:id="rId3"/>
    <sheet name="FAO-definitions" sheetId="2" r:id="rId4"/>
    <sheet name="crosswalk" sheetId="3" r:id="rId5"/>
  </sheets>
  <calcPr calcId="125725"/>
</workbook>
</file>

<file path=xl/calcChain.xml><?xml version="1.0" encoding="utf-8"?>
<calcChain xmlns="http://schemas.openxmlformats.org/spreadsheetml/2006/main">
  <c r="C45" i="1"/>
  <c r="C49"/>
  <c r="H29" i="5"/>
  <c r="G29"/>
  <c r="F29"/>
  <c r="E29"/>
  <c r="D29"/>
  <c r="C29"/>
  <c r="J29" s="1"/>
  <c r="H28"/>
  <c r="G28"/>
  <c r="F28"/>
  <c r="E28"/>
  <c r="D28"/>
  <c r="C28"/>
  <c r="J28" s="1"/>
  <c r="H27"/>
  <c r="G27"/>
  <c r="F27"/>
  <c r="E27"/>
  <c r="D27"/>
  <c r="C27"/>
  <c r="J27" s="1"/>
  <c r="H26"/>
  <c r="G26"/>
  <c r="F26"/>
  <c r="E26"/>
  <c r="D26"/>
  <c r="C26"/>
  <c r="J26" s="1"/>
  <c r="H25"/>
  <c r="G25"/>
  <c r="F25"/>
  <c r="E25"/>
  <c r="D25"/>
  <c r="C25"/>
  <c r="J25" s="1"/>
  <c r="F38" s="1"/>
  <c r="H24"/>
  <c r="G24"/>
  <c r="F24"/>
  <c r="E24"/>
  <c r="D24"/>
  <c r="C24"/>
  <c r="H23"/>
  <c r="G23"/>
  <c r="F23"/>
  <c r="E23"/>
  <c r="D23"/>
  <c r="C23"/>
  <c r="J23" s="1"/>
  <c r="H22"/>
  <c r="G22"/>
  <c r="F22"/>
  <c r="E22"/>
  <c r="D22"/>
  <c r="C22"/>
  <c r="J22" s="1"/>
  <c r="H21"/>
  <c r="G21"/>
  <c r="F21"/>
  <c r="E21"/>
  <c r="D21"/>
  <c r="C21"/>
  <c r="J21" s="1"/>
  <c r="H20"/>
  <c r="G20"/>
  <c r="F20"/>
  <c r="E20"/>
  <c r="D20"/>
  <c r="C20"/>
  <c r="J20" s="1"/>
  <c r="H19"/>
  <c r="G19"/>
  <c r="F19"/>
  <c r="E19"/>
  <c r="D19"/>
  <c r="C19"/>
  <c r="J19" s="1"/>
  <c r="H18"/>
  <c r="G18"/>
  <c r="F18"/>
  <c r="E18"/>
  <c r="D18"/>
  <c r="C18"/>
  <c r="G38" s="1"/>
  <c r="J15"/>
  <c r="J24" l="1"/>
  <c r="H38"/>
  <c r="J18"/>
  <c r="C33"/>
  <c r="G39" s="1"/>
  <c r="C6" i="4" l="1"/>
  <c r="C11"/>
  <c r="E64" i="5"/>
  <c r="E48"/>
  <c r="E38"/>
  <c r="C32"/>
  <c r="H39"/>
  <c r="J38"/>
  <c r="C7" i="4" l="1"/>
  <c r="E65" i="5"/>
  <c r="E49"/>
  <c r="C12" i="4"/>
  <c r="C34" i="5"/>
  <c r="F39"/>
  <c r="E39"/>
  <c r="I38"/>
  <c r="I39" s="1"/>
  <c r="J39"/>
  <c r="C57" i="1"/>
  <c r="C56"/>
  <c r="C58" s="1"/>
  <c r="C4" i="4" s="1"/>
  <c r="C53" i="1"/>
  <c r="C52"/>
  <c r="C54" s="1"/>
  <c r="B4" i="4" s="1"/>
  <c r="C92" i="1"/>
  <c r="C91"/>
  <c r="C86"/>
  <c r="C85"/>
  <c r="C84"/>
  <c r="C77"/>
  <c r="C76"/>
  <c r="C93" s="1"/>
  <c r="C94" s="1"/>
  <c r="E15"/>
  <c r="C75"/>
  <c r="C74"/>
  <c r="C68"/>
  <c r="C71"/>
  <c r="C72" s="1"/>
  <c r="C69"/>
  <c r="E20"/>
  <c r="J6"/>
  <c r="I6"/>
  <c r="C48"/>
  <c r="C50" s="1"/>
  <c r="C44"/>
  <c r="C46" s="1"/>
  <c r="E39"/>
  <c r="E38"/>
  <c r="E37"/>
  <c r="E36"/>
  <c r="E35"/>
  <c r="E34"/>
  <c r="E33"/>
  <c r="E32"/>
  <c r="E31"/>
  <c r="E30"/>
  <c r="E29"/>
  <c r="E28"/>
  <c r="E27"/>
  <c r="E26"/>
  <c r="E25"/>
  <c r="E24"/>
  <c r="E23"/>
  <c r="E22"/>
  <c r="E21"/>
  <c r="E19"/>
  <c r="E18"/>
  <c r="E17"/>
  <c r="E16"/>
  <c r="E14"/>
  <c r="E13"/>
  <c r="E12"/>
  <c r="E11"/>
  <c r="E10"/>
  <c r="E9"/>
  <c r="E8"/>
  <c r="E7"/>
  <c r="E6"/>
  <c r="E5"/>
  <c r="E4"/>
  <c r="E3"/>
  <c r="D11" i="4" l="1"/>
  <c r="D6"/>
  <c r="B12"/>
  <c r="E59" i="5"/>
  <c r="E43"/>
  <c r="B7" i="4"/>
  <c r="D12"/>
  <c r="D7"/>
  <c r="B11"/>
  <c r="B6"/>
  <c r="E58" i="5"/>
  <c r="E42"/>
  <c r="C78" i="1"/>
  <c r="C95"/>
  <c r="C3" i="4" s="1"/>
  <c r="C87" i="1"/>
  <c r="C88" s="1"/>
  <c r="E41" i="5"/>
  <c r="C80" i="1"/>
  <c r="D2" i="4" s="1"/>
  <c r="B2"/>
  <c r="E47" i="5"/>
  <c r="C2" i="4"/>
  <c r="E57" i="5"/>
  <c r="B3" i="4"/>
  <c r="C60" i="1"/>
  <c r="D4" i="4" s="1"/>
  <c r="E63" i="5" l="1"/>
  <c r="E66" s="1"/>
  <c r="C13" i="4" s="1"/>
  <c r="C97" i="1"/>
  <c r="D3" i="4" s="1"/>
  <c r="E61" i="5"/>
  <c r="E60"/>
  <c r="E67"/>
  <c r="C14" i="4" s="1"/>
  <c r="E51" i="5"/>
  <c r="C9" i="4" s="1"/>
  <c r="E50" i="5"/>
  <c r="C8" i="4" s="1"/>
  <c r="E45" i="5"/>
  <c r="E44"/>
  <c r="B8" i="4" l="1"/>
  <c r="E53" i="5"/>
  <c r="D8" i="4" s="1"/>
  <c r="B13"/>
  <c r="E69" i="5"/>
  <c r="D13" i="4" s="1"/>
  <c r="B9"/>
  <c r="E54" i="5"/>
  <c r="D9" i="4" s="1"/>
  <c r="E70" i="5"/>
  <c r="D14" i="4" s="1"/>
  <c r="B14"/>
</calcChain>
</file>

<file path=xl/sharedStrings.xml><?xml version="1.0" encoding="utf-8"?>
<sst xmlns="http://schemas.openxmlformats.org/spreadsheetml/2006/main" count="387" uniqueCount="207">
  <si>
    <t>FAO Category</t>
  </si>
  <si>
    <t>US data available? (2002 data)</t>
  </si>
  <si>
    <t>US data available? (2006 data)</t>
  </si>
  <si>
    <t>World data available? (2006 data)</t>
  </si>
  <si>
    <t>ROW--Calculated: World - USA (2006 data)</t>
  </si>
  <si>
    <t>Units</t>
  </si>
  <si>
    <t>Relationships</t>
  </si>
  <si>
    <t>Notes</t>
  </si>
  <si>
    <t>Country area</t>
  </si>
  <si>
    <t>1000 ha</t>
  </si>
  <si>
    <t>Sum of arable land, permanent crops, permanent meadows and pastures, forest area, other land, and inland water</t>
  </si>
  <si>
    <t>Land area</t>
  </si>
  <si>
    <t>Sum of arable land, permanent crops, permanent meadows and pastures, forest area, and other land</t>
  </si>
  <si>
    <t>Agricultural area</t>
  </si>
  <si>
    <t>Sum of arable land, permanent crops, and permanent meadows and pastures</t>
  </si>
  <si>
    <t>Agricultural area organic, total</t>
  </si>
  <si>
    <t>Agricultural area certified organic</t>
  </si>
  <si>
    <t>Agricultural area in conversion to organic</t>
  </si>
  <si>
    <t>Agricultural area irrigated</t>
  </si>
  <si>
    <t>Arable land and Permanent crops</t>
  </si>
  <si>
    <t>Sum of arable land and permanent crops</t>
  </si>
  <si>
    <t>Arable land</t>
  </si>
  <si>
    <t>Raw number</t>
  </si>
  <si>
    <t>Listed as "raw" but really is the sum of temporary crops, temporary meadows and pasture, and fallow land. See definitions</t>
  </si>
  <si>
    <t>Arable land organic, total</t>
  </si>
  <si>
    <t>Arable land area certified organic</t>
  </si>
  <si>
    <t>Arable land area in conversion to organic</t>
  </si>
  <si>
    <t>Temporary crops</t>
  </si>
  <si>
    <t>These data are available for only select countries and select years</t>
  </si>
  <si>
    <t>Temp. crops irrigated</t>
  </si>
  <si>
    <t>Temp. crops non-irrigated</t>
  </si>
  <si>
    <t>Temporary meadows and pastures</t>
  </si>
  <si>
    <t>Temp. meadows &amp; pastures irrigated</t>
  </si>
  <si>
    <t>Temp. meadows &amp; pastures non-irrig.</t>
  </si>
  <si>
    <t>Fallow land</t>
  </si>
  <si>
    <t>Permanent crops</t>
  </si>
  <si>
    <t>Permanent crops organic, total</t>
  </si>
  <si>
    <t>Permanent crops area certified organic</t>
  </si>
  <si>
    <t>Permanent crops area in conversion to organic</t>
  </si>
  <si>
    <t>Perm. crops irrigated</t>
  </si>
  <si>
    <t>Perm. crops non-irrigated</t>
  </si>
  <si>
    <t>Permanent meadows and pastures</t>
  </si>
  <si>
    <t>Permanent meadows and pastures organic, total</t>
  </si>
  <si>
    <t>Permanent meadows and pastures area certified organic</t>
  </si>
  <si>
    <t>Permanent meadows and pastures area in conversion to organic</t>
  </si>
  <si>
    <t>Perm. meadows &amp; pastures - Cultivated</t>
  </si>
  <si>
    <t>Perm. meadows &amp; pastures Cult. &amp; irrig</t>
  </si>
  <si>
    <t>Perm. meadows &amp; pastures - Nat. grown</t>
  </si>
  <si>
    <t>Perm. meadows &amp; pastures Cult. non-irrig</t>
  </si>
  <si>
    <t>Forest area</t>
  </si>
  <si>
    <t>Other land</t>
  </si>
  <si>
    <t>Inland water</t>
  </si>
  <si>
    <t>Total area equipped for irrigation</t>
  </si>
  <si>
    <t>Arable land is the land under temporary agricultural crops (multiple-cropped areas are counted only once), temporary meadows for mowing or pasture, land under market and kitchen gardens and land temporarily fallow (less than five years). The abandoned land resulting from shifting cultivation is not included in this category. Data for “Arable land” are not meant to indicate the amount of land that is potentially cultivable. Data are expressed in 1000 hectares.</t>
  </si>
  <si>
    <t>Permanent crops is the land cultivated with long-term crops which do not have to be replanted for several years (such as cocoa and coffee); land under trees and shrubs producing flowers, such as roses and jasmine; and nurseries (except those for forest trees, which should be classified under "forest"). Permanent meadows and pastures are excluded from land under permanent crops. Data are expressed in 1000 hectares.</t>
  </si>
  <si>
    <t>Permanent meadows and pastures is the land used permanently (five years or more) to grow herbaceous forage crops, either cultivated or growing wild (wild prairie or grazing land). Data are expressed in 1000 hectares.</t>
  </si>
  <si>
    <t>Forest area is the land spanning more than 0.5 hectares with trees higher than 5 metres and a canopy cover of more than 10 percent, or trees able to reach these thresholds in situ. It does not include land that is predominantly under agricultural or urban land use. Forest is determined both by the presence of trees and the absence of other predominant land uses. The trees should be able to reach a minimum height of 5 metres (m) in situ. Areas under reforestation that have not yet reached but are expected to reach a canopy cover of 10 percent and a tree height of 5 m are included, as are temporarily unstocked areas, resulting from human intervention or natural causes, which are expected to regenerate. Includes: areas with bamboo and palms provided that height and canopy cover criteria are met; forest roads, firebreaks and other small open areas; forest in national parks, nature reserves and other protected areas such as those of specific scientific, historical, cultural or spiritual interest; windbreaks, shelterbelts and corridors of trees with an area of more than 0.5 ha and width of more than 20 m; plantations primarily used for forestry or protective purposes, such as: rubber-wood plantations and cork, oak stands. Excludes: tree stands in agricultural production systems, for example in fruit plantations and agroforestry systems. The term also excludes trees in urban parks and gardens. Data are expressed in 1000 hectares.</t>
  </si>
  <si>
    <t>Other land is the land not classified as Agricultural land and Forest area. It includes built-up and related land, barren land, other wooded land, etc. Data are expressed in 1000 hectares.</t>
  </si>
  <si>
    <t>Model Categories List</t>
  </si>
  <si>
    <t>Potential candidates from FAO data</t>
  </si>
  <si>
    <t>R1.INIT_Avail_Land</t>
  </si>
  <si>
    <t>R1.INIT_Crop_Land</t>
  </si>
  <si>
    <t>R1.INIT_Pasture_Land</t>
  </si>
  <si>
    <t>R1.INIT_Abandoned_Land</t>
  </si>
  <si>
    <t>Other Land (fraction)</t>
  </si>
  <si>
    <t>Sum of Forest Area (fraction) +  Other Land (fraction)</t>
  </si>
  <si>
    <t>Sum of Permanent Crops + Arable Land (fraction)</t>
  </si>
  <si>
    <t>Sum of Permanent Meadows and Pasture + Arable Land (fraction)</t>
  </si>
  <si>
    <t xml:space="preserve">Data retrieved from: http://faostat.fao.org/site/377/default.aspx#ancor </t>
  </si>
  <si>
    <t>Defintions from: http://faostat.fao.org/site/379/default.aspx</t>
  </si>
  <si>
    <t>1000 ha protected (non-forest)</t>
  </si>
  <si>
    <t>1000 ha protected (forest)</t>
  </si>
  <si>
    <t>global</t>
  </si>
  <si>
    <t>usa</t>
  </si>
  <si>
    <t>1000 ha total protected land</t>
  </si>
  <si>
    <t>http://www.wdpa.org/Statistics.aspx</t>
  </si>
  <si>
    <t>http://www.fao.org/forestry/fra/fra2005/en/</t>
  </si>
  <si>
    <t>http://fia.fs.fed.us/library/briefings-summaries-overviews/docs/ForestFactsMetric.pdf</t>
  </si>
  <si>
    <t>ftp://ftp.fao.org/agl/agll/docs/wsr.pdf</t>
  </si>
  <si>
    <t>http://www.agu.org/pubs/crossref/2008/2007GB002952.shtml</t>
  </si>
  <si>
    <t>global cropland</t>
  </si>
  <si>
    <t>global permanent crops</t>
  </si>
  <si>
    <t>global arable land</t>
  </si>
  <si>
    <t>Percent of arable land to crops</t>
  </si>
  <si>
    <t>global arable cropland</t>
  </si>
  <si>
    <t>total global cropland</t>
  </si>
  <si>
    <t>USA permanent crops</t>
  </si>
  <si>
    <t>USA arable land</t>
  </si>
  <si>
    <t>usa arable cropland</t>
  </si>
  <si>
    <t>total usa cropland</t>
  </si>
  <si>
    <t>ROW total cropland</t>
  </si>
  <si>
    <t>Data name</t>
  </si>
  <si>
    <t>Global data</t>
  </si>
  <si>
    <t>US data</t>
  </si>
  <si>
    <t>ROW data</t>
  </si>
  <si>
    <t>Description</t>
  </si>
  <si>
    <t>Source</t>
  </si>
  <si>
    <t>Comments</t>
  </si>
  <si>
    <t>Total Cropland</t>
  </si>
  <si>
    <t>For Global data, permanent crops plus 95% of arable land.  For USA, permanent crops plus 86% of arable land</t>
  </si>
  <si>
    <t xml:space="preserve">FAOSTAT; </t>
  </si>
  <si>
    <t>http://www.fao.org/docrep/010/ag049e/AG049E03.htm</t>
  </si>
  <si>
    <t>Total Pastureland</t>
  </si>
  <si>
    <t>global pastureland</t>
  </si>
  <si>
    <t>global permanent pasture</t>
  </si>
  <si>
    <t>percent of arable land to pasture</t>
  </si>
  <si>
    <t>global arable pastureland</t>
  </si>
  <si>
    <t>total global pastureland</t>
  </si>
  <si>
    <t>USA permanent pasture</t>
  </si>
  <si>
    <t>USA arable pastureland</t>
  </si>
  <si>
    <t>total USA pastureland</t>
  </si>
  <si>
    <t>ROW total pastureland</t>
  </si>
  <si>
    <t>For global data, permanent pasture plus 5% of arable land. For USA, permanent pasture plus 14% of arable land</t>
  </si>
  <si>
    <t>Total Forestland</t>
  </si>
  <si>
    <t>Total forests from FAO minus protected forests</t>
  </si>
  <si>
    <t>global forest</t>
  </si>
  <si>
    <t>protected forest</t>
  </si>
  <si>
    <t>usa forest</t>
  </si>
  <si>
    <t>total available forest usa</t>
  </si>
  <si>
    <t>ROW total available forest</t>
  </si>
  <si>
    <t>Stella Variable Name</t>
  </si>
  <si>
    <t>Area %</t>
  </si>
  <si>
    <t>North America</t>
  </si>
  <si>
    <t>South America</t>
  </si>
  <si>
    <t>Europe</t>
  </si>
  <si>
    <t>Africa</t>
  </si>
  <si>
    <t>Asia</t>
  </si>
  <si>
    <t>Oceania</t>
  </si>
  <si>
    <t>TRF</t>
  </si>
  <si>
    <t>TSF</t>
  </si>
  <si>
    <t>SRF</t>
  </si>
  <si>
    <t>SSF</t>
  </si>
  <si>
    <t>TMF</t>
  </si>
  <si>
    <t>SPF</t>
  </si>
  <si>
    <t>WLD</t>
  </si>
  <si>
    <t>STP</t>
  </si>
  <si>
    <t>THS</t>
  </si>
  <si>
    <t>DST</t>
  </si>
  <si>
    <t>TUN</t>
  </si>
  <si>
    <t>ICE</t>
  </si>
  <si>
    <t>Total Gha</t>
  </si>
  <si>
    <t>World total area</t>
  </si>
  <si>
    <t>NA total area</t>
  </si>
  <si>
    <t>World-NA total area</t>
  </si>
  <si>
    <t>World Forest</t>
  </si>
  <si>
    <t>World Grassland</t>
  </si>
  <si>
    <t>NA Forest</t>
  </si>
  <si>
    <t>NA Grassland</t>
  </si>
  <si>
    <t>World-NA Forest</t>
  </si>
  <si>
    <t>World-NA Grassland</t>
  </si>
  <si>
    <t xml:space="preserve">If woodland counts as forest: </t>
  </si>
  <si>
    <t>percent cropland naturally forest</t>
  </si>
  <si>
    <t>percent cropland naturally pastureland</t>
  </si>
  <si>
    <t>global cropland naturally forest</t>
  </si>
  <si>
    <t>global cropland naturally pastureland</t>
  </si>
  <si>
    <t>usa cropland</t>
  </si>
  <si>
    <t>usa cropland naturally forest</t>
  </si>
  <si>
    <t>usa cropland naturally pastureland</t>
  </si>
  <si>
    <t>ROW cropland naturally forest</t>
  </si>
  <si>
    <t>ROW cropland naturally pastureland</t>
  </si>
  <si>
    <t>percent pastureland naturally forest</t>
  </si>
  <si>
    <t>percent pastureland naturally pastureland</t>
  </si>
  <si>
    <t>global pastureland naturally forest</t>
  </si>
  <si>
    <t>global pastureland naturally pastureland</t>
  </si>
  <si>
    <t>usa pastureland</t>
  </si>
  <si>
    <t>usa pastureland naturally forest</t>
  </si>
  <si>
    <t>usa pastureland naturally pastureland</t>
  </si>
  <si>
    <t>Percent cropland naturally forest</t>
  </si>
  <si>
    <t>Percent cropland naturally pastureland</t>
  </si>
  <si>
    <t>Cropland naturally forest</t>
  </si>
  <si>
    <t>Cropland naturally pastureland</t>
  </si>
  <si>
    <t>Percent pastureland naturally forest</t>
  </si>
  <si>
    <t>Percent pastureland naturally pastureland</t>
  </si>
  <si>
    <t>Pastureland naturally forest</t>
  </si>
  <si>
    <t>Pastureland naturally pastureland</t>
  </si>
  <si>
    <t>All data in 1000 ha</t>
  </si>
  <si>
    <t>ROW pastureland naturally forest</t>
  </si>
  <si>
    <t>ROW pastureland naturally pastureland</t>
  </si>
  <si>
    <t>State to which cropland will naturally revert</t>
  </si>
  <si>
    <t>State to which pastureland will naturally revert</t>
  </si>
  <si>
    <t>%</t>
  </si>
  <si>
    <t>Cha 1997</t>
  </si>
  <si>
    <t>Assumed all land uses would similarly revert to these percentages; no overlaying of existing land uses with natural land types occurred in this analysis. North American data is used in place of USA-specific data</t>
  </si>
  <si>
    <t>FAO</t>
  </si>
  <si>
    <t xml:space="preserve">1000 ha </t>
  </si>
  <si>
    <t>Unit</t>
  </si>
  <si>
    <t>total available forest global</t>
  </si>
  <si>
    <t>Protected Lands and Total Available Forests</t>
  </si>
  <si>
    <t>Calculation of existing cropland</t>
  </si>
  <si>
    <t>Calculation of existing pastureland</t>
  </si>
  <si>
    <t>Total cropland should equal 11% of land area</t>
  </si>
  <si>
    <t>Total pastureland should equal 26%</t>
  </si>
  <si>
    <t>Temperate rain forest</t>
  </si>
  <si>
    <t>Tropical seasonal forest</t>
  </si>
  <si>
    <t>subtropical rain forest</t>
  </si>
  <si>
    <t>subtropical seasonal forest</t>
  </si>
  <si>
    <t>Tropical rain forest</t>
  </si>
  <si>
    <t>subpolar forest</t>
  </si>
  <si>
    <t>woodlands</t>
  </si>
  <si>
    <t>steppe</t>
  </si>
  <si>
    <t>thorn shrub</t>
  </si>
  <si>
    <t>desert</t>
  </si>
  <si>
    <t>tundra</t>
  </si>
  <si>
    <t>ice</t>
  </si>
  <si>
    <t>Gha</t>
  </si>
  <si>
    <t>Source: Cha 1997</t>
  </si>
  <si>
    <t>http://www.springerlink.com/content/a76750xj2r28l161/fulltext.pdf</t>
  </si>
</sst>
</file>

<file path=xl/styles.xml><?xml version="1.0" encoding="utf-8"?>
<styleSheet xmlns="http://schemas.openxmlformats.org/spreadsheetml/2006/main">
  <numFmts count="2">
    <numFmt numFmtId="164" formatCode="0.0"/>
    <numFmt numFmtId="165" formatCode="0.0%"/>
  </numFmts>
  <fonts count="5">
    <font>
      <sz val="11"/>
      <color theme="1"/>
      <name val="Calibri"/>
      <family val="2"/>
      <scheme val="minor"/>
    </font>
    <font>
      <sz val="10"/>
      <color theme="1"/>
      <name val="Calibri"/>
      <family val="2"/>
      <scheme val="minor"/>
    </font>
    <font>
      <b/>
      <u/>
      <sz val="11"/>
      <color theme="1"/>
      <name val="Calibri"/>
      <family val="2"/>
      <scheme val="minor"/>
    </font>
    <font>
      <sz val="11"/>
      <color theme="1"/>
      <name val="Calibri"/>
      <family val="2"/>
      <scheme val="minor"/>
    </font>
    <font>
      <b/>
      <u/>
      <sz val="10"/>
      <color theme="1"/>
      <name val="Calibri"/>
      <family val="2"/>
      <scheme val="minor"/>
    </font>
  </fonts>
  <fills count="7">
    <fill>
      <patternFill patternType="none"/>
    </fill>
    <fill>
      <patternFill patternType="gray125"/>
    </fill>
    <fill>
      <patternFill patternType="solid">
        <fgColor rgb="FFFFFF00"/>
        <bgColor indexed="64"/>
      </patternFill>
    </fill>
    <fill>
      <patternFill patternType="solid">
        <fgColor theme="9" tint="0.79998168889431442"/>
        <bgColor indexed="64"/>
      </patternFill>
    </fill>
    <fill>
      <patternFill patternType="solid">
        <fgColor theme="8" tint="0.79998168889431442"/>
        <bgColor indexed="64"/>
      </patternFill>
    </fill>
    <fill>
      <patternFill patternType="solid">
        <fgColor theme="4" tint="0.79998168889431442"/>
        <bgColor indexed="64"/>
      </patternFill>
    </fill>
    <fill>
      <patternFill patternType="solid">
        <fgColor theme="6" tint="0.59999389629810485"/>
        <bgColor indexed="64"/>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2">
    <xf numFmtId="0" fontId="0" fillId="0" borderId="0"/>
    <xf numFmtId="9" fontId="3" fillId="0" borderId="0" applyFont="0" applyFill="0" applyBorder="0" applyAlignment="0" applyProtection="0"/>
  </cellStyleXfs>
  <cellXfs count="23">
    <xf numFmtId="0" fontId="0" fillId="0" borderId="0" xfId="0"/>
    <xf numFmtId="0" fontId="0" fillId="0" borderId="0" xfId="0" applyAlignment="1">
      <alignment wrapText="1"/>
    </xf>
    <xf numFmtId="0" fontId="1" fillId="0" borderId="1" xfId="0" applyFont="1" applyBorder="1" applyAlignment="1">
      <alignment wrapText="1"/>
    </xf>
    <xf numFmtId="0" fontId="1" fillId="0" borderId="0" xfId="0" applyFont="1" applyBorder="1" applyAlignment="1">
      <alignment wrapText="1"/>
    </xf>
    <xf numFmtId="0" fontId="0" fillId="0" borderId="1" xfId="0" applyBorder="1" applyAlignment="1">
      <alignment wrapText="1"/>
    </xf>
    <xf numFmtId="0" fontId="2" fillId="0" borderId="0" xfId="0" applyFont="1" applyAlignment="1">
      <alignment wrapText="1"/>
    </xf>
    <xf numFmtId="0" fontId="1" fillId="0" borderId="1" xfId="0" applyFont="1" applyBorder="1" applyAlignment="1">
      <alignment horizontal="center" vertical="center" wrapText="1"/>
    </xf>
    <xf numFmtId="0" fontId="0" fillId="2" borderId="0" xfId="0" applyFill="1"/>
    <xf numFmtId="2" fontId="0" fillId="0" borderId="0" xfId="0" applyNumberFormat="1"/>
    <xf numFmtId="164" fontId="0" fillId="0" borderId="0" xfId="0" applyNumberFormat="1"/>
    <xf numFmtId="165" fontId="0" fillId="0" borderId="0" xfId="1" applyNumberFormat="1" applyFont="1"/>
    <xf numFmtId="0" fontId="0" fillId="0" borderId="0" xfId="0" applyAlignment="1"/>
    <xf numFmtId="0" fontId="2" fillId="0" borderId="0" xfId="0" applyFont="1"/>
    <xf numFmtId="0" fontId="1" fillId="3" borderId="0" xfId="0" applyFont="1" applyFill="1" applyBorder="1" applyAlignment="1">
      <alignment wrapText="1"/>
    </xf>
    <xf numFmtId="0" fontId="0" fillId="3" borderId="0" xfId="0" applyFill="1"/>
    <xf numFmtId="3" fontId="0" fillId="3" borderId="0" xfId="0" applyNumberFormat="1" applyFill="1"/>
    <xf numFmtId="0" fontId="4" fillId="3" borderId="0" xfId="0" applyFont="1" applyFill="1" applyBorder="1" applyAlignment="1">
      <alignment wrapText="1"/>
    </xf>
    <xf numFmtId="0" fontId="2" fillId="4" borderId="0" xfId="0" applyFont="1" applyFill="1"/>
    <xf numFmtId="0" fontId="0" fillId="4" borderId="0" xfId="0" applyFill="1"/>
    <xf numFmtId="0" fontId="0" fillId="5" borderId="0" xfId="0" applyFill="1"/>
    <xf numFmtId="0" fontId="0" fillId="6" borderId="0" xfId="0" applyFill="1"/>
    <xf numFmtId="0" fontId="2" fillId="6" borderId="0" xfId="0" applyFont="1" applyFill="1"/>
    <xf numFmtId="165" fontId="0" fillId="2" borderId="0" xfId="0" applyNumberFormat="1" applyFill="1"/>
  </cellXfs>
  <cellStyles count="2">
    <cellStyle name="Normal" xfId="0" builtinId="0"/>
    <cellStyle name="Percent" xfId="1" builtinId="5"/>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dimension ref="A1:J20"/>
  <sheetViews>
    <sheetView workbookViewId="0">
      <selection activeCell="B2" sqref="B2"/>
    </sheetView>
  </sheetViews>
  <sheetFormatPr defaultRowHeight="15"/>
  <cols>
    <col min="1" max="1" width="28.42578125" customWidth="1"/>
    <col min="2" max="2" width="12" bestFit="1" customWidth="1"/>
    <col min="3" max="3" width="11" bestFit="1" customWidth="1"/>
    <col min="4" max="4" width="12" bestFit="1" customWidth="1"/>
    <col min="5" max="5" width="7.42578125" bestFit="1" customWidth="1"/>
    <col min="6" max="6" width="11.85546875" customWidth="1"/>
    <col min="7" max="7" width="20.28515625" customWidth="1"/>
  </cols>
  <sheetData>
    <row r="1" spans="1:10">
      <c r="A1" s="12" t="s">
        <v>91</v>
      </c>
      <c r="B1" s="12" t="s">
        <v>92</v>
      </c>
      <c r="C1" s="12" t="s">
        <v>93</v>
      </c>
      <c r="D1" s="12" t="s">
        <v>94</v>
      </c>
      <c r="E1" s="12" t="s">
        <v>5</v>
      </c>
      <c r="F1" s="12" t="s">
        <v>95</v>
      </c>
      <c r="G1" s="12" t="s">
        <v>120</v>
      </c>
      <c r="H1" s="12" t="s">
        <v>96</v>
      </c>
      <c r="I1" s="12" t="s">
        <v>97</v>
      </c>
    </row>
    <row r="2" spans="1:10">
      <c r="A2" t="s">
        <v>98</v>
      </c>
      <c r="B2" s="2">
        <f>'FAO-data-calculations'!C72</f>
        <v>1462809.9674999998</v>
      </c>
      <c r="C2" s="2">
        <f>'FAO-data-calculations'!C78</f>
        <v>153687</v>
      </c>
      <c r="D2" s="3">
        <f>'FAO-data-calculations'!C80</f>
        <v>1309122.9674999998</v>
      </c>
      <c r="E2" s="3" t="s">
        <v>9</v>
      </c>
      <c r="F2" t="s">
        <v>99</v>
      </c>
      <c r="G2" t="s">
        <v>61</v>
      </c>
      <c r="H2" t="s">
        <v>100</v>
      </c>
      <c r="I2" t="s">
        <v>101</v>
      </c>
    </row>
    <row r="3" spans="1:10">
      <c r="A3" t="s">
        <v>102</v>
      </c>
      <c r="B3">
        <f>'FAO-data-calculations'!C88</f>
        <v>3442212.5825</v>
      </c>
      <c r="C3">
        <f>'FAO-data-calculations'!C95</f>
        <v>262380</v>
      </c>
      <c r="D3">
        <f>'FAO-data-calculations'!C97</f>
        <v>3179832.5825</v>
      </c>
      <c r="E3" s="3" t="s">
        <v>9</v>
      </c>
      <c r="F3" t="s">
        <v>112</v>
      </c>
      <c r="G3" t="s">
        <v>62</v>
      </c>
      <c r="H3" t="s">
        <v>100</v>
      </c>
      <c r="I3" t="s">
        <v>101</v>
      </c>
    </row>
    <row r="4" spans="1:10">
      <c r="A4" t="s">
        <v>113</v>
      </c>
      <c r="B4">
        <f>'FAO-data-calculations'!C54</f>
        <v>3608759.5934000001</v>
      </c>
      <c r="C4">
        <f>'FAO-data-calculations'!C58</f>
        <v>279785.84400000004</v>
      </c>
      <c r="D4">
        <f>'FAO-data-calculations'!C60</f>
        <v>3328973.7494000001</v>
      </c>
      <c r="E4" s="3" t="s">
        <v>9</v>
      </c>
      <c r="F4" t="s">
        <v>114</v>
      </c>
      <c r="G4" t="s">
        <v>60</v>
      </c>
      <c r="H4" t="s">
        <v>100</v>
      </c>
      <c r="I4" t="s">
        <v>76</v>
      </c>
      <c r="J4" t="s">
        <v>77</v>
      </c>
    </row>
    <row r="6" spans="1:10" ht="30">
      <c r="A6" s="1" t="s">
        <v>167</v>
      </c>
      <c r="B6" s="10">
        <f>'potential-natural-veg-calcs'!$E$39</f>
        <v>0.61935950950698182</v>
      </c>
      <c r="C6" s="10">
        <f>'potential-natural-veg-calcs'!$G$39</f>
        <v>0.61399999999999999</v>
      </c>
      <c r="D6" s="10">
        <f>'potential-natural-veg-calcs'!$I$39</f>
        <v>0.6205461118557305</v>
      </c>
      <c r="E6" s="10" t="s">
        <v>180</v>
      </c>
      <c r="F6" t="s">
        <v>178</v>
      </c>
      <c r="H6" t="s">
        <v>181</v>
      </c>
      <c r="I6" t="s">
        <v>182</v>
      </c>
      <c r="J6" t="s">
        <v>206</v>
      </c>
    </row>
    <row r="7" spans="1:10" ht="30">
      <c r="A7" s="1" t="s">
        <v>168</v>
      </c>
      <c r="B7" s="10">
        <f>'potential-natural-veg-calcs'!$F$39</f>
        <v>0.38064049049301807</v>
      </c>
      <c r="C7" s="10">
        <f>'potential-natural-veg-calcs'!$H$39</f>
        <v>0.38600000000000007</v>
      </c>
      <c r="D7" s="10">
        <f>'potential-natural-veg-calcs'!$J$39</f>
        <v>0.37945388814426939</v>
      </c>
      <c r="E7" s="10" t="s">
        <v>180</v>
      </c>
      <c r="F7" t="s">
        <v>178</v>
      </c>
      <c r="H7" t="s">
        <v>181</v>
      </c>
      <c r="I7" t="s">
        <v>182</v>
      </c>
      <c r="J7" t="s">
        <v>206</v>
      </c>
    </row>
    <row r="8" spans="1:10">
      <c r="A8" s="1" t="s">
        <v>169</v>
      </c>
      <c r="B8">
        <f>'potential-natural-veg-calcs'!E44</f>
        <v>906005.26397272386</v>
      </c>
      <c r="C8">
        <f>'potential-natural-veg-calcs'!E50</f>
        <v>94363.817999999999</v>
      </c>
      <c r="D8">
        <f>'potential-natural-veg-calcs'!E53</f>
        <v>811641.44597272389</v>
      </c>
      <c r="E8" s="3" t="s">
        <v>9</v>
      </c>
    </row>
    <row r="9" spans="1:10" ht="30">
      <c r="A9" s="1" t="s">
        <v>170</v>
      </c>
      <c r="B9">
        <f>'potential-natural-veg-calcs'!E45</f>
        <v>556804.70352727571</v>
      </c>
      <c r="C9">
        <f>'potential-natural-veg-calcs'!E51</f>
        <v>59323.182000000008</v>
      </c>
      <c r="D9">
        <f>'potential-natural-veg-calcs'!E54</f>
        <v>497481.52152727568</v>
      </c>
      <c r="E9" s="3" t="s">
        <v>9</v>
      </c>
    </row>
    <row r="10" spans="1:10">
      <c r="A10" s="1"/>
    </row>
    <row r="11" spans="1:10" ht="30">
      <c r="A11" s="1" t="s">
        <v>171</v>
      </c>
      <c r="B11" s="10">
        <f>'potential-natural-veg-calcs'!$E$39</f>
        <v>0.61935950950698182</v>
      </c>
      <c r="C11" s="10">
        <f>'potential-natural-veg-calcs'!$G$39</f>
        <v>0.61399999999999999</v>
      </c>
      <c r="D11" s="10">
        <f>'potential-natural-veg-calcs'!$I$39</f>
        <v>0.6205461118557305</v>
      </c>
      <c r="E11" s="10" t="s">
        <v>180</v>
      </c>
      <c r="F11" t="s">
        <v>179</v>
      </c>
      <c r="H11" t="s">
        <v>181</v>
      </c>
      <c r="I11" t="s">
        <v>182</v>
      </c>
      <c r="J11" t="s">
        <v>206</v>
      </c>
    </row>
    <row r="12" spans="1:10" ht="30">
      <c r="A12" s="1" t="s">
        <v>172</v>
      </c>
      <c r="B12" s="10">
        <f>'potential-natural-veg-calcs'!$F$39</f>
        <v>0.38064049049301807</v>
      </c>
      <c r="C12" s="10">
        <f>'potential-natural-veg-calcs'!$H$39</f>
        <v>0.38600000000000007</v>
      </c>
      <c r="D12" s="10">
        <f>'potential-natural-veg-calcs'!$J$39</f>
        <v>0.37945388814426939</v>
      </c>
      <c r="E12" s="10" t="s">
        <v>180</v>
      </c>
      <c r="F12" t="s">
        <v>179</v>
      </c>
      <c r="H12" t="s">
        <v>181</v>
      </c>
      <c r="I12" t="s">
        <v>182</v>
      </c>
      <c r="J12" t="s">
        <v>206</v>
      </c>
    </row>
    <row r="13" spans="1:10">
      <c r="A13" s="1" t="s">
        <v>173</v>
      </c>
      <c r="B13">
        <f>'potential-natural-veg-calcs'!E60</f>
        <v>2131967.0967159611</v>
      </c>
      <c r="C13">
        <f>'potential-natural-veg-calcs'!E66</f>
        <v>161101.32</v>
      </c>
      <c r="D13">
        <f>'potential-natural-veg-calcs'!E69</f>
        <v>1970865.7767159611</v>
      </c>
      <c r="E13" s="3" t="s">
        <v>9</v>
      </c>
      <c r="F13" t="s">
        <v>179</v>
      </c>
    </row>
    <row r="14" spans="1:10" ht="30">
      <c r="A14" s="1" t="s">
        <v>174</v>
      </c>
      <c r="B14">
        <f>'potential-natural-veg-calcs'!E61</f>
        <v>1310245.4857840384</v>
      </c>
      <c r="C14">
        <f>'potential-natural-veg-calcs'!E67</f>
        <v>101278.68000000002</v>
      </c>
      <c r="D14">
        <f>'potential-natural-veg-calcs'!E70</f>
        <v>1208966.8057840385</v>
      </c>
      <c r="E14" s="3" t="s">
        <v>9</v>
      </c>
      <c r="F14" t="s">
        <v>179</v>
      </c>
    </row>
    <row r="20" spans="1:1">
      <c r="A20" t="s">
        <v>175</v>
      </c>
    </row>
  </sheetData>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dimension ref="A1:J97"/>
  <sheetViews>
    <sheetView topLeftCell="A34" zoomScale="90" zoomScaleNormal="90" workbookViewId="0">
      <selection activeCell="A5" sqref="A5:XFD5"/>
    </sheetView>
  </sheetViews>
  <sheetFormatPr defaultRowHeight="15"/>
  <cols>
    <col min="1" max="1" width="54.28515625" customWidth="1"/>
    <col min="2" max="2" width="27.5703125" customWidth="1"/>
    <col min="3" max="3" width="11.5703125" customWidth="1"/>
    <col min="4" max="4" width="13.7109375" customWidth="1"/>
    <col min="5" max="5" width="12.42578125" customWidth="1"/>
    <col min="7" max="7" width="10.42578125" customWidth="1"/>
    <col min="8" max="8" width="9" customWidth="1"/>
    <col min="9" max="9" width="16.7109375" customWidth="1"/>
    <col min="10" max="11" width="13.140625" customWidth="1"/>
  </cols>
  <sheetData>
    <row r="1" spans="1:10">
      <c r="A1" t="s">
        <v>68</v>
      </c>
    </row>
    <row r="2" spans="1:10" s="5" customFormat="1" ht="60">
      <c r="A2" s="5" t="s">
        <v>0</v>
      </c>
      <c r="B2" s="5" t="s">
        <v>1</v>
      </c>
      <c r="C2" s="5" t="s">
        <v>2</v>
      </c>
      <c r="D2" s="5" t="s">
        <v>3</v>
      </c>
      <c r="E2" s="5" t="s">
        <v>4</v>
      </c>
      <c r="F2" s="5" t="s">
        <v>5</v>
      </c>
      <c r="I2" s="5" t="s">
        <v>6</v>
      </c>
      <c r="J2" s="5" t="s">
        <v>7</v>
      </c>
    </row>
    <row r="3" spans="1:10">
      <c r="A3" s="2" t="s">
        <v>8</v>
      </c>
      <c r="B3" s="2">
        <v>963203</v>
      </c>
      <c r="C3" s="2">
        <v>963203</v>
      </c>
      <c r="D3" s="2">
        <v>13439366.4</v>
      </c>
      <c r="E3" s="3">
        <f t="shared" ref="E3:E39" si="0">D3-C3</f>
        <v>12476163.4</v>
      </c>
      <c r="F3" t="s">
        <v>9</v>
      </c>
      <c r="I3" t="s">
        <v>10</v>
      </c>
    </row>
    <row r="4" spans="1:10">
      <c r="A4" s="2" t="s">
        <v>11</v>
      </c>
      <c r="B4" s="2">
        <v>916192</v>
      </c>
      <c r="C4" s="2">
        <v>916192</v>
      </c>
      <c r="D4" s="2">
        <v>13004931.1</v>
      </c>
      <c r="E4" s="3">
        <f t="shared" si="0"/>
        <v>12088739.1</v>
      </c>
      <c r="F4" t="s">
        <v>9</v>
      </c>
      <c r="I4" t="s">
        <v>12</v>
      </c>
    </row>
    <row r="5" spans="1:10">
      <c r="A5" s="2" t="s">
        <v>13</v>
      </c>
      <c r="B5" s="2">
        <v>416067</v>
      </c>
      <c r="C5" s="2">
        <v>411030</v>
      </c>
      <c r="D5" s="2">
        <v>4905022.55</v>
      </c>
      <c r="E5" s="3">
        <f t="shared" si="0"/>
        <v>4493992.55</v>
      </c>
      <c r="F5" t="s">
        <v>9</v>
      </c>
      <c r="I5" t="s">
        <v>14</v>
      </c>
    </row>
    <row r="6" spans="1:10">
      <c r="A6" s="2" t="s">
        <v>15</v>
      </c>
      <c r="B6" s="4"/>
      <c r="C6" s="4"/>
      <c r="D6" s="2">
        <v>9788.52</v>
      </c>
      <c r="E6" s="3">
        <f t="shared" si="0"/>
        <v>9788.52</v>
      </c>
      <c r="F6" t="s">
        <v>9</v>
      </c>
      <c r="I6">
        <f>C5/C4</f>
        <v>0.44862867171946491</v>
      </c>
      <c r="J6">
        <f>D5/D4</f>
        <v>0.37716636191944147</v>
      </c>
    </row>
    <row r="7" spans="1:10">
      <c r="A7" s="2" t="s">
        <v>16</v>
      </c>
      <c r="B7" s="4"/>
      <c r="C7" s="4"/>
      <c r="D7" s="2">
        <v>8985.26</v>
      </c>
      <c r="E7" s="3">
        <f t="shared" si="0"/>
        <v>8985.26</v>
      </c>
      <c r="F7" t="s">
        <v>9</v>
      </c>
    </row>
    <row r="8" spans="1:10">
      <c r="A8" s="2" t="s">
        <v>17</v>
      </c>
      <c r="B8" s="4"/>
      <c r="C8" s="4"/>
      <c r="D8" s="2">
        <v>485.9</v>
      </c>
      <c r="E8" s="3">
        <f t="shared" si="0"/>
        <v>485.9</v>
      </c>
      <c r="F8" t="s">
        <v>9</v>
      </c>
    </row>
    <row r="9" spans="1:10">
      <c r="A9" s="2" t="s">
        <v>18</v>
      </c>
      <c r="B9" s="4"/>
      <c r="C9" s="4"/>
      <c r="D9" s="4"/>
      <c r="E9" s="3">
        <f t="shared" si="0"/>
        <v>0</v>
      </c>
      <c r="F9" t="s">
        <v>9</v>
      </c>
    </row>
    <row r="10" spans="1:10">
      <c r="A10" s="2" t="s">
        <v>19</v>
      </c>
      <c r="B10" s="2">
        <v>178710</v>
      </c>
      <c r="C10" s="2">
        <v>173230</v>
      </c>
      <c r="D10" s="2">
        <v>1532267.85</v>
      </c>
      <c r="E10" s="3">
        <f t="shared" si="0"/>
        <v>1359037.85</v>
      </c>
      <c r="F10" t="s">
        <v>9</v>
      </c>
      <c r="I10" t="s">
        <v>20</v>
      </c>
    </row>
    <row r="11" spans="1:10">
      <c r="A11" s="2" t="s">
        <v>21</v>
      </c>
      <c r="B11" s="2">
        <v>175980</v>
      </c>
      <c r="C11" s="2">
        <v>170530</v>
      </c>
      <c r="D11" s="2">
        <v>1389157.65</v>
      </c>
      <c r="E11" s="3">
        <f t="shared" si="0"/>
        <v>1218627.6499999999</v>
      </c>
      <c r="F11" t="s">
        <v>9</v>
      </c>
      <c r="I11" t="s">
        <v>22</v>
      </c>
      <c r="J11" t="s">
        <v>23</v>
      </c>
    </row>
    <row r="12" spans="1:10">
      <c r="A12" s="2" t="s">
        <v>24</v>
      </c>
      <c r="B12" s="4"/>
      <c r="C12" s="4"/>
      <c r="D12" s="2">
        <v>449.49</v>
      </c>
      <c r="E12" s="3">
        <f t="shared" si="0"/>
        <v>449.49</v>
      </c>
      <c r="F12" t="s">
        <v>9</v>
      </c>
    </row>
    <row r="13" spans="1:10">
      <c r="A13" s="2" t="s">
        <v>25</v>
      </c>
      <c r="B13" s="4"/>
      <c r="C13" s="4"/>
      <c r="D13" s="2">
        <v>282.5</v>
      </c>
      <c r="E13" s="3">
        <f t="shared" si="0"/>
        <v>282.5</v>
      </c>
      <c r="F13" t="s">
        <v>9</v>
      </c>
    </row>
    <row r="14" spans="1:10">
      <c r="A14" s="2" t="s">
        <v>26</v>
      </c>
      <c r="B14" s="4"/>
      <c r="C14" s="4"/>
      <c r="D14" s="2">
        <v>147.9</v>
      </c>
      <c r="E14" s="3">
        <f t="shared" si="0"/>
        <v>147.9</v>
      </c>
      <c r="F14" t="s">
        <v>9</v>
      </c>
    </row>
    <row r="15" spans="1:10">
      <c r="A15" s="2" t="s">
        <v>27</v>
      </c>
      <c r="B15" s="2">
        <v>134863</v>
      </c>
      <c r="C15" s="4"/>
      <c r="D15" s="4"/>
      <c r="E15" s="3">
        <f t="shared" si="0"/>
        <v>0</v>
      </c>
      <c r="F15" t="s">
        <v>9</v>
      </c>
      <c r="J15" t="s">
        <v>28</v>
      </c>
    </row>
    <row r="16" spans="1:10">
      <c r="A16" s="2" t="s">
        <v>29</v>
      </c>
      <c r="B16" s="4"/>
      <c r="C16" s="4"/>
      <c r="D16" s="4"/>
      <c r="E16" s="3">
        <f t="shared" si="0"/>
        <v>0</v>
      </c>
      <c r="F16" t="s">
        <v>9</v>
      </c>
    </row>
    <row r="17" spans="1:10">
      <c r="A17" s="2" t="s">
        <v>30</v>
      </c>
      <c r="B17" s="4"/>
      <c r="C17" s="4"/>
      <c r="D17" s="4"/>
      <c r="E17" s="3">
        <f t="shared" si="0"/>
        <v>0</v>
      </c>
      <c r="F17" t="s">
        <v>9</v>
      </c>
    </row>
    <row r="18" spans="1:10">
      <c r="A18" s="2" t="s">
        <v>31</v>
      </c>
      <c r="B18" s="2">
        <v>25023</v>
      </c>
      <c r="C18" s="4"/>
      <c r="D18" s="4"/>
      <c r="E18" s="3">
        <f t="shared" si="0"/>
        <v>0</v>
      </c>
      <c r="F18" t="s">
        <v>9</v>
      </c>
      <c r="J18" t="s">
        <v>28</v>
      </c>
    </row>
    <row r="19" spans="1:10">
      <c r="A19" s="2" t="s">
        <v>32</v>
      </c>
      <c r="B19" s="4"/>
      <c r="C19" s="4"/>
      <c r="D19" s="4"/>
      <c r="E19" s="3">
        <f t="shared" si="0"/>
        <v>0</v>
      </c>
      <c r="F19" t="s">
        <v>9</v>
      </c>
    </row>
    <row r="20" spans="1:10">
      <c r="A20" s="2" t="s">
        <v>33</v>
      </c>
      <c r="B20" s="4"/>
      <c r="C20" s="4"/>
      <c r="D20" s="4"/>
      <c r="E20" s="3">
        <f t="shared" si="0"/>
        <v>0</v>
      </c>
      <c r="F20" t="s">
        <v>9</v>
      </c>
    </row>
    <row r="21" spans="1:10">
      <c r="A21" s="2" t="s">
        <v>34</v>
      </c>
      <c r="B21" s="2">
        <v>16094</v>
      </c>
      <c r="C21" s="4"/>
      <c r="D21" s="4"/>
      <c r="E21" s="3">
        <f t="shared" si="0"/>
        <v>0</v>
      </c>
      <c r="F21" t="s">
        <v>9</v>
      </c>
      <c r="J21" t="s">
        <v>28</v>
      </c>
    </row>
    <row r="22" spans="1:10">
      <c r="A22" s="2" t="s">
        <v>35</v>
      </c>
      <c r="B22" s="2">
        <v>2730</v>
      </c>
      <c r="C22" s="2">
        <v>2700</v>
      </c>
      <c r="D22" s="2">
        <v>143110.20000000001</v>
      </c>
      <c r="E22" s="3">
        <f t="shared" si="0"/>
        <v>140410.20000000001</v>
      </c>
      <c r="F22" t="s">
        <v>9</v>
      </c>
      <c r="I22" t="s">
        <v>22</v>
      </c>
    </row>
    <row r="23" spans="1:10">
      <c r="A23" s="2" t="s">
        <v>36</v>
      </c>
      <c r="B23" s="4"/>
      <c r="C23" s="4"/>
      <c r="D23" s="2">
        <v>73.27</v>
      </c>
      <c r="E23" s="3">
        <f t="shared" si="0"/>
        <v>73.27</v>
      </c>
      <c r="F23" t="s">
        <v>9</v>
      </c>
    </row>
    <row r="24" spans="1:10">
      <c r="A24" s="2" t="s">
        <v>37</v>
      </c>
      <c r="B24" s="4"/>
      <c r="C24" s="4"/>
      <c r="D24" s="2">
        <v>22.54</v>
      </c>
      <c r="E24" s="3">
        <f t="shared" si="0"/>
        <v>22.54</v>
      </c>
      <c r="F24" t="s">
        <v>9</v>
      </c>
    </row>
    <row r="25" spans="1:10">
      <c r="A25" s="2" t="s">
        <v>38</v>
      </c>
      <c r="B25" s="4"/>
      <c r="C25" s="4"/>
      <c r="D25" s="2">
        <v>49.37</v>
      </c>
      <c r="E25" s="3">
        <f t="shared" si="0"/>
        <v>49.37</v>
      </c>
      <c r="F25" t="s">
        <v>9</v>
      </c>
    </row>
    <row r="26" spans="1:10">
      <c r="A26" s="2" t="s">
        <v>39</v>
      </c>
      <c r="B26" s="4"/>
      <c r="C26" s="4"/>
      <c r="D26" s="4"/>
      <c r="E26" s="3">
        <f t="shared" si="0"/>
        <v>0</v>
      </c>
      <c r="F26" t="s">
        <v>9</v>
      </c>
    </row>
    <row r="27" spans="1:10">
      <c r="A27" s="2" t="s">
        <v>40</v>
      </c>
      <c r="B27" s="4"/>
      <c r="C27" s="4"/>
      <c r="D27" s="4"/>
      <c r="E27" s="3">
        <f t="shared" si="0"/>
        <v>0</v>
      </c>
      <c r="F27" t="s">
        <v>9</v>
      </c>
    </row>
    <row r="28" spans="1:10">
      <c r="A28" s="2" t="s">
        <v>41</v>
      </c>
      <c r="B28" s="2">
        <v>237357</v>
      </c>
      <c r="C28" s="2">
        <v>237800</v>
      </c>
      <c r="D28" s="2">
        <v>3372754.7</v>
      </c>
      <c r="E28" s="3">
        <f t="shared" si="0"/>
        <v>3134954.7</v>
      </c>
      <c r="F28" t="s">
        <v>9</v>
      </c>
      <c r="I28" t="s">
        <v>22</v>
      </c>
    </row>
    <row r="29" spans="1:10">
      <c r="A29" s="2" t="s">
        <v>42</v>
      </c>
      <c r="B29" s="4"/>
      <c r="C29" s="4"/>
      <c r="D29" s="2">
        <v>693.31</v>
      </c>
      <c r="E29" s="3">
        <f t="shared" si="0"/>
        <v>693.31</v>
      </c>
      <c r="F29" t="s">
        <v>9</v>
      </c>
    </row>
    <row r="30" spans="1:10">
      <c r="A30" s="2" t="s">
        <v>43</v>
      </c>
      <c r="B30" s="4"/>
      <c r="C30" s="4"/>
      <c r="D30" s="2">
        <v>463.03</v>
      </c>
      <c r="E30" s="3">
        <f t="shared" si="0"/>
        <v>463.03</v>
      </c>
      <c r="F30" t="s">
        <v>9</v>
      </c>
    </row>
    <row r="31" spans="1:10">
      <c r="A31" s="2" t="s">
        <v>44</v>
      </c>
      <c r="B31" s="4"/>
      <c r="C31" s="4"/>
      <c r="D31" s="2">
        <v>129.88</v>
      </c>
      <c r="E31" s="3">
        <f t="shared" si="0"/>
        <v>129.88</v>
      </c>
      <c r="F31" t="s">
        <v>9</v>
      </c>
    </row>
    <row r="32" spans="1:10">
      <c r="A32" s="2" t="s">
        <v>45</v>
      </c>
      <c r="B32" s="4"/>
      <c r="C32" s="4"/>
      <c r="D32" s="4"/>
      <c r="E32" s="3">
        <f t="shared" si="0"/>
        <v>0</v>
      </c>
      <c r="F32" t="s">
        <v>9</v>
      </c>
      <c r="J32" t="s">
        <v>28</v>
      </c>
    </row>
    <row r="33" spans="1:10">
      <c r="A33" s="2" t="s">
        <v>46</v>
      </c>
      <c r="B33" s="4"/>
      <c r="C33" s="4"/>
      <c r="D33" s="4"/>
      <c r="E33" s="3">
        <f t="shared" si="0"/>
        <v>0</v>
      </c>
      <c r="F33" t="s">
        <v>9</v>
      </c>
    </row>
    <row r="34" spans="1:10">
      <c r="A34" s="2" t="s">
        <v>47</v>
      </c>
      <c r="B34" s="4"/>
      <c r="C34" s="4"/>
      <c r="D34" s="4"/>
      <c r="E34" s="3">
        <f t="shared" si="0"/>
        <v>0</v>
      </c>
      <c r="F34" t="s">
        <v>9</v>
      </c>
      <c r="J34" t="s">
        <v>28</v>
      </c>
    </row>
    <row r="35" spans="1:10">
      <c r="A35" s="2" t="s">
        <v>48</v>
      </c>
      <c r="B35" s="4"/>
      <c r="C35" s="4"/>
      <c r="D35" s="4"/>
      <c r="E35" s="3">
        <f t="shared" si="0"/>
        <v>0</v>
      </c>
      <c r="F35" t="s">
        <v>9</v>
      </c>
    </row>
    <row r="36" spans="1:10">
      <c r="A36" s="2" t="s">
        <v>49</v>
      </c>
      <c r="B36" s="2">
        <v>300960.2</v>
      </c>
      <c r="C36" s="2">
        <v>302490.8</v>
      </c>
      <c r="D36" s="2">
        <v>4054786.06</v>
      </c>
      <c r="E36" s="3">
        <f t="shared" si="0"/>
        <v>3752295.2600000002</v>
      </c>
      <c r="F36" t="s">
        <v>9</v>
      </c>
      <c r="I36" t="s">
        <v>22</v>
      </c>
    </row>
    <row r="37" spans="1:10">
      <c r="A37" s="2" t="s">
        <v>50</v>
      </c>
      <c r="B37" s="2">
        <v>199164.79999999999</v>
      </c>
      <c r="C37" s="2">
        <v>202671.2</v>
      </c>
      <c r="D37" s="2">
        <v>4057645.3</v>
      </c>
      <c r="E37" s="3">
        <f t="shared" si="0"/>
        <v>3854974.0999999996</v>
      </c>
      <c r="F37" t="s">
        <v>9</v>
      </c>
      <c r="I37" t="s">
        <v>22</v>
      </c>
    </row>
    <row r="38" spans="1:10">
      <c r="A38" s="2" t="s">
        <v>51</v>
      </c>
      <c r="B38" s="2">
        <v>47011</v>
      </c>
      <c r="C38" s="2">
        <v>47011</v>
      </c>
      <c r="D38" s="2">
        <v>434435.3</v>
      </c>
      <c r="E38" s="3">
        <f t="shared" si="0"/>
        <v>387424.3</v>
      </c>
      <c r="F38" t="s">
        <v>9</v>
      </c>
      <c r="I38" t="s">
        <v>22</v>
      </c>
    </row>
    <row r="39" spans="1:10">
      <c r="A39" s="2" t="s">
        <v>52</v>
      </c>
      <c r="B39" s="2">
        <v>22384</v>
      </c>
      <c r="C39" s="2">
        <v>22700</v>
      </c>
      <c r="D39" s="2">
        <v>303104.5</v>
      </c>
      <c r="E39" s="3">
        <f t="shared" si="0"/>
        <v>280404.5</v>
      </c>
      <c r="F39" t="s">
        <v>9</v>
      </c>
      <c r="I39" t="s">
        <v>22</v>
      </c>
    </row>
    <row r="42" spans="1:10">
      <c r="A42" s="16" t="s">
        <v>187</v>
      </c>
      <c r="B42" s="14" t="s">
        <v>185</v>
      </c>
      <c r="C42" s="14"/>
      <c r="D42" s="14"/>
      <c r="E42" s="14" t="s">
        <v>96</v>
      </c>
    </row>
    <row r="43" spans="1:10">
      <c r="A43" s="14"/>
      <c r="B43" s="14"/>
      <c r="C43" s="14"/>
      <c r="D43" s="14"/>
      <c r="E43" s="15"/>
    </row>
    <row r="44" spans="1:10">
      <c r="A44" s="13" t="s">
        <v>73</v>
      </c>
      <c r="B44" s="14" t="s">
        <v>74</v>
      </c>
      <c r="C44" s="14">
        <f>0.14*B4</f>
        <v>128266.88000000002</v>
      </c>
      <c r="D44" s="14"/>
      <c r="E44" s="14" t="s">
        <v>75</v>
      </c>
    </row>
    <row r="45" spans="1:10">
      <c r="A45" s="13" t="s">
        <v>73</v>
      </c>
      <c r="B45" s="14" t="s">
        <v>71</v>
      </c>
      <c r="C45" s="14">
        <f>0.07*C36</f>
        <v>21174.356</v>
      </c>
      <c r="D45" s="14"/>
      <c r="E45" s="14" t="s">
        <v>76</v>
      </c>
    </row>
    <row r="46" spans="1:10">
      <c r="A46" s="13" t="s">
        <v>73</v>
      </c>
      <c r="B46" s="14" t="s">
        <v>70</v>
      </c>
      <c r="C46" s="14">
        <f>C44-C45</f>
        <v>107092.52400000002</v>
      </c>
      <c r="D46" s="14"/>
      <c r="E46" s="14"/>
    </row>
    <row r="47" spans="1:10">
      <c r="A47" s="14"/>
      <c r="B47" s="14"/>
      <c r="C47" s="14"/>
      <c r="D47" s="14"/>
      <c r="E47" s="14"/>
    </row>
    <row r="48" spans="1:10">
      <c r="A48" s="13" t="s">
        <v>72</v>
      </c>
      <c r="B48" s="14" t="s">
        <v>74</v>
      </c>
      <c r="C48" s="14">
        <f>0.129*D3</f>
        <v>1733678.2656</v>
      </c>
      <c r="D48" s="14"/>
      <c r="E48" s="14" t="s">
        <v>75</v>
      </c>
    </row>
    <row r="49" spans="1:8">
      <c r="A49" s="13" t="s">
        <v>72</v>
      </c>
      <c r="B49" s="14" t="s">
        <v>71</v>
      </c>
      <c r="C49" s="14">
        <f>0.11*D36</f>
        <v>446026.46659999999</v>
      </c>
      <c r="D49" s="14"/>
      <c r="E49" s="14" t="s">
        <v>77</v>
      </c>
    </row>
    <row r="50" spans="1:8">
      <c r="A50" s="13" t="s">
        <v>72</v>
      </c>
      <c r="B50" s="14" t="s">
        <v>70</v>
      </c>
      <c r="C50" s="14">
        <f>C48-C49</f>
        <v>1287651.7990000001</v>
      </c>
      <c r="D50" s="14"/>
      <c r="E50" s="14"/>
    </row>
    <row r="51" spans="1:8">
      <c r="A51" s="14"/>
      <c r="B51" s="14"/>
      <c r="C51" s="14"/>
      <c r="D51" s="14"/>
      <c r="E51" s="14"/>
    </row>
    <row r="52" spans="1:8">
      <c r="A52" s="14" t="s">
        <v>115</v>
      </c>
      <c r="B52" s="14" t="s">
        <v>184</v>
      </c>
      <c r="C52" s="14">
        <f>D36</f>
        <v>4054786.06</v>
      </c>
      <c r="D52" s="14"/>
      <c r="E52" s="14" t="s">
        <v>183</v>
      </c>
    </row>
    <row r="53" spans="1:8">
      <c r="A53" s="14" t="s">
        <v>116</v>
      </c>
      <c r="B53" s="14" t="s">
        <v>184</v>
      </c>
      <c r="C53" s="14">
        <f>C49</f>
        <v>446026.46659999999</v>
      </c>
      <c r="D53" s="14"/>
      <c r="E53" s="14"/>
    </row>
    <row r="54" spans="1:8">
      <c r="A54" s="7" t="s">
        <v>186</v>
      </c>
      <c r="B54" s="7" t="s">
        <v>184</v>
      </c>
      <c r="C54" s="7">
        <f>C52-C53</f>
        <v>3608759.5934000001</v>
      </c>
      <c r="D54" s="14"/>
      <c r="E54" s="14"/>
    </row>
    <row r="55" spans="1:8">
      <c r="A55" s="14"/>
      <c r="B55" s="14"/>
      <c r="C55" s="14"/>
      <c r="D55" s="14"/>
      <c r="E55" s="14"/>
    </row>
    <row r="56" spans="1:8">
      <c r="A56" s="14" t="s">
        <v>117</v>
      </c>
      <c r="B56" s="14" t="s">
        <v>184</v>
      </c>
      <c r="C56" s="14">
        <f>B36</f>
        <v>300960.2</v>
      </c>
      <c r="D56" s="14"/>
      <c r="E56" s="14" t="s">
        <v>183</v>
      </c>
    </row>
    <row r="57" spans="1:8">
      <c r="A57" s="14" t="s">
        <v>116</v>
      </c>
      <c r="B57" s="14" t="s">
        <v>184</v>
      </c>
      <c r="C57" s="14">
        <f>C45</f>
        <v>21174.356</v>
      </c>
      <c r="D57" s="14"/>
      <c r="E57" s="14"/>
    </row>
    <row r="58" spans="1:8">
      <c r="A58" s="7" t="s">
        <v>118</v>
      </c>
      <c r="B58" s="7" t="s">
        <v>184</v>
      </c>
      <c r="C58" s="7">
        <f>C56-C57</f>
        <v>279785.84400000004</v>
      </c>
      <c r="D58" s="14"/>
      <c r="E58" s="14"/>
    </row>
    <row r="59" spans="1:8">
      <c r="A59" s="14"/>
      <c r="B59" s="14"/>
      <c r="C59" s="14"/>
      <c r="D59" s="14"/>
      <c r="E59" s="14"/>
    </row>
    <row r="60" spans="1:8">
      <c r="A60" s="7" t="s">
        <v>119</v>
      </c>
      <c r="B60" s="7" t="s">
        <v>184</v>
      </c>
      <c r="C60" s="7">
        <f>C54-C58</f>
        <v>3328973.7494000001</v>
      </c>
      <c r="D60" s="14"/>
      <c r="E60" s="14"/>
    </row>
    <row r="61" spans="1:8">
      <c r="A61" s="14"/>
      <c r="B61" s="14"/>
      <c r="C61" s="14"/>
      <c r="D61" s="14"/>
      <c r="E61" s="14"/>
    </row>
    <row r="63" spans="1:8">
      <c r="H63" t="s">
        <v>79</v>
      </c>
    </row>
    <row r="64" spans="1:8">
      <c r="G64" t="s">
        <v>78</v>
      </c>
    </row>
    <row r="66" spans="1:5">
      <c r="A66" s="17" t="s">
        <v>188</v>
      </c>
      <c r="B66" s="19"/>
      <c r="C66" s="18"/>
      <c r="D66" s="18"/>
      <c r="E66" s="18"/>
    </row>
    <row r="67" spans="1:5">
      <c r="A67" s="18"/>
      <c r="B67" s="19"/>
      <c r="C67" s="18"/>
      <c r="D67" s="18"/>
      <c r="E67" s="18"/>
    </row>
    <row r="68" spans="1:5">
      <c r="A68" s="18" t="s">
        <v>81</v>
      </c>
      <c r="B68" s="19"/>
      <c r="C68" s="18">
        <f>D22</f>
        <v>143110.20000000001</v>
      </c>
      <c r="D68" s="18"/>
      <c r="E68" s="18" t="s">
        <v>183</v>
      </c>
    </row>
    <row r="69" spans="1:5">
      <c r="A69" s="18" t="s">
        <v>82</v>
      </c>
      <c r="B69" s="19"/>
      <c r="C69" s="18">
        <f>D11</f>
        <v>1389157.65</v>
      </c>
      <c r="D69" s="18"/>
      <c r="E69" s="18" t="s">
        <v>183</v>
      </c>
    </row>
    <row r="70" spans="1:5">
      <c r="A70" s="18" t="s">
        <v>83</v>
      </c>
      <c r="B70" s="19"/>
      <c r="C70" s="18">
        <v>0.95</v>
      </c>
      <c r="D70" s="18"/>
      <c r="E70" s="18" t="s">
        <v>101</v>
      </c>
    </row>
    <row r="71" spans="1:5">
      <c r="A71" s="18" t="s">
        <v>84</v>
      </c>
      <c r="B71" s="19"/>
      <c r="C71" s="18">
        <f>C70*C69</f>
        <v>1319699.7674999998</v>
      </c>
      <c r="D71" s="18"/>
      <c r="E71" s="18"/>
    </row>
    <row r="72" spans="1:5">
      <c r="A72" s="7" t="s">
        <v>85</v>
      </c>
      <c r="B72" s="7"/>
      <c r="C72" s="7">
        <f>C71+C68</f>
        <v>1462809.9674999998</v>
      </c>
      <c r="D72" s="18" t="s">
        <v>190</v>
      </c>
      <c r="E72" s="18"/>
    </row>
    <row r="73" spans="1:5">
      <c r="A73" s="18"/>
      <c r="B73" s="19"/>
      <c r="C73" s="18"/>
      <c r="D73" s="18"/>
      <c r="E73" s="18"/>
    </row>
    <row r="74" spans="1:5">
      <c r="A74" s="18" t="s">
        <v>86</v>
      </c>
      <c r="B74" s="19"/>
      <c r="C74" s="18">
        <f>B22</f>
        <v>2730</v>
      </c>
      <c r="D74" s="18"/>
      <c r="E74" s="18" t="s">
        <v>183</v>
      </c>
    </row>
    <row r="75" spans="1:5">
      <c r="A75" s="18" t="s">
        <v>87</v>
      </c>
      <c r="B75" s="19"/>
      <c r="C75" s="18">
        <f>B11</f>
        <v>175980</v>
      </c>
      <c r="D75" s="18"/>
      <c r="E75" s="18" t="s">
        <v>183</v>
      </c>
    </row>
    <row r="76" spans="1:5">
      <c r="A76" s="18" t="s">
        <v>83</v>
      </c>
      <c r="B76" s="19"/>
      <c r="C76" s="18">
        <f>(B15+B21)/B11</f>
        <v>0.85780770542107054</v>
      </c>
      <c r="D76" s="18"/>
      <c r="E76" s="18" t="s">
        <v>183</v>
      </c>
    </row>
    <row r="77" spans="1:5">
      <c r="A77" s="18" t="s">
        <v>88</v>
      </c>
      <c r="B77" s="19"/>
      <c r="C77" s="18">
        <f>C76*C75</f>
        <v>150957</v>
      </c>
      <c r="D77" s="18"/>
      <c r="E77" s="18"/>
    </row>
    <row r="78" spans="1:5">
      <c r="A78" s="7" t="s">
        <v>89</v>
      </c>
      <c r="B78" s="7"/>
      <c r="C78" s="7">
        <f>C77+C74</f>
        <v>153687</v>
      </c>
      <c r="D78" s="18"/>
      <c r="E78" s="18"/>
    </row>
    <row r="79" spans="1:5">
      <c r="A79" s="18"/>
      <c r="B79" s="19"/>
      <c r="C79" s="18"/>
      <c r="D79" s="18"/>
      <c r="E79" s="18"/>
    </row>
    <row r="80" spans="1:5">
      <c r="A80" s="7" t="s">
        <v>90</v>
      </c>
      <c r="B80" s="7"/>
      <c r="C80" s="7">
        <f>C72-C78</f>
        <v>1309122.9674999998</v>
      </c>
      <c r="D80" s="18"/>
      <c r="E80" s="18"/>
    </row>
    <row r="82" spans="1:5">
      <c r="A82" s="21" t="s">
        <v>189</v>
      </c>
      <c r="B82" s="20"/>
      <c r="C82" s="20"/>
      <c r="D82" s="20"/>
      <c r="E82" s="20"/>
    </row>
    <row r="83" spans="1:5">
      <c r="A83" s="20"/>
      <c r="B83" s="20"/>
      <c r="C83" s="20"/>
      <c r="D83" s="20"/>
      <c r="E83" s="20"/>
    </row>
    <row r="84" spans="1:5">
      <c r="A84" s="20" t="s">
        <v>104</v>
      </c>
      <c r="B84" s="20" t="s">
        <v>9</v>
      </c>
      <c r="C84" s="20">
        <f>D28</f>
        <v>3372754.7</v>
      </c>
      <c r="D84" s="20"/>
      <c r="E84" s="20" t="s">
        <v>183</v>
      </c>
    </row>
    <row r="85" spans="1:5">
      <c r="A85" s="20" t="s">
        <v>82</v>
      </c>
      <c r="B85" s="20" t="s">
        <v>9</v>
      </c>
      <c r="C85" s="20">
        <f>D11</f>
        <v>1389157.65</v>
      </c>
      <c r="D85" s="20"/>
      <c r="E85" s="20" t="s">
        <v>183</v>
      </c>
    </row>
    <row r="86" spans="1:5">
      <c r="A86" s="20" t="s">
        <v>105</v>
      </c>
      <c r="B86" s="20"/>
      <c r="C86" s="20">
        <f>1-C70</f>
        <v>5.0000000000000044E-2</v>
      </c>
      <c r="D86" s="20"/>
      <c r="E86" s="20" t="s">
        <v>101</v>
      </c>
    </row>
    <row r="87" spans="1:5">
      <c r="A87" s="20" t="s">
        <v>106</v>
      </c>
      <c r="B87" s="20" t="s">
        <v>9</v>
      </c>
      <c r="C87" s="20">
        <f>C86*C85</f>
        <v>69457.882500000051</v>
      </c>
      <c r="D87" s="20"/>
      <c r="E87" s="20"/>
    </row>
    <row r="88" spans="1:5">
      <c r="A88" s="7" t="s">
        <v>107</v>
      </c>
      <c r="B88" s="7" t="s">
        <v>9</v>
      </c>
      <c r="C88" s="7">
        <f>C87+C84</f>
        <v>3442212.5825</v>
      </c>
      <c r="D88" s="20" t="s">
        <v>191</v>
      </c>
      <c r="E88" s="20"/>
    </row>
    <row r="89" spans="1:5">
      <c r="A89" s="20"/>
      <c r="B89" s="20"/>
      <c r="C89" s="20"/>
      <c r="D89" s="20"/>
      <c r="E89" s="20"/>
    </row>
    <row r="90" spans="1:5">
      <c r="A90" s="20"/>
      <c r="B90" s="20"/>
      <c r="C90" s="20"/>
      <c r="D90" s="20"/>
      <c r="E90" s="20"/>
    </row>
    <row r="91" spans="1:5">
      <c r="A91" s="20" t="s">
        <v>108</v>
      </c>
      <c r="B91" s="20" t="s">
        <v>9</v>
      </c>
      <c r="C91" s="20">
        <f>B28</f>
        <v>237357</v>
      </c>
      <c r="D91" s="20"/>
      <c r="E91" s="20" t="s">
        <v>183</v>
      </c>
    </row>
    <row r="92" spans="1:5">
      <c r="A92" s="20" t="s">
        <v>87</v>
      </c>
      <c r="B92" s="20" t="s">
        <v>9</v>
      </c>
      <c r="C92" s="20">
        <f>B11</f>
        <v>175980</v>
      </c>
      <c r="D92" s="20"/>
      <c r="E92" s="20" t="s">
        <v>183</v>
      </c>
    </row>
    <row r="93" spans="1:5">
      <c r="A93" s="20" t="s">
        <v>105</v>
      </c>
      <c r="B93" s="20"/>
      <c r="C93" s="20">
        <f>1-C76</f>
        <v>0.14219229457892946</v>
      </c>
      <c r="D93" s="20"/>
      <c r="E93" s="20" t="s">
        <v>183</v>
      </c>
    </row>
    <row r="94" spans="1:5">
      <c r="A94" s="20" t="s">
        <v>109</v>
      </c>
      <c r="B94" s="20" t="s">
        <v>9</v>
      </c>
      <c r="C94" s="20">
        <f>C93*C92</f>
        <v>25023.000000000007</v>
      </c>
      <c r="D94" s="20"/>
      <c r="E94" s="20"/>
    </row>
    <row r="95" spans="1:5">
      <c r="A95" s="7" t="s">
        <v>110</v>
      </c>
      <c r="B95" s="7" t="s">
        <v>9</v>
      </c>
      <c r="C95" s="7">
        <f>C94+C91</f>
        <v>262380</v>
      </c>
      <c r="D95" s="20"/>
      <c r="E95" s="20"/>
    </row>
    <row r="96" spans="1:5">
      <c r="A96" s="20"/>
      <c r="B96" s="20"/>
      <c r="C96" s="20"/>
      <c r="D96" s="20"/>
      <c r="E96" s="20"/>
    </row>
    <row r="97" spans="1:5">
      <c r="A97" s="7" t="s">
        <v>111</v>
      </c>
      <c r="B97" s="7" t="s">
        <v>9</v>
      </c>
      <c r="C97" s="7">
        <f>C88-C95</f>
        <v>3179832.5825</v>
      </c>
      <c r="D97" s="20"/>
      <c r="E97" s="20"/>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M70"/>
  <sheetViews>
    <sheetView topLeftCell="A37" workbookViewId="0">
      <selection activeCell="E41" sqref="E41"/>
    </sheetView>
  </sheetViews>
  <sheetFormatPr defaultRowHeight="15"/>
  <sheetData>
    <row r="1" spans="1:13">
      <c r="A1" t="s">
        <v>121</v>
      </c>
      <c r="C1" t="s">
        <v>122</v>
      </c>
      <c r="D1" t="s">
        <v>123</v>
      </c>
      <c r="E1" t="s">
        <v>124</v>
      </c>
      <c r="F1" t="s">
        <v>125</v>
      </c>
      <c r="G1" t="s">
        <v>126</v>
      </c>
      <c r="H1" t="s">
        <v>127</v>
      </c>
      <c r="M1" t="s">
        <v>205</v>
      </c>
    </row>
    <row r="2" spans="1:13">
      <c r="A2" t="s">
        <v>196</v>
      </c>
      <c r="B2" t="s">
        <v>128</v>
      </c>
      <c r="C2">
        <v>0.8</v>
      </c>
      <c r="D2">
        <v>13.5</v>
      </c>
      <c r="F2">
        <v>0.9</v>
      </c>
      <c r="G2">
        <v>3.5</v>
      </c>
      <c r="H2">
        <v>4</v>
      </c>
      <c r="M2" t="s">
        <v>206</v>
      </c>
    </row>
    <row r="3" spans="1:13">
      <c r="A3" t="s">
        <v>193</v>
      </c>
      <c r="B3" t="s">
        <v>129</v>
      </c>
      <c r="C3">
        <v>1.7</v>
      </c>
      <c r="D3">
        <v>10.5</v>
      </c>
      <c r="F3">
        <v>3.4</v>
      </c>
      <c r="G3">
        <v>3.9</v>
      </c>
      <c r="H3">
        <v>2.6</v>
      </c>
    </row>
    <row r="4" spans="1:13">
      <c r="A4" t="s">
        <v>194</v>
      </c>
      <c r="B4" t="s">
        <v>130</v>
      </c>
      <c r="C4">
        <v>0.9</v>
      </c>
      <c r="D4">
        <v>11.1</v>
      </c>
      <c r="F4">
        <v>2.2000000000000002</v>
      </c>
      <c r="G4">
        <v>3</v>
      </c>
      <c r="H4">
        <v>4.2</v>
      </c>
    </row>
    <row r="5" spans="1:13">
      <c r="A5" t="s">
        <v>195</v>
      </c>
      <c r="B5" t="s">
        <v>131</v>
      </c>
      <c r="C5">
        <v>2</v>
      </c>
      <c r="D5">
        <v>21.2</v>
      </c>
      <c r="F5">
        <v>11.6</v>
      </c>
      <c r="G5">
        <v>2.7</v>
      </c>
      <c r="H5">
        <v>1.1000000000000001</v>
      </c>
    </row>
    <row r="6" spans="1:13">
      <c r="A6" t="s">
        <v>192</v>
      </c>
      <c r="B6" t="s">
        <v>132</v>
      </c>
      <c r="C6">
        <v>19.7</v>
      </c>
      <c r="D6">
        <v>16.5</v>
      </c>
      <c r="E6">
        <v>43.5</v>
      </c>
      <c r="F6">
        <v>1.9</v>
      </c>
      <c r="G6">
        <v>8.6</v>
      </c>
      <c r="H6">
        <v>3.1</v>
      </c>
    </row>
    <row r="7" spans="1:13">
      <c r="A7" t="s">
        <v>197</v>
      </c>
      <c r="B7" t="s">
        <v>133</v>
      </c>
      <c r="C7">
        <v>17.899999999999999</v>
      </c>
      <c r="D7">
        <v>2.8</v>
      </c>
      <c r="E7">
        <v>28.2</v>
      </c>
      <c r="G7">
        <v>7.4</v>
      </c>
      <c r="H7">
        <v>0.9</v>
      </c>
    </row>
    <row r="8" spans="1:13">
      <c r="A8" t="s">
        <v>198</v>
      </c>
      <c r="B8" t="s">
        <v>134</v>
      </c>
      <c r="C8">
        <v>18.399999999999999</v>
      </c>
      <c r="D8">
        <v>17</v>
      </c>
      <c r="E8">
        <v>22.2</v>
      </c>
      <c r="F8">
        <v>32.1</v>
      </c>
      <c r="G8">
        <v>25.1</v>
      </c>
      <c r="H8">
        <v>20.100000000000001</v>
      </c>
    </row>
    <row r="9" spans="1:13">
      <c r="A9" t="s">
        <v>199</v>
      </c>
      <c r="B9" t="s">
        <v>135</v>
      </c>
      <c r="C9">
        <v>5.5</v>
      </c>
      <c r="D9">
        <v>1.7</v>
      </c>
      <c r="E9">
        <v>1.4</v>
      </c>
      <c r="F9">
        <v>5.0999999999999996</v>
      </c>
      <c r="G9">
        <v>19</v>
      </c>
      <c r="H9">
        <v>6.9</v>
      </c>
    </row>
    <row r="10" spans="1:13">
      <c r="A10" t="s">
        <v>200</v>
      </c>
      <c r="B10" t="s">
        <v>136</v>
      </c>
      <c r="C10">
        <v>1.9</v>
      </c>
      <c r="D10">
        <v>0.4</v>
      </c>
      <c r="F10">
        <v>16.100000000000001</v>
      </c>
      <c r="G10">
        <v>2.2999999999999998</v>
      </c>
      <c r="H10">
        <v>27</v>
      </c>
    </row>
    <row r="11" spans="1:13">
      <c r="A11" t="s">
        <v>201</v>
      </c>
      <c r="B11" t="s">
        <v>137</v>
      </c>
      <c r="C11">
        <v>0.7</v>
      </c>
      <c r="D11">
        <v>0.6</v>
      </c>
      <c r="F11">
        <v>26.7</v>
      </c>
      <c r="G11">
        <v>8.8000000000000007</v>
      </c>
      <c r="H11">
        <v>30.3</v>
      </c>
    </row>
    <row r="12" spans="1:13">
      <c r="A12" t="s">
        <v>202</v>
      </c>
      <c r="B12" t="s">
        <v>138</v>
      </c>
      <c r="C12">
        <v>18.5</v>
      </c>
      <c r="D12">
        <v>0.9</v>
      </c>
      <c r="E12">
        <v>3.2</v>
      </c>
      <c r="F12">
        <v>0.1</v>
      </c>
      <c r="G12">
        <v>12.2</v>
      </c>
    </row>
    <row r="13" spans="1:13">
      <c r="A13" t="s">
        <v>203</v>
      </c>
      <c r="B13" t="s">
        <v>139</v>
      </c>
      <c r="C13">
        <v>12</v>
      </c>
      <c r="D13">
        <v>3.8</v>
      </c>
      <c r="E13">
        <v>1.4</v>
      </c>
      <c r="G13">
        <v>3.5</v>
      </c>
    </row>
    <row r="15" spans="1:13">
      <c r="B15" t="s">
        <v>140</v>
      </c>
      <c r="C15">
        <v>2.4729999999999999</v>
      </c>
      <c r="D15">
        <v>1.7929999999999999</v>
      </c>
      <c r="E15">
        <v>1.0569999999999999</v>
      </c>
      <c r="F15">
        <v>2.9980000000000002</v>
      </c>
      <c r="G15">
        <v>4.407</v>
      </c>
      <c r="H15">
        <v>0.91100000000000003</v>
      </c>
      <c r="J15">
        <f>SUM(C15:H15)</f>
        <v>13.639000000000001</v>
      </c>
    </row>
    <row r="17" spans="1:12">
      <c r="C17" t="s">
        <v>122</v>
      </c>
      <c r="D17" t="s">
        <v>123</v>
      </c>
      <c r="E17" t="s">
        <v>124</v>
      </c>
      <c r="F17" t="s">
        <v>125</v>
      </c>
      <c r="G17" t="s">
        <v>126</v>
      </c>
      <c r="H17" t="s">
        <v>127</v>
      </c>
    </row>
    <row r="18" spans="1:12">
      <c r="A18" t="s">
        <v>196</v>
      </c>
      <c r="B18" t="s">
        <v>128</v>
      </c>
      <c r="C18" s="8">
        <f>C2*C$15/100</f>
        <v>1.9784E-2</v>
      </c>
      <c r="D18" s="8">
        <f t="shared" ref="D18:H18" si="0">D2*D$15/100</f>
        <v>0.24205500000000002</v>
      </c>
      <c r="E18" s="8">
        <f t="shared" si="0"/>
        <v>0</v>
      </c>
      <c r="F18" s="8">
        <f t="shared" si="0"/>
        <v>2.6982000000000003E-2</v>
      </c>
      <c r="G18" s="8">
        <f t="shared" si="0"/>
        <v>0.15424499999999999</v>
      </c>
      <c r="H18" s="8">
        <f t="shared" si="0"/>
        <v>3.644E-2</v>
      </c>
      <c r="J18">
        <f>SUM(C18:H18)</f>
        <v>0.4795060000000001</v>
      </c>
    </row>
    <row r="19" spans="1:12">
      <c r="A19" t="s">
        <v>193</v>
      </c>
      <c r="B19" t="s">
        <v>129</v>
      </c>
      <c r="C19" s="8">
        <f t="shared" ref="C19:H29" si="1">C3*C$15/100</f>
        <v>4.2040999999999995E-2</v>
      </c>
      <c r="D19" s="8">
        <f t="shared" si="1"/>
        <v>0.18826499999999999</v>
      </c>
      <c r="E19" s="8">
        <f t="shared" si="1"/>
        <v>0</v>
      </c>
      <c r="F19" s="8">
        <f t="shared" si="1"/>
        <v>0.10193200000000001</v>
      </c>
      <c r="G19" s="8">
        <f t="shared" si="1"/>
        <v>0.171873</v>
      </c>
      <c r="H19" s="8">
        <f t="shared" si="1"/>
        <v>2.3686000000000002E-2</v>
      </c>
      <c r="J19">
        <f t="shared" ref="J19:J29" si="2">SUM(C19:H19)</f>
        <v>0.52779699999999996</v>
      </c>
    </row>
    <row r="20" spans="1:12">
      <c r="A20" t="s">
        <v>194</v>
      </c>
      <c r="B20" t="s">
        <v>130</v>
      </c>
      <c r="C20" s="8">
        <f t="shared" si="1"/>
        <v>2.2256999999999999E-2</v>
      </c>
      <c r="D20" s="8">
        <f t="shared" si="1"/>
        <v>0.19902300000000001</v>
      </c>
      <c r="E20" s="8">
        <f t="shared" si="1"/>
        <v>0</v>
      </c>
      <c r="F20" s="8">
        <f t="shared" si="1"/>
        <v>6.5956000000000015E-2</v>
      </c>
      <c r="G20" s="8">
        <f t="shared" si="1"/>
        <v>0.13220999999999999</v>
      </c>
      <c r="H20" s="8">
        <f t="shared" si="1"/>
        <v>3.8262000000000004E-2</v>
      </c>
      <c r="J20">
        <f t="shared" si="2"/>
        <v>0.45770800000000006</v>
      </c>
    </row>
    <row r="21" spans="1:12">
      <c r="A21" t="s">
        <v>195</v>
      </c>
      <c r="B21" t="s">
        <v>131</v>
      </c>
      <c r="C21" s="8">
        <f t="shared" si="1"/>
        <v>4.9459999999999997E-2</v>
      </c>
      <c r="D21" s="8">
        <f t="shared" si="1"/>
        <v>0.38011599999999995</v>
      </c>
      <c r="E21" s="8">
        <f t="shared" si="1"/>
        <v>0</v>
      </c>
      <c r="F21" s="8">
        <f t="shared" si="1"/>
        <v>0.34776800000000002</v>
      </c>
      <c r="G21" s="8">
        <f t="shared" si="1"/>
        <v>0.11898900000000001</v>
      </c>
      <c r="H21" s="8">
        <f t="shared" si="1"/>
        <v>1.0021000000000002E-2</v>
      </c>
      <c r="J21">
        <f t="shared" si="2"/>
        <v>0.9063540000000001</v>
      </c>
    </row>
    <row r="22" spans="1:12">
      <c r="A22" t="s">
        <v>192</v>
      </c>
      <c r="B22" t="s">
        <v>132</v>
      </c>
      <c r="C22" s="8">
        <f t="shared" si="1"/>
        <v>0.48718099999999992</v>
      </c>
      <c r="D22" s="8">
        <f t="shared" si="1"/>
        <v>0.29584499999999997</v>
      </c>
      <c r="E22" s="8">
        <f t="shared" si="1"/>
        <v>0.45979499999999995</v>
      </c>
      <c r="F22" s="8">
        <f t="shared" si="1"/>
        <v>5.6961999999999999E-2</v>
      </c>
      <c r="G22" s="8">
        <f t="shared" si="1"/>
        <v>0.37900200000000001</v>
      </c>
      <c r="H22" s="8">
        <f t="shared" si="1"/>
        <v>2.8241000000000002E-2</v>
      </c>
      <c r="J22">
        <f t="shared" si="2"/>
        <v>1.7070259999999997</v>
      </c>
    </row>
    <row r="23" spans="1:12">
      <c r="A23" t="s">
        <v>197</v>
      </c>
      <c r="B23" t="s">
        <v>133</v>
      </c>
      <c r="C23" s="8">
        <f t="shared" si="1"/>
        <v>0.44266699999999992</v>
      </c>
      <c r="D23" s="8">
        <f t="shared" si="1"/>
        <v>5.0203999999999999E-2</v>
      </c>
      <c r="E23" s="8">
        <f t="shared" si="1"/>
        <v>0.29807399999999995</v>
      </c>
      <c r="F23" s="8">
        <f t="shared" si="1"/>
        <v>0</v>
      </c>
      <c r="G23" s="8">
        <f t="shared" si="1"/>
        <v>0.32611800000000002</v>
      </c>
      <c r="H23" s="8">
        <f t="shared" si="1"/>
        <v>8.1990000000000014E-3</v>
      </c>
      <c r="J23">
        <f t="shared" si="2"/>
        <v>1.125262</v>
      </c>
    </row>
    <row r="24" spans="1:12">
      <c r="A24" t="s">
        <v>198</v>
      </c>
      <c r="B24" t="s">
        <v>134</v>
      </c>
      <c r="C24" s="8">
        <f t="shared" si="1"/>
        <v>0.45503199999999994</v>
      </c>
      <c r="D24" s="8">
        <f t="shared" si="1"/>
        <v>0.30480999999999997</v>
      </c>
      <c r="E24" s="8">
        <f t="shared" si="1"/>
        <v>0.234654</v>
      </c>
      <c r="F24" s="8">
        <f t="shared" si="1"/>
        <v>0.96235800000000016</v>
      </c>
      <c r="G24" s="8">
        <f t="shared" si="1"/>
        <v>1.1061570000000001</v>
      </c>
      <c r="H24" s="8">
        <f t="shared" si="1"/>
        <v>0.18311100000000002</v>
      </c>
      <c r="J24">
        <f t="shared" si="2"/>
        <v>3.2461220000000006</v>
      </c>
    </row>
    <row r="25" spans="1:12">
      <c r="A25" t="s">
        <v>199</v>
      </c>
      <c r="B25" t="s">
        <v>135</v>
      </c>
      <c r="C25" s="8">
        <f t="shared" si="1"/>
        <v>0.136015</v>
      </c>
      <c r="D25" s="8">
        <f t="shared" si="1"/>
        <v>3.0480999999999998E-2</v>
      </c>
      <c r="E25" s="8">
        <f t="shared" si="1"/>
        <v>1.4797999999999999E-2</v>
      </c>
      <c r="F25" s="8">
        <f t="shared" si="1"/>
        <v>0.15289800000000001</v>
      </c>
      <c r="G25" s="8">
        <f t="shared" si="1"/>
        <v>0.83733000000000002</v>
      </c>
      <c r="H25" s="8">
        <f t="shared" si="1"/>
        <v>6.2859000000000012E-2</v>
      </c>
      <c r="J25">
        <f t="shared" si="2"/>
        <v>1.234381</v>
      </c>
    </row>
    <row r="26" spans="1:12">
      <c r="A26" t="s">
        <v>200</v>
      </c>
      <c r="B26" t="s">
        <v>136</v>
      </c>
      <c r="C26" s="8">
        <f t="shared" si="1"/>
        <v>4.6986999999999994E-2</v>
      </c>
      <c r="D26" s="8">
        <f t="shared" si="1"/>
        <v>7.1720000000000004E-3</v>
      </c>
      <c r="E26" s="8">
        <f t="shared" si="1"/>
        <v>0</v>
      </c>
      <c r="F26" s="8">
        <f t="shared" si="1"/>
        <v>0.48267800000000011</v>
      </c>
      <c r="G26" s="8">
        <f t="shared" si="1"/>
        <v>0.10136099999999999</v>
      </c>
      <c r="H26" s="8">
        <f t="shared" si="1"/>
        <v>0.24597000000000002</v>
      </c>
      <c r="J26">
        <f t="shared" si="2"/>
        <v>0.88416800000000018</v>
      </c>
    </row>
    <row r="27" spans="1:12">
      <c r="A27" t="s">
        <v>201</v>
      </c>
      <c r="B27" t="s">
        <v>137</v>
      </c>
      <c r="C27" s="8">
        <f t="shared" si="1"/>
        <v>1.7311E-2</v>
      </c>
      <c r="D27" s="8">
        <f t="shared" si="1"/>
        <v>1.0757999999999998E-2</v>
      </c>
      <c r="E27" s="8">
        <f t="shared" si="1"/>
        <v>0</v>
      </c>
      <c r="F27" s="8">
        <f t="shared" si="1"/>
        <v>0.80046600000000001</v>
      </c>
      <c r="G27" s="8">
        <f t="shared" si="1"/>
        <v>0.38781600000000005</v>
      </c>
      <c r="H27" s="8">
        <f t="shared" si="1"/>
        <v>0.27603300000000003</v>
      </c>
      <c r="J27">
        <f t="shared" si="2"/>
        <v>1.4923839999999999</v>
      </c>
    </row>
    <row r="28" spans="1:12">
      <c r="A28" t="s">
        <v>202</v>
      </c>
      <c r="B28" t="s">
        <v>138</v>
      </c>
      <c r="C28" s="8">
        <f t="shared" si="1"/>
        <v>0.45750499999999994</v>
      </c>
      <c r="D28" s="8">
        <f t="shared" si="1"/>
        <v>1.6136999999999999E-2</v>
      </c>
      <c r="E28" s="8">
        <f t="shared" si="1"/>
        <v>3.3824E-2</v>
      </c>
      <c r="F28" s="8">
        <f t="shared" si="1"/>
        <v>2.9980000000000007E-3</v>
      </c>
      <c r="G28" s="8">
        <f t="shared" si="1"/>
        <v>0.53765399999999997</v>
      </c>
      <c r="H28" s="8">
        <f t="shared" si="1"/>
        <v>0</v>
      </c>
      <c r="J28">
        <f t="shared" si="2"/>
        <v>1.0481180000000001</v>
      </c>
    </row>
    <row r="29" spans="1:12">
      <c r="A29" t="s">
        <v>203</v>
      </c>
      <c r="B29" t="s">
        <v>139</v>
      </c>
      <c r="C29" s="8">
        <f t="shared" si="1"/>
        <v>0.29675999999999997</v>
      </c>
      <c r="D29" s="8">
        <f t="shared" si="1"/>
        <v>6.8134E-2</v>
      </c>
      <c r="E29" s="8">
        <f t="shared" si="1"/>
        <v>1.4797999999999999E-2</v>
      </c>
      <c r="F29" s="8">
        <f t="shared" si="1"/>
        <v>0</v>
      </c>
      <c r="G29" s="8">
        <f t="shared" si="1"/>
        <v>0.15424499999999999</v>
      </c>
      <c r="H29" s="8">
        <f t="shared" si="1"/>
        <v>0</v>
      </c>
      <c r="J29">
        <f t="shared" si="2"/>
        <v>0.53393699999999988</v>
      </c>
    </row>
    <row r="32" spans="1:12">
      <c r="A32" t="s">
        <v>141</v>
      </c>
      <c r="C32">
        <f>SUM(J18:J29)</f>
        <v>13.642763000000002</v>
      </c>
      <c r="D32" t="s">
        <v>204</v>
      </c>
      <c r="L32" s="8"/>
    </row>
    <row r="33" spans="1:12">
      <c r="A33" t="s">
        <v>142</v>
      </c>
      <c r="C33" s="8">
        <f>SUM(C18:C29)</f>
        <v>2.4729999999999994</v>
      </c>
      <c r="D33" t="s">
        <v>204</v>
      </c>
      <c r="L33" s="8"/>
    </row>
    <row r="34" spans="1:12">
      <c r="A34" t="s">
        <v>143</v>
      </c>
      <c r="C34" s="8">
        <f>C32-C33</f>
        <v>11.169763000000003</v>
      </c>
      <c r="D34" t="s">
        <v>204</v>
      </c>
    </row>
    <row r="35" spans="1:12">
      <c r="C35" s="8"/>
    </row>
    <row r="36" spans="1:12">
      <c r="E36" s="10"/>
      <c r="F36" s="10"/>
      <c r="G36" s="10"/>
      <c r="H36" s="10"/>
      <c r="I36" s="10"/>
      <c r="J36" s="10"/>
      <c r="K36" s="10"/>
    </row>
    <row r="37" spans="1:12">
      <c r="E37" s="11" t="s">
        <v>144</v>
      </c>
      <c r="F37" s="11" t="s">
        <v>145</v>
      </c>
      <c r="G37" s="11" t="s">
        <v>146</v>
      </c>
      <c r="H37" s="11" t="s">
        <v>147</v>
      </c>
      <c r="I37" s="11" t="s">
        <v>148</v>
      </c>
      <c r="J37" s="11" t="s">
        <v>149</v>
      </c>
    </row>
    <row r="38" spans="1:12">
      <c r="A38" t="s">
        <v>150</v>
      </c>
      <c r="D38" t="s">
        <v>204</v>
      </c>
      <c r="E38" s="8">
        <f>SUM(J18:J24)</f>
        <v>8.4497750000000007</v>
      </c>
      <c r="F38" s="8">
        <f>SUM(J25:J29)</f>
        <v>5.1929879999999997</v>
      </c>
      <c r="G38" s="9">
        <f>SUM(C18:C24)</f>
        <v>1.5184219999999997</v>
      </c>
      <c r="H38" s="9">
        <f>SUM(C25:C29)</f>
        <v>0.95457799999999993</v>
      </c>
      <c r="I38" s="9">
        <f>E38-G38</f>
        <v>6.9313530000000014</v>
      </c>
      <c r="J38" s="9">
        <f>F38-H38</f>
        <v>4.23841</v>
      </c>
    </row>
    <row r="39" spans="1:12">
      <c r="D39" t="s">
        <v>180</v>
      </c>
      <c r="E39" s="10">
        <f>E38/C32</f>
        <v>0.61935950950698182</v>
      </c>
      <c r="F39" s="10">
        <f>F38/C32</f>
        <v>0.38064049049301807</v>
      </c>
      <c r="G39" s="10">
        <f>G38/C33</f>
        <v>0.61399999999999999</v>
      </c>
      <c r="H39" s="10">
        <f>H38/C33</f>
        <v>0.38600000000000007</v>
      </c>
      <c r="I39" s="10">
        <f>I38/C34</f>
        <v>0.6205461118557305</v>
      </c>
      <c r="J39" s="10">
        <f>J38/C34</f>
        <v>0.37945388814426939</v>
      </c>
    </row>
    <row r="41" spans="1:12">
      <c r="A41" t="s">
        <v>80</v>
      </c>
      <c r="E41">
        <f>'FAO-data-calculations'!C72</f>
        <v>1462809.9674999998</v>
      </c>
      <c r="F41" t="s">
        <v>9</v>
      </c>
    </row>
    <row r="42" spans="1:12">
      <c r="A42" s="7" t="s">
        <v>151</v>
      </c>
      <c r="B42" s="7"/>
      <c r="C42" s="7"/>
      <c r="D42" s="7"/>
      <c r="E42" s="22">
        <f>E39</f>
        <v>0.61935950950698182</v>
      </c>
      <c r="F42" s="7"/>
    </row>
    <row r="43" spans="1:12">
      <c r="A43" s="7" t="s">
        <v>152</v>
      </c>
      <c r="B43" s="7"/>
      <c r="C43" s="7"/>
      <c r="D43" s="7"/>
      <c r="E43" s="22">
        <f>F39</f>
        <v>0.38064049049301807</v>
      </c>
      <c r="F43" s="7"/>
    </row>
    <row r="44" spans="1:12">
      <c r="A44" s="7" t="s">
        <v>153</v>
      </c>
      <c r="B44" s="7"/>
      <c r="C44" s="7"/>
      <c r="D44" s="7"/>
      <c r="E44" s="7">
        <f>E42*E41</f>
        <v>906005.26397272386</v>
      </c>
      <c r="F44" s="7" t="s">
        <v>9</v>
      </c>
    </row>
    <row r="45" spans="1:12">
      <c r="A45" s="7" t="s">
        <v>154</v>
      </c>
      <c r="B45" s="7"/>
      <c r="C45" s="7"/>
      <c r="D45" s="7"/>
      <c r="E45" s="7">
        <f>E43*E41</f>
        <v>556804.70352727571</v>
      </c>
      <c r="F45" s="7" t="s">
        <v>9</v>
      </c>
    </row>
    <row r="47" spans="1:12">
      <c r="A47" t="s">
        <v>155</v>
      </c>
      <c r="E47">
        <f>'FAO-data-calculations'!C78</f>
        <v>153687</v>
      </c>
      <c r="F47" t="s">
        <v>9</v>
      </c>
    </row>
    <row r="48" spans="1:12">
      <c r="A48" s="7" t="s">
        <v>151</v>
      </c>
      <c r="B48" s="7"/>
      <c r="C48" s="7"/>
      <c r="D48" s="7"/>
      <c r="E48" s="22">
        <f>G39</f>
        <v>0.61399999999999999</v>
      </c>
      <c r="F48" s="7"/>
    </row>
    <row r="49" spans="1:6">
      <c r="A49" s="7" t="s">
        <v>152</v>
      </c>
      <c r="B49" s="7"/>
      <c r="C49" s="7"/>
      <c r="D49" s="7"/>
      <c r="E49" s="22">
        <f>H39</f>
        <v>0.38600000000000007</v>
      </c>
      <c r="F49" s="7"/>
    </row>
    <row r="50" spans="1:6">
      <c r="A50" s="7" t="s">
        <v>156</v>
      </c>
      <c r="B50" s="7"/>
      <c r="C50" s="7"/>
      <c r="D50" s="7"/>
      <c r="E50" s="7">
        <f>E48*E47</f>
        <v>94363.817999999999</v>
      </c>
      <c r="F50" s="7" t="s">
        <v>9</v>
      </c>
    </row>
    <row r="51" spans="1:6">
      <c r="A51" s="7" t="s">
        <v>157</v>
      </c>
      <c r="B51" s="7"/>
      <c r="C51" s="7"/>
      <c r="D51" s="7"/>
      <c r="E51" s="7">
        <f>E49*E47</f>
        <v>59323.182000000008</v>
      </c>
      <c r="F51" s="7" t="s">
        <v>9</v>
      </c>
    </row>
    <row r="53" spans="1:6">
      <c r="A53" s="7" t="s">
        <v>158</v>
      </c>
      <c r="B53" s="7"/>
      <c r="C53" s="7"/>
      <c r="D53" s="7"/>
      <c r="E53" s="7">
        <f>E44-E50</f>
        <v>811641.44597272389</v>
      </c>
      <c r="F53" s="7" t="s">
        <v>9</v>
      </c>
    </row>
    <row r="54" spans="1:6">
      <c r="A54" s="7" t="s">
        <v>159</v>
      </c>
      <c r="B54" s="7"/>
      <c r="C54" s="7"/>
      <c r="D54" s="7"/>
      <c r="E54" s="7">
        <f>E45-E51</f>
        <v>497481.52152727568</v>
      </c>
      <c r="F54" s="7" t="s">
        <v>9</v>
      </c>
    </row>
    <row r="57" spans="1:6">
      <c r="A57" t="s">
        <v>103</v>
      </c>
      <c r="E57">
        <f>'FAO-data-calculations'!C88</f>
        <v>3442212.5825</v>
      </c>
      <c r="F57" t="s">
        <v>9</v>
      </c>
    </row>
    <row r="58" spans="1:6">
      <c r="A58" s="7" t="s">
        <v>160</v>
      </c>
      <c r="B58" s="7"/>
      <c r="C58" s="7"/>
      <c r="D58" s="7"/>
      <c r="E58" s="22">
        <f>E39</f>
        <v>0.61935950950698182</v>
      </c>
      <c r="F58" s="7"/>
    </row>
    <row r="59" spans="1:6">
      <c r="A59" s="7" t="s">
        <v>161</v>
      </c>
      <c r="B59" s="7"/>
      <c r="C59" s="7"/>
      <c r="D59" s="7"/>
      <c r="E59" s="22">
        <f>F39</f>
        <v>0.38064049049301807</v>
      </c>
      <c r="F59" s="7"/>
    </row>
    <row r="60" spans="1:6">
      <c r="A60" s="7" t="s">
        <v>162</v>
      </c>
      <c r="B60" s="7"/>
      <c r="C60" s="7"/>
      <c r="D60" s="7"/>
      <c r="E60" s="7">
        <f>E58*E57</f>
        <v>2131967.0967159611</v>
      </c>
      <c r="F60" s="7" t="s">
        <v>9</v>
      </c>
    </row>
    <row r="61" spans="1:6">
      <c r="A61" s="7" t="s">
        <v>163</v>
      </c>
      <c r="B61" s="7"/>
      <c r="C61" s="7"/>
      <c r="D61" s="7"/>
      <c r="E61" s="7">
        <f>E59*E57</f>
        <v>1310245.4857840384</v>
      </c>
      <c r="F61" s="7" t="s">
        <v>9</v>
      </c>
    </row>
    <row r="63" spans="1:6">
      <c r="A63" t="s">
        <v>164</v>
      </c>
      <c r="E63">
        <f>'FAO-data-calculations'!C95</f>
        <v>262380</v>
      </c>
      <c r="F63" t="s">
        <v>9</v>
      </c>
    </row>
    <row r="64" spans="1:6">
      <c r="A64" s="7" t="s">
        <v>160</v>
      </c>
      <c r="B64" s="7"/>
      <c r="C64" s="7"/>
      <c r="D64" s="7"/>
      <c r="E64" s="22">
        <f>G39</f>
        <v>0.61399999999999999</v>
      </c>
      <c r="F64" s="7"/>
    </row>
    <row r="65" spans="1:6">
      <c r="A65" s="7" t="s">
        <v>161</v>
      </c>
      <c r="B65" s="7"/>
      <c r="C65" s="7"/>
      <c r="D65" s="7"/>
      <c r="E65" s="22">
        <f>H39</f>
        <v>0.38600000000000007</v>
      </c>
      <c r="F65" s="7"/>
    </row>
    <row r="66" spans="1:6">
      <c r="A66" s="7" t="s">
        <v>165</v>
      </c>
      <c r="B66" s="7"/>
      <c r="C66" s="7"/>
      <c r="D66" s="7"/>
      <c r="E66" s="7">
        <f>E64*E63</f>
        <v>161101.32</v>
      </c>
      <c r="F66" s="7" t="s">
        <v>9</v>
      </c>
    </row>
    <row r="67" spans="1:6">
      <c r="A67" s="7" t="s">
        <v>166</v>
      </c>
      <c r="B67" s="7"/>
      <c r="C67" s="7"/>
      <c r="D67" s="7"/>
      <c r="E67" s="7">
        <f>E65*E63</f>
        <v>101278.68000000002</v>
      </c>
      <c r="F67" s="7" t="s">
        <v>9</v>
      </c>
    </row>
    <row r="69" spans="1:6">
      <c r="A69" s="7" t="s">
        <v>176</v>
      </c>
      <c r="B69" s="7"/>
      <c r="C69" s="7"/>
      <c r="D69" s="7"/>
      <c r="E69" s="7">
        <f>E60-E66</f>
        <v>1970865.7767159611</v>
      </c>
      <c r="F69" s="7" t="s">
        <v>9</v>
      </c>
    </row>
    <row r="70" spans="1:6">
      <c r="A70" s="7" t="s">
        <v>177</v>
      </c>
      <c r="B70" s="7"/>
      <c r="C70" s="7"/>
      <c r="D70" s="7"/>
      <c r="E70" s="7">
        <f>E61-E67</f>
        <v>1208966.8057840385</v>
      </c>
      <c r="F70" s="7" t="s">
        <v>9</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B6"/>
  <sheetViews>
    <sheetView workbookViewId="0">
      <selection activeCell="A23" sqref="A23"/>
    </sheetView>
  </sheetViews>
  <sheetFormatPr defaultRowHeight="15"/>
  <cols>
    <col min="1" max="1" width="19.140625" customWidth="1"/>
    <col min="2" max="2" width="104" customWidth="1"/>
  </cols>
  <sheetData>
    <row r="1" spans="1:2">
      <c r="A1" t="s">
        <v>69</v>
      </c>
    </row>
    <row r="2" spans="1:2" ht="75">
      <c r="A2" s="6" t="s">
        <v>21</v>
      </c>
      <c r="B2" s="1" t="s">
        <v>53</v>
      </c>
    </row>
    <row r="3" spans="1:2" ht="60">
      <c r="A3" s="6" t="s">
        <v>35</v>
      </c>
      <c r="B3" s="1" t="s">
        <v>54</v>
      </c>
    </row>
    <row r="4" spans="1:2" ht="30">
      <c r="A4" s="6" t="s">
        <v>41</v>
      </c>
      <c r="B4" s="1" t="s">
        <v>55</v>
      </c>
    </row>
    <row r="5" spans="1:2" ht="165">
      <c r="A5" s="6" t="s">
        <v>49</v>
      </c>
      <c r="B5" s="1" t="s">
        <v>56</v>
      </c>
    </row>
    <row r="6" spans="1:2" ht="30">
      <c r="A6" s="6" t="s">
        <v>50</v>
      </c>
      <c r="B6" s="1" t="s">
        <v>57</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B5"/>
  <sheetViews>
    <sheetView tabSelected="1" workbookViewId="0">
      <selection activeCell="G21" sqref="G21"/>
    </sheetView>
  </sheetViews>
  <sheetFormatPr defaultRowHeight="15"/>
  <cols>
    <col min="1" max="1" width="29.85546875" customWidth="1"/>
    <col min="2" max="2" width="68.140625" customWidth="1"/>
  </cols>
  <sheetData>
    <row r="1" spans="1:2">
      <c r="A1" s="5" t="s">
        <v>58</v>
      </c>
      <c r="B1" s="5" t="s">
        <v>59</v>
      </c>
    </row>
    <row r="2" spans="1:2">
      <c r="A2" t="s">
        <v>60</v>
      </c>
      <c r="B2" t="s">
        <v>65</v>
      </c>
    </row>
    <row r="3" spans="1:2">
      <c r="A3" t="s">
        <v>61</v>
      </c>
      <c r="B3" t="s">
        <v>66</v>
      </c>
    </row>
    <row r="4" spans="1:2">
      <c r="A4" t="s">
        <v>62</v>
      </c>
      <c r="B4" t="s">
        <v>67</v>
      </c>
    </row>
    <row r="5" spans="1:2">
      <c r="A5" t="s">
        <v>63</v>
      </c>
      <c r="B5" t="s">
        <v>64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Model_Inputs</vt:lpstr>
      <vt:lpstr>FAO-data-calculations</vt:lpstr>
      <vt:lpstr>potential-natural-veg-calcs</vt:lpstr>
      <vt:lpstr>FAO-definitions</vt:lpstr>
      <vt:lpstr>crosswalk</vt:lpstr>
    </vt:vector>
  </TitlesOfParts>
  <Company>NREL</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jmacknick</dc:creator>
  <cp:lastModifiedBy>dinman</cp:lastModifiedBy>
  <dcterms:created xsi:type="dcterms:W3CDTF">2010-12-13T18:00:40Z</dcterms:created>
  <dcterms:modified xsi:type="dcterms:W3CDTF">2011-08-30T20:52:24Z</dcterms:modified>
</cp:coreProperties>
</file>