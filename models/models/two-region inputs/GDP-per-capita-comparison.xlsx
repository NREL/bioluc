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17115" windowHeight="8955" activeTab="5"/>
  </bookViews>
  <sheets>
    <sheet name="OECD-MER" sheetId="1" r:id="rId1"/>
    <sheet name="WDI-MER" sheetId="3" r:id="rId2"/>
    <sheet name="OECD-PPP" sheetId="2" r:id="rId3"/>
    <sheet name="WDI-PPP" sheetId="4" r:id="rId4"/>
    <sheet name="Maddison-PPP" sheetId="5" r:id="rId5"/>
    <sheet name="Sheet1" sheetId="6" r:id="rId6"/>
  </sheets>
  <calcPr calcId="125725"/>
</workbook>
</file>

<file path=xl/calcChain.xml><?xml version="1.0" encoding="utf-8"?>
<calcChain xmlns="http://schemas.openxmlformats.org/spreadsheetml/2006/main">
  <c r="C5" i="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V5"/>
  <c r="AW5"/>
  <c r="AX5"/>
  <c r="AY5"/>
  <c r="AZ5"/>
  <c r="BA5"/>
  <c r="BB5"/>
  <c r="BC5"/>
  <c r="BD5"/>
  <c r="BE5"/>
  <c r="BF5"/>
  <c r="BG5"/>
  <c r="BH5"/>
  <c r="C6"/>
  <c r="D6"/>
  <c r="E6"/>
  <c r="F6"/>
  <c r="G6"/>
  <c r="H6"/>
  <c r="I6"/>
  <c r="J6"/>
  <c r="K6"/>
  <c r="L6"/>
  <c r="M6"/>
  <c r="N6"/>
  <c r="O6"/>
  <c r="P6"/>
  <c r="Q6"/>
  <c r="R6"/>
  <c r="S6"/>
  <c r="T6"/>
  <c r="U6"/>
  <c r="V6"/>
  <c r="W6"/>
  <c r="X6"/>
  <c r="Y6"/>
  <c r="Z6"/>
  <c r="AA6"/>
  <c r="AB6"/>
  <c r="AC6"/>
  <c r="AD6"/>
  <c r="AE6"/>
  <c r="AF6"/>
  <c r="AG6"/>
  <c r="AH6"/>
  <c r="AI6"/>
  <c r="AJ6"/>
  <c r="AK6"/>
  <c r="AL6"/>
  <c r="AM6"/>
  <c r="AN6"/>
  <c r="AO6"/>
  <c r="AP6"/>
  <c r="AQ6"/>
  <c r="AR6"/>
  <c r="AS6"/>
  <c r="AT6"/>
  <c r="AU6"/>
  <c r="AV6"/>
  <c r="AW6"/>
  <c r="AX6"/>
  <c r="AY6"/>
  <c r="AZ6"/>
  <c r="BA6"/>
  <c r="BB6"/>
  <c r="BC6"/>
  <c r="BD6"/>
  <c r="BE6"/>
  <c r="BF6"/>
  <c r="BG6"/>
  <c r="BH6"/>
  <c r="B6"/>
  <c r="B5"/>
  <c r="AF4" i="4"/>
  <c r="C4" i="3"/>
  <c r="AP4"/>
</calcChain>
</file>

<file path=xl/sharedStrings.xml><?xml version="1.0" encoding="utf-8"?>
<sst xmlns="http://schemas.openxmlformats.org/spreadsheetml/2006/main" count="2341" uniqueCount="352">
  <si>
    <t>GDP/POP using exchange rates</t>
  </si>
  <si>
    <t>2000 US dollars per person</t>
  </si>
  <si>
    <t>World</t>
  </si>
  <si>
    <t>USA</t>
  </si>
  <si>
    <t>ROW</t>
  </si>
  <si>
    <t xml:space="preserve">Annex I Parties </t>
  </si>
  <si>
    <t>..</t>
  </si>
  <si>
    <t xml:space="preserve">   Annex II Parties   </t>
  </si>
  <si>
    <t xml:space="preserve">      North America      </t>
  </si>
  <si>
    <t xml:space="preserve">      Europe      </t>
  </si>
  <si>
    <t xml:space="preserve">      Pacific      </t>
  </si>
  <si>
    <t xml:space="preserve">   Annex I EIT   </t>
  </si>
  <si>
    <t xml:space="preserve">Non-Annex I Parties </t>
  </si>
  <si>
    <t>Annex I Kyoto Parties</t>
  </si>
  <si>
    <t>OECD Total</t>
  </si>
  <si>
    <t>Non-OECD Total</t>
  </si>
  <si>
    <t>Region/Country/Economy</t>
  </si>
  <si>
    <t>Canada</t>
  </si>
  <si>
    <t>Mexico</t>
  </si>
  <si>
    <t>United States</t>
  </si>
  <si>
    <t>OECD North America</t>
  </si>
  <si>
    <t>Australia</t>
  </si>
  <si>
    <t>Japan</t>
  </si>
  <si>
    <t>Korea</t>
  </si>
  <si>
    <t>New Zealand</t>
  </si>
  <si>
    <t>OECD Pacific</t>
  </si>
  <si>
    <t>Austria</t>
  </si>
  <si>
    <t>Belgium</t>
  </si>
  <si>
    <t>Czech Republic</t>
  </si>
  <si>
    <t>Denmark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</si>
  <si>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</si>
  <si>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</si>
  <si>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</si>
  <si>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</si>
  <si>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</si>
  <si>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</si>
  <si>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</si>
  <si>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</si>
  <si>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Luxembourg</t>
  </si>
  <si>
    <t>Netherlands</t>
  </si>
  <si>
    <t>Norway</t>
  </si>
  <si>
    <t>Poland</t>
  </si>
  <si>
    <t>Portugal</t>
  </si>
  <si>
    <t>Slovak Republic</t>
  </si>
  <si>
    <t>Spain</t>
  </si>
  <si>
    <t>Sweden</t>
  </si>
  <si>
    <t>Switzerland</t>
  </si>
  <si>
    <t>Turkey</t>
  </si>
  <si>
    <t>United Kingdom</t>
  </si>
  <si>
    <t>OECD Europe</t>
  </si>
  <si>
    <t>Algeria</t>
  </si>
  <si>
    <t>Angola</t>
  </si>
  <si>
    <t>Benin</t>
  </si>
  <si>
    <t>Botswana</t>
  </si>
  <si>
    <t>Cameroon</t>
  </si>
  <si>
    <t>Congo</t>
  </si>
  <si>
    <t>Dem. Rep. of Congo</t>
  </si>
  <si>
    <t>Côte d'Ivoire</t>
  </si>
  <si>
    <t>Egypt</t>
  </si>
  <si>
    <t>Eritrea</t>
  </si>
  <si>
    <t>Ethiopia</t>
  </si>
  <si>
    <t>Gabon</t>
  </si>
  <si>
    <t>Ghana</t>
  </si>
  <si>
    <t>Kenya</t>
  </si>
  <si>
    <t>Libyan Arab Jamahiriya</t>
  </si>
  <si>
    <t>Morocco</t>
  </si>
  <si>
    <t>Mozambique</t>
  </si>
  <si>
    <t>Namibia</t>
  </si>
  <si>
    <t>Nigeria</t>
  </si>
  <si>
    <t>Senegal</t>
  </si>
  <si>
    <t>South Africa</t>
  </si>
  <si>
    <t>Sudan</t>
  </si>
  <si>
    <t>United Rep. of Tanzania</t>
  </si>
  <si>
    <t>Togo</t>
  </si>
  <si>
    <t>Tunisia</t>
  </si>
  <si>
    <t>Zambia</t>
  </si>
  <si>
    <t>Zimbabwe</t>
  </si>
  <si>
    <t>Other Africa</t>
  </si>
  <si>
    <t>Africa</t>
  </si>
  <si>
    <t>Bahrain</t>
  </si>
  <si>
    <t>Islamic Rep. of Iran</t>
  </si>
  <si>
    <t>Iraq</t>
  </si>
  <si>
    <t>Israel</t>
  </si>
  <si>
    <t>Jordan</t>
  </si>
  <si>
    <t>Kuwait</t>
  </si>
  <si>
    <t>Lebanon</t>
  </si>
  <si>
    <t>Oman</t>
  </si>
  <si>
    <t>Qatar</t>
  </si>
  <si>
    <t>Saudi Arabia</t>
  </si>
  <si>
    <t xml:space="preserve">Syrian Arab Republic </t>
  </si>
  <si>
    <t>United Arab Emirates</t>
  </si>
  <si>
    <t>Yemen</t>
  </si>
  <si>
    <t>Middle East</t>
  </si>
  <si>
    <t>Albania</t>
  </si>
  <si>
    <t>Bosnia and Herzegovina</t>
  </si>
  <si>
    <t>Bulgaria</t>
  </si>
  <si>
    <t>Croatia</t>
  </si>
  <si>
    <t>Cyprus</t>
  </si>
  <si>
    <t>Gibraltar</t>
  </si>
  <si>
    <t>FYR of Macedonia</t>
  </si>
  <si>
    <t>Malta</t>
  </si>
  <si>
    <t>Romania</t>
  </si>
  <si>
    <t>Serbia</t>
  </si>
  <si>
    <t>Slovenia</t>
  </si>
  <si>
    <t>Former Yugoslavia (if no detail)</t>
  </si>
  <si>
    <t>Non-OECD Europe</t>
  </si>
  <si>
    <t>Armenia</t>
  </si>
  <si>
    <t>Azerbaijan</t>
  </si>
  <si>
    <t>Belarus</t>
  </si>
  <si>
    <t>Estonia</t>
  </si>
  <si>
    <t>Georgia</t>
  </si>
  <si>
    <t>Kazakhstan</t>
  </si>
  <si>
    <t>Kyrgyzstan</t>
  </si>
  <si>
    <t>Latvia</t>
  </si>
  <si>
    <t>Lithuania</t>
  </si>
  <si>
    <t>Republic of Moldova</t>
  </si>
  <si>
    <t>Russian Federation</t>
  </si>
  <si>
    <t>Tajikistan</t>
  </si>
  <si>
    <t>Turkmenistan</t>
  </si>
  <si>
    <t>Ukraine</t>
  </si>
  <si>
    <t>Uzbekistan</t>
  </si>
  <si>
    <t>Former Soviet Union (if no detail)</t>
  </si>
  <si>
    <t>Former Soviet Union</t>
  </si>
  <si>
    <t>Argentina</t>
  </si>
  <si>
    <t>Bolivia</t>
  </si>
  <si>
    <t>Brazil</t>
  </si>
  <si>
    <t>Chile</t>
  </si>
  <si>
    <t>Colombia</t>
  </si>
  <si>
    <t>Costa Rica</t>
  </si>
  <si>
    <t>Cuba</t>
  </si>
  <si>
    <t>Dominican Republic</t>
  </si>
  <si>
    <t>Ecuador</t>
  </si>
  <si>
    <t>El Salvador</t>
  </si>
  <si>
    <t>Guatemala</t>
  </si>
  <si>
    <t>Haiti</t>
  </si>
  <si>
    <t>Honduras</t>
  </si>
  <si>
    <t>Jamaica</t>
  </si>
  <si>
    <t>Netherlands Antilles</t>
  </si>
  <si>
    <t>Nicaragua</t>
  </si>
  <si>
    <t>Panama</t>
  </si>
  <si>
    <t>Paraguay</t>
  </si>
  <si>
    <t>Peru</t>
  </si>
  <si>
    <t>Trinidad and Tobago</t>
  </si>
  <si>
    <t>Uruguay</t>
  </si>
  <si>
    <t>Venezuela</t>
  </si>
  <si>
    <t>Other Latin America</t>
  </si>
  <si>
    <t>Latin America</t>
  </si>
  <si>
    <t>Bangladesh</t>
  </si>
  <si>
    <t>Brunei Darussalam</t>
  </si>
  <si>
    <t>Cambodia</t>
  </si>
  <si>
    <t>Chinese Taipei</t>
  </si>
  <si>
    <t>India</t>
  </si>
  <si>
    <t>Indonesia</t>
  </si>
  <si>
    <t>DPR of Korea</t>
  </si>
  <si>
    <t>Malaysia</t>
  </si>
  <si>
    <t>Mongolia</t>
  </si>
  <si>
    <t>Myanmar</t>
  </si>
  <si>
    <t>Nepal</t>
  </si>
  <si>
    <t>Pakistan</t>
  </si>
  <si>
    <t>Philippines</t>
  </si>
  <si>
    <t>Singapore</t>
  </si>
  <si>
    <t>Sri Lanka</t>
  </si>
  <si>
    <t>Thailand</t>
  </si>
  <si>
    <t>Vietnam</t>
  </si>
  <si>
    <t>Other Asia</t>
  </si>
  <si>
    <t>Asia</t>
  </si>
  <si>
    <t>People's Rep. of China</t>
  </si>
  <si>
    <t>Hong Kong, China</t>
  </si>
  <si>
    <t>China</t>
  </si>
  <si>
    <t>European Union - 27</t>
  </si>
  <si>
    <t>GDP/POP using PPP</t>
  </si>
  <si>
    <t>GDP per capita (constant 2000 US$)</t>
  </si>
  <si>
    <t>GDP per capita, PPP (constant 2005 international $)</t>
  </si>
  <si>
    <t>Per Capita GDP</t>
  </si>
  <si>
    <t>http://www.ggdc.net/MADDISON/oriindex.htm</t>
  </si>
  <si>
    <t xml:space="preserve">(1990 International Geary-Khamis dollars) </t>
  </si>
  <si>
    <t xml:space="preserve">Western Europe </t>
  </si>
  <si>
    <t xml:space="preserve">Austria </t>
  </si>
  <si>
    <t/>
  </si>
  <si>
    <t xml:space="preserve">Belgium </t>
  </si>
  <si>
    <t xml:space="preserve">Denmark </t>
  </si>
  <si>
    <t xml:space="preserve">Finland </t>
  </si>
  <si>
    <t xml:space="preserve">Germany </t>
  </si>
  <si>
    <t xml:space="preserve">Italy </t>
  </si>
  <si>
    <t xml:space="preserve">Netherlands </t>
  </si>
  <si>
    <t xml:space="preserve">Norway </t>
  </si>
  <si>
    <t xml:space="preserve">Sweden </t>
  </si>
  <si>
    <t xml:space="preserve">Switzerland </t>
  </si>
  <si>
    <t xml:space="preserve">United Kingdom </t>
  </si>
  <si>
    <t xml:space="preserve">Total 12 Western Europe </t>
  </si>
  <si>
    <t xml:space="preserve">Ireland </t>
  </si>
  <si>
    <t xml:space="preserve">Greece </t>
  </si>
  <si>
    <t xml:space="preserve">Portugal </t>
  </si>
  <si>
    <t xml:space="preserve">Spain </t>
  </si>
  <si>
    <t>Total 14 small west European countries</t>
  </si>
  <si>
    <t xml:space="preserve">Total 30  Western Europe </t>
  </si>
  <si>
    <t xml:space="preserve">Western Offshoots </t>
  </si>
  <si>
    <t xml:space="preserve">Australia </t>
  </si>
  <si>
    <t xml:space="preserve">New Zealand </t>
  </si>
  <si>
    <t xml:space="preserve">United States </t>
  </si>
  <si>
    <t xml:space="preserve">Total Western Offshoots </t>
  </si>
  <si>
    <t xml:space="preserve">Eastern Europe </t>
  </si>
  <si>
    <t xml:space="preserve">Albania </t>
  </si>
  <si>
    <t xml:space="preserve">Bulgaria </t>
  </si>
  <si>
    <t xml:space="preserve">Czechoslovakia </t>
  </si>
  <si>
    <t xml:space="preserve">Hungary </t>
  </si>
  <si>
    <t xml:space="preserve">Poland </t>
  </si>
  <si>
    <t xml:space="preserve">Romania </t>
  </si>
  <si>
    <t xml:space="preserve">Yugoslavia </t>
  </si>
  <si>
    <t>Total 7 East European Countries</t>
  </si>
  <si>
    <t xml:space="preserve">Yugoslav and Czech Successor states </t>
  </si>
  <si>
    <t xml:space="preserve">Bosnia </t>
  </si>
  <si>
    <t xml:space="preserve">Croatia </t>
  </si>
  <si>
    <t xml:space="preserve">Macedonia </t>
  </si>
  <si>
    <t xml:space="preserve">Slovenia </t>
  </si>
  <si>
    <t>Serbia/Montenegro/Kosovo</t>
  </si>
  <si>
    <t xml:space="preserve">Former Yugoslavia </t>
  </si>
  <si>
    <t xml:space="preserve">Czech Republic </t>
  </si>
  <si>
    <t xml:space="preserve">Slovakia </t>
  </si>
  <si>
    <t xml:space="preserve">Former Czechoslovakia </t>
  </si>
  <si>
    <t>Successor Republics of USSR</t>
  </si>
  <si>
    <t xml:space="preserve">Armenia </t>
  </si>
  <si>
    <t xml:space="preserve">Azerbaijan </t>
  </si>
  <si>
    <t xml:space="preserve">Belarus </t>
  </si>
  <si>
    <t xml:space="preserve">Estonia </t>
  </si>
  <si>
    <t xml:space="preserve">Georgia </t>
  </si>
  <si>
    <t xml:space="preserve">Kyrgyzstan </t>
  </si>
  <si>
    <t xml:space="preserve">Latvia </t>
  </si>
  <si>
    <t xml:space="preserve">Lithuania </t>
  </si>
  <si>
    <t xml:space="preserve">Moldova </t>
  </si>
  <si>
    <t xml:space="preserve">Russian Federation </t>
  </si>
  <si>
    <t xml:space="preserve">Tajikistan </t>
  </si>
  <si>
    <t xml:space="preserve">Turkmenistan </t>
  </si>
  <si>
    <t xml:space="preserve">Ukraine </t>
  </si>
  <si>
    <t xml:space="preserve">Uzbekistan </t>
  </si>
  <si>
    <t xml:space="preserve">Total Former USSR </t>
  </si>
  <si>
    <t xml:space="preserve">8 Latin American countries </t>
  </si>
  <si>
    <t xml:space="preserve">Argentina </t>
  </si>
  <si>
    <t xml:space="preserve">Brazil </t>
  </si>
  <si>
    <t xml:space="preserve">Chile </t>
  </si>
  <si>
    <t xml:space="preserve">Colombia </t>
  </si>
  <si>
    <t xml:space="preserve">Mexico </t>
  </si>
  <si>
    <t xml:space="preserve">Peru </t>
  </si>
  <si>
    <t>Total 8 Latin American countries</t>
  </si>
  <si>
    <t xml:space="preserve">15 Latin American countries </t>
  </si>
  <si>
    <t xml:space="preserve">Bolivia </t>
  </si>
  <si>
    <t xml:space="preserve">Dominican Republic </t>
  </si>
  <si>
    <t xml:space="preserve">Ecuador </t>
  </si>
  <si>
    <t>Haïti</t>
  </si>
  <si>
    <t xml:space="preserve">Jamaica </t>
  </si>
  <si>
    <t xml:space="preserve">Puerto Rico </t>
  </si>
  <si>
    <t xml:space="preserve">Trinidad and Tobago </t>
  </si>
  <si>
    <t>Total 15 Latin American countries</t>
  </si>
  <si>
    <t xml:space="preserve">Total 21 small Caribbean countries </t>
  </si>
  <si>
    <t>Total Latin America</t>
  </si>
  <si>
    <t xml:space="preserve">16 East Asian countries </t>
  </si>
  <si>
    <t xml:space="preserve">China </t>
  </si>
  <si>
    <t xml:space="preserve">India </t>
  </si>
  <si>
    <t>Indonesia (including Timor until 1999)</t>
  </si>
  <si>
    <t xml:space="preserve">Japan </t>
  </si>
  <si>
    <t xml:space="preserve">South Korea </t>
  </si>
  <si>
    <t xml:space="preserve">Thailand </t>
  </si>
  <si>
    <t>Taiwan</t>
  </si>
  <si>
    <t xml:space="preserve">Burma </t>
  </si>
  <si>
    <t>Hong Kong</t>
  </si>
  <si>
    <t xml:space="preserve">Malaysia </t>
  </si>
  <si>
    <t xml:space="preserve">Nepal </t>
  </si>
  <si>
    <t xml:space="preserve">Singapore </t>
  </si>
  <si>
    <t xml:space="preserve">Total 16 East Asian countries </t>
  </si>
  <si>
    <t xml:space="preserve">30 East Asian countries </t>
  </si>
  <si>
    <t>Afghanistan</t>
  </si>
  <si>
    <t xml:space="preserve">Cambodia </t>
  </si>
  <si>
    <t>Laos</t>
  </si>
  <si>
    <t xml:space="preserve">Mongolia </t>
  </si>
  <si>
    <t xml:space="preserve">North Korea </t>
  </si>
  <si>
    <t>Total 24 Small East Asian countries</t>
  </si>
  <si>
    <t xml:space="preserve">Total 30 East Asian countries </t>
  </si>
  <si>
    <t>15 West Asian countries</t>
  </si>
  <si>
    <t xml:space="preserve">Bahrain </t>
  </si>
  <si>
    <t>Iran</t>
  </si>
  <si>
    <t xml:space="preserve">Iraq </t>
  </si>
  <si>
    <t xml:space="preserve">Israel </t>
  </si>
  <si>
    <t xml:space="preserve">Jordan </t>
  </si>
  <si>
    <t xml:space="preserve">Kuwait </t>
  </si>
  <si>
    <t xml:space="preserve">Lebanon </t>
  </si>
  <si>
    <t xml:space="preserve">Saudi Arabia </t>
  </si>
  <si>
    <t xml:space="preserve">Syria </t>
  </si>
  <si>
    <t xml:space="preserve">Turkey </t>
  </si>
  <si>
    <t xml:space="preserve">United Arab Emirates </t>
  </si>
  <si>
    <t xml:space="preserve">Yemen </t>
  </si>
  <si>
    <t xml:space="preserve">West Bank and Gaza </t>
  </si>
  <si>
    <t xml:space="preserve">Total 15 West Asian countries </t>
  </si>
  <si>
    <t xml:space="preserve">Total Asia </t>
  </si>
  <si>
    <t xml:space="preserve">57 African countries </t>
  </si>
  <si>
    <t xml:space="preserve">Algeria </t>
  </si>
  <si>
    <t xml:space="preserve">Benin </t>
  </si>
  <si>
    <t>Burkina Faso</t>
  </si>
  <si>
    <t>Burundi</t>
  </si>
  <si>
    <t xml:space="preserve">Cameroon </t>
  </si>
  <si>
    <t xml:space="preserve">Cape Verde </t>
  </si>
  <si>
    <t xml:space="preserve">Central African Republic </t>
  </si>
  <si>
    <t xml:space="preserve">Chad </t>
  </si>
  <si>
    <t xml:space="preserve">Comoro Islands </t>
  </si>
  <si>
    <t>Congo 'Brazzaville'</t>
  </si>
  <si>
    <t>Djibouti</t>
  </si>
  <si>
    <t xml:space="preserve">Egypt </t>
  </si>
  <si>
    <t xml:space="preserve">Equatorial Guinea </t>
  </si>
  <si>
    <t xml:space="preserve">Eritrea and Ethiopia </t>
  </si>
  <si>
    <t xml:space="preserve">Gambia </t>
  </si>
  <si>
    <t xml:space="preserve">Guinea </t>
  </si>
  <si>
    <t xml:space="preserve">Guinea Bissau </t>
  </si>
  <si>
    <t>Lesotho</t>
  </si>
  <si>
    <t>Liberia</t>
  </si>
  <si>
    <t xml:space="preserve">Libya </t>
  </si>
  <si>
    <t>Madagascar</t>
  </si>
  <si>
    <t>Malawi</t>
  </si>
  <si>
    <t>Mali</t>
  </si>
  <si>
    <t xml:space="preserve">Mauritania </t>
  </si>
  <si>
    <t xml:space="preserve">Mauritius </t>
  </si>
  <si>
    <t xml:space="preserve">Morocco </t>
  </si>
  <si>
    <t xml:space="preserve">Namibia </t>
  </si>
  <si>
    <t>Niger</t>
  </si>
  <si>
    <t>Rwanda</t>
  </si>
  <si>
    <t xml:space="preserve">São Tomé and Principe </t>
  </si>
  <si>
    <t xml:space="preserve">Senegal </t>
  </si>
  <si>
    <t>Seychelles</t>
  </si>
  <si>
    <t>Sierra Leone</t>
  </si>
  <si>
    <t xml:space="preserve">Somalia </t>
  </si>
  <si>
    <t xml:space="preserve">South Africa </t>
  </si>
  <si>
    <t xml:space="preserve">Sudan </t>
  </si>
  <si>
    <t>Swaziland</t>
  </si>
  <si>
    <t xml:space="preserve">Tanzania </t>
  </si>
  <si>
    <t xml:space="preserve">Tunisia </t>
  </si>
  <si>
    <t xml:space="preserve">Uganda </t>
  </si>
  <si>
    <t>Zaire (Congo Kinshasa)</t>
  </si>
  <si>
    <t xml:space="preserve">Zambia </t>
  </si>
  <si>
    <t>Total 3 Small African countries</t>
  </si>
  <si>
    <t xml:space="preserve">Total Africa </t>
  </si>
  <si>
    <t>World Average</t>
  </si>
  <si>
    <t>year</t>
  </si>
  <si>
    <t>us ppp(mad)</t>
  </si>
  <si>
    <t>row ppp(mad)</t>
  </si>
  <si>
    <t>USA ppp(wdi)</t>
  </si>
  <si>
    <t>ROW ppp(wdi)</t>
  </si>
  <si>
    <t>year(wdi)</t>
  </si>
  <si>
    <t>USA mer (wdi)</t>
  </si>
  <si>
    <t>ROW mer (wdi)</t>
  </si>
  <si>
    <t>year(oecd)</t>
  </si>
  <si>
    <t>us mer(oecd)</t>
  </si>
  <si>
    <t>row mer(oecd)</t>
  </si>
  <si>
    <t>us ppp(oecd)</t>
  </si>
  <si>
    <t>row ppp(oecd)</t>
  </si>
</sst>
</file>

<file path=xl/styles.xml><?xml version="1.0" encoding="utf-8"?>
<styleSheet xmlns="http://schemas.openxmlformats.org/spreadsheetml/2006/main">
  <numFmts count="8">
    <numFmt numFmtId="43" formatCode="_(* #,##0.00_);_(* \(#,##0.00\);_(* &quot;-&quot;??_);_(@_)"/>
    <numFmt numFmtId="164" formatCode=".\ \ ##;\-.\ \ ##;\ȭ;_你"/>
    <numFmt numFmtId="165" formatCode="#\ ###\ ##0;\-#\ ###\ ##0;\-"/>
    <numFmt numFmtId="166" formatCode="#\ ###\ ##0;\-#\ ###\ ##0;\-\-"/>
    <numFmt numFmtId="167" formatCode="#\ ##0;\-#\ ##0;\-\-"/>
    <numFmt numFmtId="168" formatCode="#\ ###\ ##0.0;\-#\ ###\ ##0.0;\-"/>
    <numFmt numFmtId="169" formatCode="_(* #,##0_);_(* \(#,##0\);_(* &quot;-&quot;??_);_(@_)"/>
    <numFmt numFmtId="170" formatCode=".\ \ #;\-.\ \ #;\ȭ;_你"/>
  </numFmts>
  <fonts count="21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b/>
      <i/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1"/>
      <color indexed="60"/>
      <name val="Arial"/>
      <family val="2"/>
    </font>
    <font>
      <b/>
      <sz val="10"/>
      <color indexed="6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b/>
      <sz val="10"/>
      <color indexed="8"/>
      <name val="Arial"/>
      <family val="2"/>
    </font>
    <font>
      <b/>
      <sz val="10"/>
      <color rgb="FFFF0000"/>
      <name val="Arial"/>
      <family val="2"/>
    </font>
    <font>
      <b/>
      <sz val="12"/>
      <color indexed="16"/>
      <name val="Arial"/>
      <family val="2"/>
    </font>
    <font>
      <b/>
      <sz val="10"/>
      <color indexed="16"/>
      <name val="Arial"/>
      <family val="2"/>
    </font>
    <font>
      <sz val="10"/>
      <color indexed="60"/>
      <name val="Arial"/>
      <family val="2"/>
    </font>
    <font>
      <sz val="10"/>
      <color rgb="FFFF0000"/>
      <name val="Arial"/>
      <family val="2"/>
    </font>
    <font>
      <u/>
      <sz val="11"/>
      <color theme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DB141"/>
        <bgColor indexed="64"/>
      </patternFill>
    </fill>
    <fill>
      <patternFill patternType="solid">
        <fgColor rgb="FFF7D39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3" fontId="8" fillId="0" borderId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2" fillId="2" borderId="0" xfId="1" applyFont="1" applyFill="1"/>
    <xf numFmtId="0" fontId="1" fillId="0" borderId="0" xfId="1"/>
    <xf numFmtId="0" fontId="3" fillId="3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right"/>
    </xf>
    <xf numFmtId="0" fontId="4" fillId="2" borderId="0" xfId="1" applyFont="1" applyFill="1" applyBorder="1" applyAlignment="1">
      <alignment horizontal="center"/>
    </xf>
    <xf numFmtId="0" fontId="5" fillId="2" borderId="0" xfId="1" applyFont="1" applyFill="1" applyBorder="1" applyAlignment="1"/>
    <xf numFmtId="0" fontId="4" fillId="2" borderId="0" xfId="1" applyFont="1" applyFill="1" applyBorder="1" applyAlignment="1">
      <alignment horizontal="left"/>
    </xf>
    <xf numFmtId="164" fontId="4" fillId="2" borderId="0" xfId="1" applyNumberFormat="1" applyFont="1" applyFill="1" applyBorder="1" applyAlignment="1">
      <alignment horizontal="right"/>
    </xf>
    <xf numFmtId="165" fontId="4" fillId="2" borderId="0" xfId="1" applyNumberFormat="1" applyFont="1" applyFill="1" applyBorder="1" applyAlignment="1">
      <alignment horizontal="right"/>
    </xf>
    <xf numFmtId="0" fontId="6" fillId="2" borderId="0" xfId="1" applyFont="1" applyFill="1" applyBorder="1" applyAlignment="1">
      <alignment horizontal="left"/>
    </xf>
    <xf numFmtId="165" fontId="6" fillId="2" borderId="0" xfId="1" applyNumberFormat="1" applyFont="1" applyFill="1" applyBorder="1" applyAlignment="1">
      <alignment horizontal="right"/>
    </xf>
    <xf numFmtId="0" fontId="7" fillId="2" borderId="0" xfId="1" applyFont="1" applyFill="1"/>
    <xf numFmtId="0" fontId="1" fillId="2" borderId="2" xfId="1" applyFill="1" applyBorder="1"/>
    <xf numFmtId="166" fontId="4" fillId="2" borderId="2" xfId="1" applyNumberFormat="1" applyFont="1" applyFill="1" applyBorder="1" applyAlignment="1">
      <alignment horizontal="right"/>
    </xf>
    <xf numFmtId="0" fontId="8" fillId="2" borderId="0" xfId="1" applyFont="1" applyFill="1"/>
    <xf numFmtId="0" fontId="5" fillId="2" borderId="0" xfId="1" applyFont="1" applyFill="1" applyBorder="1"/>
    <xf numFmtId="167" fontId="1" fillId="2" borderId="0" xfId="1" applyNumberFormat="1" applyFill="1"/>
    <xf numFmtId="0" fontId="4" fillId="3" borderId="1" xfId="1" applyFont="1" applyFill="1" applyBorder="1" applyAlignment="1">
      <alignment horizontal="left"/>
    </xf>
    <xf numFmtId="0" fontId="5" fillId="2" borderId="0" xfId="1" applyFont="1" applyFill="1" applyAlignment="1">
      <alignment horizontal="right"/>
    </xf>
    <xf numFmtId="0" fontId="4" fillId="4" borderId="0" xfId="1" quotePrefix="1" applyFont="1" applyFill="1" applyAlignment="1">
      <alignment horizontal="right"/>
    </xf>
    <xf numFmtId="0" fontId="5" fillId="2" borderId="0" xfId="1" quotePrefix="1" applyFont="1" applyFill="1" applyAlignment="1">
      <alignment horizontal="right"/>
    </xf>
    <xf numFmtId="0" fontId="5" fillId="2" borderId="0" xfId="1" applyFont="1" applyFill="1" applyBorder="1" applyAlignment="1">
      <alignment horizontal="right"/>
    </xf>
    <xf numFmtId="0" fontId="5" fillId="2" borderId="0" xfId="1" quotePrefix="1" applyFont="1" applyFill="1" applyBorder="1" applyAlignment="1">
      <alignment horizontal="right"/>
    </xf>
    <xf numFmtId="0" fontId="6" fillId="2" borderId="2" xfId="1" quotePrefix="1" applyFont="1" applyFill="1" applyBorder="1" applyAlignment="1">
      <alignment horizontal="right"/>
    </xf>
    <xf numFmtId="168" fontId="6" fillId="2" borderId="2" xfId="1" applyNumberFormat="1" applyFont="1" applyFill="1" applyBorder="1" applyAlignment="1">
      <alignment horizontal="right"/>
    </xf>
    <xf numFmtId="166" fontId="1" fillId="2" borderId="0" xfId="1" applyNumberFormat="1" applyFill="1"/>
    <xf numFmtId="169" fontId="8" fillId="2" borderId="0" xfId="2" applyNumberFormat="1" applyFont="1" applyFill="1"/>
    <xf numFmtId="166" fontId="9" fillId="2" borderId="0" xfId="1" applyNumberFormat="1" applyFont="1" applyFill="1" applyAlignment="1">
      <alignment horizontal="right"/>
    </xf>
    <xf numFmtId="0" fontId="4" fillId="5" borderId="0" xfId="1" applyFont="1" applyFill="1" applyBorder="1" applyAlignment="1">
      <alignment horizontal="left"/>
    </xf>
    <xf numFmtId="0" fontId="0" fillId="5" borderId="0" xfId="0" applyFill="1"/>
    <xf numFmtId="0" fontId="10" fillId="0" borderId="0" xfId="0" applyFont="1" applyFill="1"/>
    <xf numFmtId="0" fontId="11" fillId="0" borderId="0" xfId="0" applyFont="1" applyFill="1"/>
    <xf numFmtId="0" fontId="12" fillId="0" borderId="0" xfId="0" applyFont="1" applyFill="1"/>
    <xf numFmtId="0" fontId="13" fillId="0" borderId="0" xfId="0" applyFont="1" applyFill="1"/>
    <xf numFmtId="0" fontId="11" fillId="0" borderId="0" xfId="0" applyFont="1" applyFill="1" applyAlignment="1">
      <alignment horizontal="left"/>
    </xf>
    <xf numFmtId="3" fontId="8" fillId="0" borderId="0" xfId="0" applyNumberFormat="1" applyFont="1" applyFill="1"/>
    <xf numFmtId="0" fontId="0" fillId="0" borderId="0" xfId="0" applyFill="1"/>
    <xf numFmtId="0" fontId="8" fillId="0" borderId="0" xfId="0" applyFont="1" applyFill="1" applyAlignment="1">
      <alignment horizontal="left"/>
    </xf>
    <xf numFmtId="3" fontId="7" fillId="0" borderId="0" xfId="0" applyNumberFormat="1" applyFont="1" applyFill="1" applyBorder="1" applyAlignment="1">
      <alignment horizontal="left"/>
    </xf>
    <xf numFmtId="3" fontId="7" fillId="0" borderId="0" xfId="0" applyNumberFormat="1" applyFont="1" applyFill="1"/>
    <xf numFmtId="0" fontId="7" fillId="0" borderId="0" xfId="0" applyFont="1" applyFill="1"/>
    <xf numFmtId="3" fontId="8" fillId="0" borderId="0" xfId="0" applyNumberFormat="1" applyFont="1" applyFill="1" applyBorder="1" applyAlignment="1">
      <alignment horizontal="left"/>
    </xf>
    <xf numFmtId="0" fontId="0" fillId="0" borderId="0" xfId="0" applyFill="1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/>
    <xf numFmtId="0" fontId="8" fillId="0" borderId="0" xfId="0" applyFont="1"/>
    <xf numFmtId="3" fontId="8" fillId="0" borderId="0" xfId="0" applyNumberFormat="1" applyFont="1"/>
    <xf numFmtId="3" fontId="7" fillId="0" borderId="0" xfId="0" applyNumberFormat="1" applyFont="1"/>
    <xf numFmtId="0" fontId="14" fillId="0" borderId="0" xfId="0" applyFont="1" applyFill="1"/>
    <xf numFmtId="0" fontId="15" fillId="0" borderId="0" xfId="0" applyFont="1" applyFill="1"/>
    <xf numFmtId="3" fontId="8" fillId="0" borderId="0" xfId="0" applyNumberFormat="1" applyFont="1" applyFill="1" applyAlignment="1"/>
    <xf numFmtId="0" fontId="16" fillId="0" borderId="0" xfId="0" applyFont="1" applyFill="1" applyAlignment="1">
      <alignment horizontal="left"/>
    </xf>
    <xf numFmtId="3" fontId="17" fillId="0" borderId="0" xfId="0" applyNumberFormat="1" applyFont="1" applyFill="1" applyAlignment="1">
      <alignment horizontal="right"/>
    </xf>
    <xf numFmtId="0" fontId="17" fillId="0" borderId="0" xfId="0" applyFont="1" applyFill="1"/>
    <xf numFmtId="0" fontId="18" fillId="0" borderId="0" xfId="0" applyFont="1" applyFill="1"/>
    <xf numFmtId="0" fontId="19" fillId="0" borderId="0" xfId="0" applyFont="1" applyFill="1"/>
    <xf numFmtId="0" fontId="11" fillId="5" borderId="0" xfId="0" applyFont="1" applyFill="1"/>
    <xf numFmtId="3" fontId="11" fillId="5" borderId="0" xfId="0" applyNumberFormat="1" applyFont="1" applyFill="1"/>
    <xf numFmtId="1" fontId="11" fillId="5" borderId="0" xfId="0" applyNumberFormat="1" applyFont="1" applyFill="1"/>
    <xf numFmtId="1" fontId="0" fillId="5" borderId="0" xfId="0" applyNumberFormat="1" applyFill="1"/>
    <xf numFmtId="170" fontId="4" fillId="5" borderId="0" xfId="1" applyNumberFormat="1" applyFont="1" applyFill="1" applyBorder="1" applyAlignment="1">
      <alignment horizontal="right"/>
    </xf>
    <xf numFmtId="0" fontId="20" fillId="0" borderId="0" xfId="3" applyFill="1" applyAlignment="1" applyProtection="1"/>
  </cellXfs>
  <cellStyles count="4">
    <cellStyle name="Comma 2" xfId="2"/>
    <cellStyle name="Hyperlink" xfId="3" builtinId="8"/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gdc.net/MADDISON/oriindex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188"/>
  <sheetViews>
    <sheetView workbookViewId="0">
      <selection activeCell="B3" sqref="B3:AM7"/>
    </sheetView>
  </sheetViews>
  <sheetFormatPr defaultRowHeight="15"/>
  <cols>
    <col min="1" max="1" width="36.28515625" customWidth="1"/>
    <col min="2" max="39" width="10" bestFit="1" customWidth="1"/>
  </cols>
  <sheetData>
    <row r="1" spans="1:39" ht="15.7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3" spans="1:39">
      <c r="A3" s="3" t="s">
        <v>1</v>
      </c>
      <c r="B3" s="4">
        <v>1971</v>
      </c>
      <c r="C3" s="4">
        <v>1972</v>
      </c>
      <c r="D3" s="4">
        <v>1973</v>
      </c>
      <c r="E3" s="4">
        <v>1974</v>
      </c>
      <c r="F3" s="4">
        <v>1975</v>
      </c>
      <c r="G3" s="4">
        <v>1976</v>
      </c>
      <c r="H3" s="4">
        <v>1977</v>
      </c>
      <c r="I3" s="4">
        <v>1978</v>
      </c>
      <c r="J3" s="4">
        <v>1979</v>
      </c>
      <c r="K3" s="4">
        <v>1980</v>
      </c>
      <c r="L3" s="4">
        <v>1981</v>
      </c>
      <c r="M3" s="4">
        <v>1982</v>
      </c>
      <c r="N3" s="4">
        <v>1983</v>
      </c>
      <c r="O3" s="4">
        <v>1984</v>
      </c>
      <c r="P3" s="4">
        <v>1985</v>
      </c>
      <c r="Q3" s="4">
        <v>1986</v>
      </c>
      <c r="R3" s="4">
        <v>1987</v>
      </c>
      <c r="S3" s="4">
        <v>1988</v>
      </c>
      <c r="T3" s="4">
        <v>1989</v>
      </c>
      <c r="U3" s="4">
        <v>1990</v>
      </c>
      <c r="V3" s="4">
        <v>1991</v>
      </c>
      <c r="W3" s="4">
        <v>1992</v>
      </c>
      <c r="X3" s="4">
        <v>1993</v>
      </c>
      <c r="Y3" s="4">
        <v>1994</v>
      </c>
      <c r="Z3" s="4">
        <v>1995</v>
      </c>
      <c r="AA3" s="4">
        <v>1996</v>
      </c>
      <c r="AB3" s="4">
        <v>1997</v>
      </c>
      <c r="AC3" s="4">
        <v>1998</v>
      </c>
      <c r="AD3" s="4">
        <v>1999</v>
      </c>
      <c r="AE3" s="4">
        <v>2000</v>
      </c>
      <c r="AF3" s="4">
        <v>2001</v>
      </c>
      <c r="AG3" s="4">
        <v>2002</v>
      </c>
      <c r="AH3" s="4">
        <v>2003</v>
      </c>
      <c r="AI3" s="4">
        <v>2004</v>
      </c>
      <c r="AJ3" s="4">
        <v>2005</v>
      </c>
      <c r="AK3" s="4">
        <v>2006</v>
      </c>
      <c r="AL3" s="4">
        <v>2007</v>
      </c>
      <c r="AM3" s="4">
        <v>2008</v>
      </c>
    </row>
    <row r="4" spans="1:39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spans="1:39" s="30" customFormat="1">
      <c r="A5" s="29" t="s">
        <v>2</v>
      </c>
      <c r="B5" s="61">
        <v>3441.1849125525937</v>
      </c>
      <c r="C5" s="61">
        <v>3561.1846812503668</v>
      </c>
      <c r="D5" s="61">
        <v>3723.9110663757733</v>
      </c>
      <c r="E5" s="61">
        <v>3713.8180769347387</v>
      </c>
      <c r="F5" s="61">
        <v>3686.2771673958046</v>
      </c>
      <c r="G5" s="61">
        <v>3801.3750259112921</v>
      </c>
      <c r="H5" s="61">
        <v>3888.9145009140807</v>
      </c>
      <c r="I5" s="61">
        <v>3991.9372842864286</v>
      </c>
      <c r="J5" s="61">
        <v>4089.0490280850818</v>
      </c>
      <c r="K5" s="61">
        <v>4086.5318930727262</v>
      </c>
      <c r="L5" s="61">
        <v>4082.4004510177251</v>
      </c>
      <c r="M5" s="61">
        <v>4022.4063697831557</v>
      </c>
      <c r="N5" s="61">
        <v>4062.687911801022</v>
      </c>
      <c r="O5" s="61">
        <v>4173.5338845117412</v>
      </c>
      <c r="P5" s="61">
        <v>4248.7578295009807</v>
      </c>
      <c r="Q5" s="61">
        <v>4312.50858961212</v>
      </c>
      <c r="R5" s="61">
        <v>4384.5283095025479</v>
      </c>
      <c r="S5" s="61">
        <v>4500.231160334537</v>
      </c>
      <c r="T5" s="61">
        <v>4589.6205053015474</v>
      </c>
      <c r="U5" s="61">
        <v>4601.645621741367</v>
      </c>
      <c r="V5" s="61">
        <v>4594.7367338966669</v>
      </c>
      <c r="W5" s="61">
        <v>4625.7781550130057</v>
      </c>
      <c r="X5" s="61">
        <v>4636.4121116335045</v>
      </c>
      <c r="Y5" s="61">
        <v>4720.7785504639396</v>
      </c>
      <c r="Z5" s="61">
        <v>4786.7891166091176</v>
      </c>
      <c r="AA5" s="61">
        <v>4880.5442739923501</v>
      </c>
      <c r="AB5" s="61">
        <v>4992.9877972571649</v>
      </c>
      <c r="AC5" s="61">
        <v>5043.2480057728872</v>
      </c>
      <c r="AD5" s="61">
        <v>5139.7797630417544</v>
      </c>
      <c r="AE5" s="61">
        <v>5293.0605010329255</v>
      </c>
      <c r="AF5" s="61">
        <v>5311.9365149451714</v>
      </c>
      <c r="AG5" s="61">
        <v>5348.7390168133243</v>
      </c>
      <c r="AH5" s="61">
        <v>5424.8140899450855</v>
      </c>
      <c r="AI5" s="61">
        <v>5577.3384391912041</v>
      </c>
      <c r="AJ5" s="61">
        <v>5705.446819619011</v>
      </c>
      <c r="AK5" s="61">
        <v>5861.2618485769462</v>
      </c>
      <c r="AL5" s="61">
        <v>6018.2615756890709</v>
      </c>
      <c r="AM5" s="61">
        <v>6052.9523784460762</v>
      </c>
    </row>
    <row r="6" spans="1:39" s="30" customFormat="1">
      <c r="A6" s="29" t="s">
        <v>3</v>
      </c>
      <c r="B6" s="61">
        <v>18619.344991622209</v>
      </c>
      <c r="C6" s="61">
        <v>19438.544425601645</v>
      </c>
      <c r="D6" s="61">
        <v>20392.136416610439</v>
      </c>
      <c r="E6" s="61">
        <v>20100.117813163284</v>
      </c>
      <c r="F6" s="61">
        <v>19867.275362184639</v>
      </c>
      <c r="G6" s="61">
        <v>20741.592766156467</v>
      </c>
      <c r="H6" s="61">
        <v>21486.978469192745</v>
      </c>
      <c r="I6" s="61">
        <v>22457.550453894146</v>
      </c>
      <c r="J6" s="61">
        <v>22908.962888594706</v>
      </c>
      <c r="K6" s="61">
        <v>22580.39486049024</v>
      </c>
      <c r="L6" s="61">
        <v>22924.785224861742</v>
      </c>
      <c r="M6" s="61">
        <v>22256.965437649105</v>
      </c>
      <c r="N6" s="61">
        <v>23052.028523511413</v>
      </c>
      <c r="O6" s="61">
        <v>24495.240995964363</v>
      </c>
      <c r="P6" s="61">
        <v>25276.550694741432</v>
      </c>
      <c r="Q6" s="61">
        <v>25906.740401274707</v>
      </c>
      <c r="R6" s="61">
        <v>26489.167898601154</v>
      </c>
      <c r="S6" s="61">
        <v>27325.829079290463</v>
      </c>
      <c r="T6" s="61">
        <v>28033.793206595336</v>
      </c>
      <c r="U6" s="61">
        <v>28235.505494022327</v>
      </c>
      <c r="V6" s="61">
        <v>27789.460813315978</v>
      </c>
      <c r="W6" s="61">
        <v>28356.481733755769</v>
      </c>
      <c r="X6" s="61">
        <v>28794.453707901434</v>
      </c>
      <c r="Y6" s="61">
        <v>29618.147311685108</v>
      </c>
      <c r="Z6" s="61">
        <v>30016.174771557606</v>
      </c>
      <c r="AA6" s="61">
        <v>30791.234418680524</v>
      </c>
      <c r="AB6" s="61">
        <v>31796.305658746031</v>
      </c>
      <c r="AC6" s="61">
        <v>32811.387848808998</v>
      </c>
      <c r="AD6" s="61">
        <v>34018.197244816132</v>
      </c>
      <c r="AE6" s="61">
        <v>35050.79440394033</v>
      </c>
      <c r="AF6" s="61">
        <v>35076.191577810961</v>
      </c>
      <c r="AG6" s="61">
        <v>35374.793008279667</v>
      </c>
      <c r="AH6" s="61">
        <v>35926.574232360719</v>
      </c>
      <c r="AI6" s="61">
        <v>36882.14339283036</v>
      </c>
      <c r="AJ6" s="61">
        <v>37665.571079193069</v>
      </c>
      <c r="AK6" s="61">
        <v>38312.505856368385</v>
      </c>
      <c r="AL6" s="61">
        <v>38752.89739077408</v>
      </c>
      <c r="AM6" s="61">
        <v>38558.849896069012</v>
      </c>
    </row>
    <row r="7" spans="1:39" s="30" customFormat="1">
      <c r="A7" s="29" t="s">
        <v>4</v>
      </c>
      <c r="B7" s="61">
        <v>2553.574661576291</v>
      </c>
      <c r="C7" s="61">
        <v>2642.118916844131</v>
      </c>
      <c r="D7" s="61">
        <v>2769.7710780536408</v>
      </c>
      <c r="E7" s="61">
        <v>2785.7548920625768</v>
      </c>
      <c r="F7" s="61">
        <v>2778.3805676009611</v>
      </c>
      <c r="G7" s="61">
        <v>2859.1688523135208</v>
      </c>
      <c r="H7" s="61">
        <v>2917.8418503149433</v>
      </c>
      <c r="I7" s="61">
        <v>2980.3809827520354</v>
      </c>
      <c r="J7" s="61">
        <v>3065.0556776184912</v>
      </c>
      <c r="K7" s="61">
        <v>3086.3410857499766</v>
      </c>
      <c r="L7" s="61">
        <v>3070.8062387917353</v>
      </c>
      <c r="M7" s="61">
        <v>3051.375037637159</v>
      </c>
      <c r="N7" s="61">
        <v>3060.1889681681973</v>
      </c>
      <c r="O7" s="61">
        <v>3109.911406300439</v>
      </c>
      <c r="P7" s="61">
        <v>3157.4825045792072</v>
      </c>
      <c r="Q7" s="61">
        <v>3201.4974618692536</v>
      </c>
      <c r="R7" s="61">
        <v>3257.2036580381964</v>
      </c>
      <c r="S7" s="61">
        <v>3346.0995579827113</v>
      </c>
      <c r="T7" s="61">
        <v>3413.3441365505014</v>
      </c>
      <c r="U7" s="61">
        <v>3422.648927839989</v>
      </c>
      <c r="V7" s="61">
        <v>3440.9530760718571</v>
      </c>
      <c r="W7" s="61">
        <v>3448.0269913791717</v>
      </c>
      <c r="X7" s="61">
        <v>3440.3242269725765</v>
      </c>
      <c r="Y7" s="61">
        <v>3491.4648698379297</v>
      </c>
      <c r="Z7" s="61">
        <v>3544.4300039122427</v>
      </c>
      <c r="AA7" s="61">
        <v>3607.8097380508971</v>
      </c>
      <c r="AB7" s="61">
        <v>3678.9856425987718</v>
      </c>
      <c r="AC7" s="61">
        <v>3684.571081093437</v>
      </c>
      <c r="AD7" s="61">
        <v>3729.5954169514762</v>
      </c>
      <c r="AE7" s="61">
        <v>3841.9982115474504</v>
      </c>
      <c r="AF7" s="61">
        <v>3864.3027585387417</v>
      </c>
      <c r="AG7" s="61">
        <v>3892.6770773762946</v>
      </c>
      <c r="AH7" s="61">
        <v>3950.5111827778937</v>
      </c>
      <c r="AI7" s="61">
        <v>4069.2068236405066</v>
      </c>
      <c r="AJ7" s="61">
        <v>4170.1560889218918</v>
      </c>
      <c r="AK7" s="61">
        <v>4306.1758706292139</v>
      </c>
      <c r="AL7" s="61">
        <v>4452.61973241947</v>
      </c>
      <c r="AM7" s="61">
        <v>4502.2051841919792</v>
      </c>
    </row>
    <row r="8" spans="1:39">
      <c r="A8" s="7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</row>
    <row r="9" spans="1:39">
      <c r="A9" s="10" t="s">
        <v>5</v>
      </c>
      <c r="B9" s="11" t="s">
        <v>6</v>
      </c>
      <c r="C9" s="11" t="s">
        <v>6</v>
      </c>
      <c r="D9" s="11" t="s">
        <v>6</v>
      </c>
      <c r="E9" s="11" t="s">
        <v>6</v>
      </c>
      <c r="F9" s="11" t="s">
        <v>6</v>
      </c>
      <c r="G9" s="11" t="s">
        <v>6</v>
      </c>
      <c r="H9" s="11" t="s">
        <v>6</v>
      </c>
      <c r="I9" s="11" t="s">
        <v>6</v>
      </c>
      <c r="J9" s="11" t="s">
        <v>6</v>
      </c>
      <c r="K9" s="11" t="s">
        <v>6</v>
      </c>
      <c r="L9" s="11" t="s">
        <v>6</v>
      </c>
      <c r="M9" s="11" t="s">
        <v>6</v>
      </c>
      <c r="N9" s="11" t="s">
        <v>6</v>
      </c>
      <c r="O9" s="11" t="s">
        <v>6</v>
      </c>
      <c r="P9" s="11" t="s">
        <v>6</v>
      </c>
      <c r="Q9" s="11" t="s">
        <v>6</v>
      </c>
      <c r="R9" s="11" t="s">
        <v>6</v>
      </c>
      <c r="S9" s="11" t="s">
        <v>6</v>
      </c>
      <c r="T9" s="11" t="s">
        <v>6</v>
      </c>
      <c r="U9" s="8">
        <v>16914.426004107812</v>
      </c>
      <c r="V9" s="8">
        <v>16948.365378598646</v>
      </c>
      <c r="W9" s="8">
        <v>17113.370807487881</v>
      </c>
      <c r="X9" s="8">
        <v>17197.262390346386</v>
      </c>
      <c r="Y9" s="8">
        <v>17573.719380839579</v>
      </c>
      <c r="Z9" s="8">
        <v>17922.587645731088</v>
      </c>
      <c r="AA9" s="8">
        <v>18348.444723841956</v>
      </c>
      <c r="AB9" s="8">
        <v>18871.344092381907</v>
      </c>
      <c r="AC9" s="8">
        <v>19263.244126656511</v>
      </c>
      <c r="AD9" s="8">
        <v>19793.935619350716</v>
      </c>
      <c r="AE9" s="8">
        <v>20486.856102500638</v>
      </c>
      <c r="AF9" s="8">
        <v>20667.178665890176</v>
      </c>
      <c r="AG9" s="8">
        <v>20889.206326186966</v>
      </c>
      <c r="AH9" s="8">
        <v>21212.520548143028</v>
      </c>
      <c r="AI9" s="8">
        <v>21790.647159012835</v>
      </c>
      <c r="AJ9" s="8">
        <v>22258.818897011446</v>
      </c>
      <c r="AK9" s="8">
        <v>22799.612839656369</v>
      </c>
      <c r="AL9" s="8">
        <v>23278.833997017366</v>
      </c>
      <c r="AM9" s="8">
        <v>23274.032020732218</v>
      </c>
    </row>
    <row r="10" spans="1:39">
      <c r="A10" s="10" t="s">
        <v>7</v>
      </c>
      <c r="B10" s="8">
        <v>14654.631581783045</v>
      </c>
      <c r="C10" s="8">
        <v>15335.769675063872</v>
      </c>
      <c r="D10" s="8">
        <v>16156.89464645087</v>
      </c>
      <c r="E10" s="8">
        <v>16126.396844774159</v>
      </c>
      <c r="F10" s="8">
        <v>16055.579700706759</v>
      </c>
      <c r="G10" s="8">
        <v>16687.99722195743</v>
      </c>
      <c r="H10" s="8">
        <v>17197.267096540316</v>
      </c>
      <c r="I10" s="8">
        <v>17842.905993241562</v>
      </c>
      <c r="J10" s="8">
        <v>18393.930133684917</v>
      </c>
      <c r="K10" s="8">
        <v>18469.354426406251</v>
      </c>
      <c r="L10" s="8">
        <v>18675.339168518949</v>
      </c>
      <c r="M10" s="8">
        <v>18580.534440546398</v>
      </c>
      <c r="N10" s="8">
        <v>19006.018371459668</v>
      </c>
      <c r="O10" s="8">
        <v>19772.426434868223</v>
      </c>
      <c r="P10" s="8">
        <v>20416.251767322989</v>
      </c>
      <c r="Q10" s="8">
        <v>20930.99579997846</v>
      </c>
      <c r="R10" s="8">
        <v>21486.735673724226</v>
      </c>
      <c r="S10" s="8">
        <v>22359.456516089114</v>
      </c>
      <c r="T10" s="8">
        <v>23085.86156983929</v>
      </c>
      <c r="U10" s="8">
        <v>23581.464932777606</v>
      </c>
      <c r="V10" s="8">
        <v>23680.963067596451</v>
      </c>
      <c r="W10" s="8">
        <v>23966.508243897151</v>
      </c>
      <c r="X10" s="8">
        <v>24082.702711297625</v>
      </c>
      <c r="Y10" s="8">
        <v>24659.457061422432</v>
      </c>
      <c r="Z10" s="8">
        <v>25113.435064338901</v>
      </c>
      <c r="AA10" s="8">
        <v>25664.334858254384</v>
      </c>
      <c r="AB10" s="8">
        <v>26340.58502899604</v>
      </c>
      <c r="AC10" s="8">
        <v>26854.490438868685</v>
      </c>
      <c r="AD10" s="8">
        <v>27554.098720344264</v>
      </c>
      <c r="AE10" s="8">
        <v>28421.638108277282</v>
      </c>
      <c r="AF10" s="8">
        <v>28592.274463229471</v>
      </c>
      <c r="AG10" s="8">
        <v>28789.00983227299</v>
      </c>
      <c r="AH10" s="8">
        <v>29119.835228284664</v>
      </c>
      <c r="AI10" s="8">
        <v>29791.663384849304</v>
      </c>
      <c r="AJ10" s="8">
        <v>30315.422701643449</v>
      </c>
      <c r="AK10" s="8">
        <v>30927.651965015313</v>
      </c>
      <c r="AL10" s="8">
        <v>31457.63417467384</v>
      </c>
      <c r="AM10" s="8">
        <v>31344.375609316867</v>
      </c>
    </row>
    <row r="11" spans="1:39">
      <c r="A11" s="10" t="s">
        <v>8</v>
      </c>
      <c r="B11" s="8">
        <v>18094.220000522524</v>
      </c>
      <c r="C11" s="8">
        <v>18887.745431675441</v>
      </c>
      <c r="D11" s="8">
        <v>19822.822067047447</v>
      </c>
      <c r="E11" s="8">
        <v>19587.898067645096</v>
      </c>
      <c r="F11" s="8">
        <v>19380.31732490256</v>
      </c>
      <c r="G11" s="8">
        <v>20223.271065182831</v>
      </c>
      <c r="H11" s="8">
        <v>20929.17648505215</v>
      </c>
      <c r="I11" s="8">
        <v>21850.52232026992</v>
      </c>
      <c r="J11" s="8">
        <v>22302.481268150241</v>
      </c>
      <c r="K11" s="8">
        <v>22018.957984792381</v>
      </c>
      <c r="L11" s="8">
        <v>22365.195347450044</v>
      </c>
      <c r="M11" s="8">
        <v>21694.180737171395</v>
      </c>
      <c r="N11" s="8">
        <v>22438.715589971467</v>
      </c>
      <c r="O11" s="8">
        <v>23819.47778825272</v>
      </c>
      <c r="P11" s="8">
        <v>24590.040401289207</v>
      </c>
      <c r="Q11" s="8">
        <v>25183.205076785252</v>
      </c>
      <c r="R11" s="8">
        <v>25758.0897916744</v>
      </c>
      <c r="S11" s="8">
        <v>26577.738704373318</v>
      </c>
      <c r="T11" s="8">
        <v>27225.224274022079</v>
      </c>
      <c r="U11" s="8">
        <v>27378.174123337361</v>
      </c>
      <c r="V11" s="8">
        <v>26912.70283804565</v>
      </c>
      <c r="W11" s="8">
        <v>27418.580196499737</v>
      </c>
      <c r="X11" s="8">
        <v>27837.638899943595</v>
      </c>
      <c r="Y11" s="8">
        <v>28650.217468610663</v>
      </c>
      <c r="Z11" s="8">
        <v>29044.594274899457</v>
      </c>
      <c r="AA11" s="8">
        <v>29755.261856717134</v>
      </c>
      <c r="AB11" s="8">
        <v>30727.04910454858</v>
      </c>
      <c r="AC11" s="8">
        <v>31712.261148056372</v>
      </c>
      <c r="AD11" s="8">
        <v>32903.276735468753</v>
      </c>
      <c r="AE11" s="8">
        <v>33930.846154091836</v>
      </c>
      <c r="AF11" s="8">
        <v>33969.112872376412</v>
      </c>
      <c r="AG11" s="8">
        <v>34279.904448528374</v>
      </c>
      <c r="AH11" s="8">
        <v>34800.511215408427</v>
      </c>
      <c r="AI11" s="8">
        <v>35713.322614659584</v>
      </c>
      <c r="AJ11" s="8">
        <v>36469.673846491271</v>
      </c>
      <c r="AK11" s="8">
        <v>37097.421212084635</v>
      </c>
      <c r="AL11" s="8">
        <v>37529.550092778241</v>
      </c>
      <c r="AM11" s="8">
        <v>37331.508098124643</v>
      </c>
    </row>
    <row r="12" spans="1:39">
      <c r="A12" s="10" t="s">
        <v>9</v>
      </c>
      <c r="B12" s="8">
        <v>11543.902989283699</v>
      </c>
      <c r="C12" s="8">
        <v>11986.930413281525</v>
      </c>
      <c r="D12" s="8">
        <v>12647.818157480842</v>
      </c>
      <c r="E12" s="8">
        <v>12877.184116926785</v>
      </c>
      <c r="F12" s="8">
        <v>12730.257278585203</v>
      </c>
      <c r="G12" s="8">
        <v>13234.722670439969</v>
      </c>
      <c r="H12" s="8">
        <v>13558.326551708969</v>
      </c>
      <c r="I12" s="8">
        <v>13918.720730447458</v>
      </c>
      <c r="J12" s="8">
        <v>14374.526199657008</v>
      </c>
      <c r="K12" s="8">
        <v>14538.180829367777</v>
      </c>
      <c r="L12" s="8">
        <v>14522.510923422202</v>
      </c>
      <c r="M12" s="8">
        <v>14626.14630504293</v>
      </c>
      <c r="N12" s="8">
        <v>14866.64379639334</v>
      </c>
      <c r="O12" s="8">
        <v>15231.905560920866</v>
      </c>
      <c r="P12" s="8">
        <v>15609.373022263755</v>
      </c>
      <c r="Q12" s="8">
        <v>16017.395908078226</v>
      </c>
      <c r="R12" s="8">
        <v>16424.439808210067</v>
      </c>
      <c r="S12" s="8">
        <v>17046.259197981457</v>
      </c>
      <c r="T12" s="8">
        <v>17587.891550548156</v>
      </c>
      <c r="U12" s="8">
        <v>18025.261400230589</v>
      </c>
      <c r="V12" s="8">
        <v>18254.273819950824</v>
      </c>
      <c r="W12" s="8">
        <v>18382.60577233701</v>
      </c>
      <c r="X12" s="8">
        <v>18275.331802273573</v>
      </c>
      <c r="Y12" s="8">
        <v>18747.88412434698</v>
      </c>
      <c r="Z12" s="8">
        <v>19179.947870602558</v>
      </c>
      <c r="AA12" s="8">
        <v>19481.711224397142</v>
      </c>
      <c r="AB12" s="8">
        <v>19971.576073595817</v>
      </c>
      <c r="AC12" s="8">
        <v>20519.582555530596</v>
      </c>
      <c r="AD12" s="8">
        <v>21074.019153537225</v>
      </c>
      <c r="AE12" s="8">
        <v>21806.810896202947</v>
      </c>
      <c r="AF12" s="8">
        <v>22121.062519783125</v>
      </c>
      <c r="AG12" s="8">
        <v>22255.580946577291</v>
      </c>
      <c r="AH12" s="8">
        <v>22376.252943834294</v>
      </c>
      <c r="AI12" s="8">
        <v>22771.142219211761</v>
      </c>
      <c r="AJ12" s="8">
        <v>23051.8798885955</v>
      </c>
      <c r="AK12" s="8">
        <v>23608.704493097557</v>
      </c>
      <c r="AL12" s="8">
        <v>24093.626838411998</v>
      </c>
      <c r="AM12" s="8">
        <v>24093.124549859629</v>
      </c>
    </row>
    <row r="13" spans="1:39">
      <c r="A13" s="10" t="s">
        <v>10</v>
      </c>
      <c r="B13" s="8">
        <v>17241.678714527654</v>
      </c>
      <c r="C13" s="8">
        <v>18350.225683977253</v>
      </c>
      <c r="D13" s="8">
        <v>19335.979025715813</v>
      </c>
      <c r="E13" s="8">
        <v>18883.302296710117</v>
      </c>
      <c r="F13" s="8">
        <v>19213.919766503135</v>
      </c>
      <c r="G13" s="8">
        <v>19744.331923192087</v>
      </c>
      <c r="H13" s="8">
        <v>20336.465365200995</v>
      </c>
      <c r="I13" s="8">
        <v>21186.347336065577</v>
      </c>
      <c r="J13" s="8">
        <v>22109.435456161584</v>
      </c>
      <c r="K13" s="8">
        <v>22545.540733717993</v>
      </c>
      <c r="L13" s="8">
        <v>23023.436409453909</v>
      </c>
      <c r="M13" s="8">
        <v>23395.058309037904</v>
      </c>
      <c r="N13" s="8">
        <v>23642.31617780028</v>
      </c>
      <c r="O13" s="8">
        <v>24245.367710428036</v>
      </c>
      <c r="P13" s="8">
        <v>25276.846714495583</v>
      </c>
      <c r="Q13" s="8">
        <v>25848.498377198575</v>
      </c>
      <c r="R13" s="8">
        <v>26681.650736407624</v>
      </c>
      <c r="S13" s="8">
        <v>28250.232877383929</v>
      </c>
      <c r="T13" s="8">
        <v>29553.649444308961</v>
      </c>
      <c r="U13" s="8">
        <v>30799.430231026763</v>
      </c>
      <c r="V13" s="8">
        <v>31590.807847464057</v>
      </c>
      <c r="W13" s="8">
        <v>31798.410563302958</v>
      </c>
      <c r="X13" s="8">
        <v>31841.373559525924</v>
      </c>
      <c r="Y13" s="8">
        <v>32144.854913601768</v>
      </c>
      <c r="Z13" s="8">
        <v>32692.513187692395</v>
      </c>
      <c r="AA13" s="8">
        <v>33490.087875124118</v>
      </c>
      <c r="AB13" s="8">
        <v>33964.435230928691</v>
      </c>
      <c r="AC13" s="8">
        <v>33329.861786382506</v>
      </c>
      <c r="AD13" s="8">
        <v>33306.521172246408</v>
      </c>
      <c r="AE13" s="8">
        <v>34114.9907045238</v>
      </c>
      <c r="AF13" s="8">
        <v>34125.673999694918</v>
      </c>
      <c r="AG13" s="8">
        <v>34205.730871200853</v>
      </c>
      <c r="AH13" s="8">
        <v>34656.97586304602</v>
      </c>
      <c r="AI13" s="8">
        <v>35524.53661101617</v>
      </c>
      <c r="AJ13" s="8">
        <v>36171.308260418991</v>
      </c>
      <c r="AK13" s="8">
        <v>36861.780584366716</v>
      </c>
      <c r="AL13" s="8">
        <v>37695.8573778625</v>
      </c>
      <c r="AM13" s="8">
        <v>37449.576903283807</v>
      </c>
    </row>
    <row r="14" spans="1:39">
      <c r="A14" s="10" t="s">
        <v>11</v>
      </c>
      <c r="B14" s="11" t="s">
        <v>6</v>
      </c>
      <c r="C14" s="11" t="s">
        <v>6</v>
      </c>
      <c r="D14" s="11" t="s">
        <v>6</v>
      </c>
      <c r="E14" s="11" t="s">
        <v>6</v>
      </c>
      <c r="F14" s="11" t="s">
        <v>6</v>
      </c>
      <c r="G14" s="11" t="s">
        <v>6</v>
      </c>
      <c r="H14" s="11" t="s">
        <v>6</v>
      </c>
      <c r="I14" s="11" t="s">
        <v>6</v>
      </c>
      <c r="J14" s="11" t="s">
        <v>6</v>
      </c>
      <c r="K14" s="11" t="s">
        <v>6</v>
      </c>
      <c r="L14" s="11" t="s">
        <v>6</v>
      </c>
      <c r="M14" s="11" t="s">
        <v>6</v>
      </c>
      <c r="N14" s="11" t="s">
        <v>6</v>
      </c>
      <c r="O14" s="11" t="s">
        <v>6</v>
      </c>
      <c r="P14" s="11" t="s">
        <v>6</v>
      </c>
      <c r="Q14" s="11" t="s">
        <v>6</v>
      </c>
      <c r="R14" s="11" t="s">
        <v>6</v>
      </c>
      <c r="S14" s="11" t="s">
        <v>6</v>
      </c>
      <c r="T14" s="11" t="s">
        <v>6</v>
      </c>
      <c r="U14" s="8">
        <v>2625.1878316280404</v>
      </c>
      <c r="V14" s="8">
        <v>2421.9856719506151</v>
      </c>
      <c r="W14" s="8">
        <v>2187.6652614248651</v>
      </c>
      <c r="X14" s="8">
        <v>2077.3994966647019</v>
      </c>
      <c r="Y14" s="8">
        <v>1963.6583926379985</v>
      </c>
      <c r="Z14" s="8">
        <v>1972.6913031919055</v>
      </c>
      <c r="AA14" s="8">
        <v>1988.698525881035</v>
      </c>
      <c r="AB14" s="8">
        <v>2044.644739782158</v>
      </c>
      <c r="AC14" s="8">
        <v>2047.7488002020712</v>
      </c>
      <c r="AD14" s="8">
        <v>2133.2372231551599</v>
      </c>
      <c r="AE14" s="8">
        <v>2277.2055616226385</v>
      </c>
      <c r="AF14" s="8">
        <v>2381.5562420963324</v>
      </c>
      <c r="AG14" s="8">
        <v>2486.4990134575337</v>
      </c>
      <c r="AH14" s="8">
        <v>2641.0287912834024</v>
      </c>
      <c r="AI14" s="8">
        <v>2826.5930676191247</v>
      </c>
      <c r="AJ14" s="8">
        <v>2989.2581435985703</v>
      </c>
      <c r="AK14" s="8">
        <v>3211.807702752666</v>
      </c>
      <c r="AL14" s="8">
        <v>3447.5276041017432</v>
      </c>
      <c r="AM14" s="8">
        <v>3615.5577903980652</v>
      </c>
    </row>
    <row r="15" spans="1:39">
      <c r="A15" s="10" t="s">
        <v>12</v>
      </c>
      <c r="B15" s="11" t="s">
        <v>6</v>
      </c>
      <c r="C15" s="11" t="s">
        <v>6</v>
      </c>
      <c r="D15" s="11" t="s">
        <v>6</v>
      </c>
      <c r="E15" s="11" t="s">
        <v>6</v>
      </c>
      <c r="F15" s="11" t="s">
        <v>6</v>
      </c>
      <c r="G15" s="11" t="s">
        <v>6</v>
      </c>
      <c r="H15" s="11" t="s">
        <v>6</v>
      </c>
      <c r="I15" s="11" t="s">
        <v>6</v>
      </c>
      <c r="J15" s="11" t="s">
        <v>6</v>
      </c>
      <c r="K15" s="11" t="s">
        <v>6</v>
      </c>
      <c r="L15" s="11" t="s">
        <v>6</v>
      </c>
      <c r="M15" s="11" t="s">
        <v>6</v>
      </c>
      <c r="N15" s="11" t="s">
        <v>6</v>
      </c>
      <c r="O15" s="11" t="s">
        <v>6</v>
      </c>
      <c r="P15" s="11" t="s">
        <v>6</v>
      </c>
      <c r="Q15" s="11" t="s">
        <v>6</v>
      </c>
      <c r="R15" s="11" t="s">
        <v>6</v>
      </c>
      <c r="S15" s="11" t="s">
        <v>6</v>
      </c>
      <c r="T15" s="11" t="s">
        <v>6</v>
      </c>
      <c r="U15" s="8">
        <v>1063.3185669555555</v>
      </c>
      <c r="V15" s="8">
        <v>1089.3489730047229</v>
      </c>
      <c r="W15" s="8">
        <v>1126.1520308445981</v>
      </c>
      <c r="X15" s="8">
        <v>1159.427953476672</v>
      </c>
      <c r="Y15" s="8">
        <v>1208.0399690271877</v>
      </c>
      <c r="Z15" s="8">
        <v>1241.4699289327482</v>
      </c>
      <c r="AA15" s="8">
        <v>1291.473709111759</v>
      </c>
      <c r="AB15" s="8">
        <v>1339.3824306115785</v>
      </c>
      <c r="AC15" s="8">
        <v>1344.853282204195</v>
      </c>
      <c r="AD15" s="8">
        <v>1373.3986977129312</v>
      </c>
      <c r="AE15" s="8">
        <v>1429.3364303140113</v>
      </c>
      <c r="AF15" s="8">
        <v>1449.2774559711336</v>
      </c>
      <c r="AG15" s="8">
        <v>1480.9218671232168</v>
      </c>
      <c r="AH15" s="8">
        <v>1535.0636669473467</v>
      </c>
      <c r="AI15" s="8">
        <v>1621.7616418732243</v>
      </c>
      <c r="AJ15" s="8">
        <v>1704.7145977406828</v>
      </c>
      <c r="AK15" s="8">
        <v>1804.9166789010803</v>
      </c>
      <c r="AL15" s="8">
        <v>1918.8927510794083</v>
      </c>
      <c r="AM15" s="8">
        <v>1996.8501592101345</v>
      </c>
    </row>
    <row r="16" spans="1:39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spans="1:48">
      <c r="A17" s="10" t="s">
        <v>13</v>
      </c>
      <c r="B17" s="11" t="s">
        <v>6</v>
      </c>
      <c r="C17" s="11" t="s">
        <v>6</v>
      </c>
      <c r="D17" s="11" t="s">
        <v>6</v>
      </c>
      <c r="E17" s="11" t="s">
        <v>6</v>
      </c>
      <c r="F17" s="11" t="s">
        <v>6</v>
      </c>
      <c r="G17" s="11" t="s">
        <v>6</v>
      </c>
      <c r="H17" s="11" t="s">
        <v>6</v>
      </c>
      <c r="I17" s="11" t="s">
        <v>6</v>
      </c>
      <c r="J17" s="11" t="s">
        <v>6</v>
      </c>
      <c r="K17" s="11" t="s">
        <v>6</v>
      </c>
      <c r="L17" s="11" t="s">
        <v>6</v>
      </c>
      <c r="M17" s="11" t="s">
        <v>6</v>
      </c>
      <c r="N17" s="11" t="s">
        <v>6</v>
      </c>
      <c r="O17" s="11" t="s">
        <v>6</v>
      </c>
      <c r="P17" s="11" t="s">
        <v>6</v>
      </c>
      <c r="Q17" s="11" t="s">
        <v>6</v>
      </c>
      <c r="R17" s="11" t="s">
        <v>6</v>
      </c>
      <c r="S17" s="11" t="s">
        <v>6</v>
      </c>
      <c r="T17" s="11" t="s">
        <v>6</v>
      </c>
      <c r="U17" s="8">
        <v>14672.159212497325</v>
      </c>
      <c r="V17" s="8">
        <v>14830.192659178809</v>
      </c>
      <c r="W17" s="8">
        <v>14859.532564906774</v>
      </c>
      <c r="X17" s="8">
        <v>14807.928603614764</v>
      </c>
      <c r="Y17" s="8">
        <v>15073.897218688096</v>
      </c>
      <c r="Z17" s="8">
        <v>15398.874746335576</v>
      </c>
      <c r="AA17" s="8">
        <v>15710.676042666997</v>
      </c>
      <c r="AB17" s="8">
        <v>16079.243505537212</v>
      </c>
      <c r="AC17" s="8">
        <v>16269.608763764956</v>
      </c>
      <c r="AD17" s="8">
        <v>16610.747447009355</v>
      </c>
      <c r="AE17" s="8">
        <v>17204.953536305013</v>
      </c>
      <c r="AF17" s="8">
        <v>17443.969901738834</v>
      </c>
      <c r="AG17" s="8">
        <v>17620.487208746912</v>
      </c>
      <c r="AH17" s="8">
        <v>17861.251645359942</v>
      </c>
      <c r="AI17" s="8">
        <v>18315.611653395274</v>
      </c>
      <c r="AJ17" s="8">
        <v>18669.839000561889</v>
      </c>
      <c r="AK17" s="8">
        <v>19174.055341008781</v>
      </c>
      <c r="AL17" s="8">
        <v>19668.574636886246</v>
      </c>
      <c r="AM17" s="8">
        <v>19705.092537950957</v>
      </c>
    </row>
    <row r="18" spans="1:48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2"/>
      <c r="AO18" s="2"/>
      <c r="AP18" s="2"/>
      <c r="AQ18" s="2"/>
      <c r="AR18" s="2"/>
      <c r="AS18" s="2"/>
      <c r="AT18" s="2"/>
      <c r="AU18" s="2"/>
      <c r="AV18" s="2"/>
    </row>
    <row r="19" spans="1:48">
      <c r="A19" s="7" t="s">
        <v>14</v>
      </c>
      <c r="B19" s="8">
        <v>12313.236111268612</v>
      </c>
      <c r="C19" s="9">
        <v>11472.611000000001</v>
      </c>
      <c r="D19" s="9">
        <v>12210.47</v>
      </c>
      <c r="E19" s="9">
        <v>12314.142</v>
      </c>
      <c r="F19" s="9">
        <v>12381.402</v>
      </c>
      <c r="G19" s="9">
        <v>12962.266</v>
      </c>
      <c r="H19" s="9">
        <v>13452.277</v>
      </c>
      <c r="I19" s="9">
        <v>14059.918</v>
      </c>
      <c r="J19" s="9">
        <v>14599.228999999999</v>
      </c>
      <c r="K19" s="9">
        <v>14785.981</v>
      </c>
      <c r="L19" s="9">
        <v>15067.913</v>
      </c>
      <c r="M19" s="9">
        <v>15084.638999999999</v>
      </c>
      <c r="N19" s="9">
        <v>15495.76</v>
      </c>
      <c r="O19" s="9">
        <v>16203.673000000001</v>
      </c>
      <c r="P19" s="9">
        <v>16817.373</v>
      </c>
      <c r="Q19" s="9">
        <v>17324.392</v>
      </c>
      <c r="R19" s="9">
        <v>17896.811000000002</v>
      </c>
      <c r="S19" s="9">
        <v>18723.311000000002</v>
      </c>
      <c r="T19" s="9">
        <v>19450.84</v>
      </c>
      <c r="U19" s="9">
        <v>20022.350999999999</v>
      </c>
      <c r="V19" s="9">
        <v>20274.564999999999</v>
      </c>
      <c r="W19" s="9">
        <v>20698.825000000001</v>
      </c>
      <c r="X19" s="9">
        <v>20984.317999999999</v>
      </c>
      <c r="Y19" s="9">
        <v>21633.866000000002</v>
      </c>
      <c r="Z19" s="9">
        <v>22166.14</v>
      </c>
      <c r="AA19" s="9">
        <v>22833.644</v>
      </c>
      <c r="AB19" s="9">
        <v>23615.433000000001</v>
      </c>
      <c r="AC19" s="9">
        <v>24188.871999999999</v>
      </c>
      <c r="AD19" s="9">
        <v>24981.239000000001</v>
      </c>
      <c r="AE19" s="9">
        <v>25979.018</v>
      </c>
      <c r="AF19" s="9">
        <v>26300.457999999999</v>
      </c>
      <c r="AG19" s="9">
        <v>26699.171999999999</v>
      </c>
      <c r="AH19" s="9">
        <v>27205.723999999998</v>
      </c>
      <c r="AI19" s="9">
        <v>28058.429</v>
      </c>
      <c r="AJ19" s="9">
        <v>28779.949000000001</v>
      </c>
      <c r="AK19" s="9">
        <v>29609.288</v>
      </c>
      <c r="AL19" s="9">
        <v>30371.409</v>
      </c>
      <c r="AM19" s="9">
        <v>30503.68</v>
      </c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>
      <c r="A20" s="7" t="s">
        <v>15</v>
      </c>
      <c r="B20" s="8">
        <v>722.18922562409614</v>
      </c>
      <c r="C20" s="9">
        <v>2189.7849999999999</v>
      </c>
      <c r="D20" s="9">
        <v>2366.3330000000001</v>
      </c>
      <c r="E20" s="9">
        <v>2506.1350000000002</v>
      </c>
      <c r="F20" s="9">
        <v>2604.4389999999999</v>
      </c>
      <c r="G20" s="9">
        <v>2772.0889999999999</v>
      </c>
      <c r="H20" s="9">
        <v>2929.5070000000001</v>
      </c>
      <c r="I20" s="9">
        <v>3052.1</v>
      </c>
      <c r="J20" s="9">
        <v>3238.4949999999999</v>
      </c>
      <c r="K20" s="9">
        <v>3351.9110000000001</v>
      </c>
      <c r="L20" s="9">
        <v>3361.002</v>
      </c>
      <c r="M20" s="9">
        <v>3390.0120000000002</v>
      </c>
      <c r="N20" s="9">
        <v>3489.4650000000001</v>
      </c>
      <c r="O20" s="9">
        <v>3633</v>
      </c>
      <c r="P20" s="9">
        <v>3722.3119999999999</v>
      </c>
      <c r="Q20" s="9">
        <v>3887.6819999999998</v>
      </c>
      <c r="R20" s="9">
        <v>4045.6529999999998</v>
      </c>
      <c r="S20" s="9">
        <v>4190.5339999999997</v>
      </c>
      <c r="T20" s="9">
        <v>4314.2929999999997</v>
      </c>
      <c r="U20" s="9">
        <v>4206.4359999999997</v>
      </c>
      <c r="V20" s="9">
        <v>4308.6090000000004</v>
      </c>
      <c r="W20" s="9">
        <v>4436.201</v>
      </c>
      <c r="X20" s="9">
        <v>4596.3440000000001</v>
      </c>
      <c r="Y20" s="9">
        <v>4798.84</v>
      </c>
      <c r="Z20" s="9">
        <v>5024.5550000000003</v>
      </c>
      <c r="AA20" s="9">
        <v>5281.3559999999998</v>
      </c>
      <c r="AB20" s="9">
        <v>5547.7</v>
      </c>
      <c r="AC20" s="9">
        <v>5667.6</v>
      </c>
      <c r="AD20" s="9">
        <v>5855.0649999999996</v>
      </c>
      <c r="AE20" s="9">
        <v>6171.0950000000003</v>
      </c>
      <c r="AF20" s="9">
        <v>6373.8850000000002</v>
      </c>
      <c r="AG20" s="9">
        <v>6613.6090000000004</v>
      </c>
      <c r="AH20" s="9">
        <v>7001</v>
      </c>
      <c r="AI20" s="9">
        <v>7538.7830000000004</v>
      </c>
      <c r="AJ20" s="9">
        <v>8069.3239999999996</v>
      </c>
      <c r="AK20" s="9">
        <v>8691.3619999999992</v>
      </c>
      <c r="AL20" s="9">
        <v>9412.2610000000004</v>
      </c>
      <c r="AM20" s="9">
        <v>9977.8359999999993</v>
      </c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5"/>
      <c r="AO21" s="15"/>
      <c r="AP21" s="15"/>
      <c r="AQ21" s="15"/>
      <c r="AR21" s="15"/>
      <c r="AS21" s="15"/>
      <c r="AT21" s="15"/>
      <c r="AU21" s="15"/>
      <c r="AV21" s="15"/>
    </row>
    <row r="22" spans="1:48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2"/>
      <c r="AO22" s="2"/>
      <c r="AP22" s="2"/>
      <c r="AQ22" s="2"/>
      <c r="AR22" s="2"/>
      <c r="AS22" s="2"/>
      <c r="AT22" s="2"/>
      <c r="AU22" s="2"/>
      <c r="AV22" s="2"/>
    </row>
    <row r="23" spans="1:48">
      <c r="A23" s="18" t="s">
        <v>16</v>
      </c>
      <c r="B23" s="4">
        <v>1971</v>
      </c>
      <c r="C23" s="4">
        <v>1972</v>
      </c>
      <c r="D23" s="4">
        <v>1973</v>
      </c>
      <c r="E23" s="4">
        <v>1974</v>
      </c>
      <c r="F23" s="4">
        <v>1975</v>
      </c>
      <c r="G23" s="4">
        <v>1976</v>
      </c>
      <c r="H23" s="4">
        <v>1977</v>
      </c>
      <c r="I23" s="4">
        <v>1978</v>
      </c>
      <c r="J23" s="4">
        <v>1979</v>
      </c>
      <c r="K23" s="4">
        <v>1980</v>
      </c>
      <c r="L23" s="4">
        <v>1981</v>
      </c>
      <c r="M23" s="4">
        <v>1982</v>
      </c>
      <c r="N23" s="4">
        <v>1983</v>
      </c>
      <c r="O23" s="4">
        <v>1984</v>
      </c>
      <c r="P23" s="4">
        <v>1985</v>
      </c>
      <c r="Q23" s="4">
        <v>1986</v>
      </c>
      <c r="R23" s="4">
        <v>1987</v>
      </c>
      <c r="S23" s="4">
        <v>1988</v>
      </c>
      <c r="T23" s="4">
        <v>1989</v>
      </c>
      <c r="U23" s="4">
        <v>1990</v>
      </c>
      <c r="V23" s="4">
        <v>1991</v>
      </c>
      <c r="W23" s="4">
        <v>1992</v>
      </c>
      <c r="X23" s="4">
        <v>1993</v>
      </c>
      <c r="Y23" s="4">
        <v>1994</v>
      </c>
      <c r="Z23" s="4">
        <v>1995</v>
      </c>
      <c r="AA23" s="4">
        <v>1996</v>
      </c>
      <c r="AB23" s="4">
        <v>1997</v>
      </c>
      <c r="AC23" s="4">
        <v>1998</v>
      </c>
      <c r="AD23" s="4">
        <v>1999</v>
      </c>
      <c r="AE23" s="4">
        <v>2000</v>
      </c>
      <c r="AF23" s="4">
        <v>2001</v>
      </c>
      <c r="AG23" s="4">
        <v>2002</v>
      </c>
      <c r="AH23" s="4">
        <v>2003</v>
      </c>
      <c r="AI23" s="4">
        <v>2004</v>
      </c>
      <c r="AJ23" s="4">
        <v>2005</v>
      </c>
      <c r="AK23" s="4">
        <v>2006</v>
      </c>
      <c r="AL23" s="4">
        <v>2007</v>
      </c>
      <c r="AM23" s="4">
        <v>2008</v>
      </c>
      <c r="AN23" s="2"/>
      <c r="AO23" s="2"/>
      <c r="AP23" s="2"/>
      <c r="AQ23" s="2"/>
      <c r="AR23" s="2"/>
      <c r="AS23" s="2"/>
      <c r="AT23" s="2"/>
      <c r="AU23" s="2"/>
      <c r="AV23" s="2"/>
    </row>
    <row r="24" spans="1:48">
      <c r="A24" s="19" t="s">
        <v>17</v>
      </c>
      <c r="B24" s="8">
        <v>13128.175940260449</v>
      </c>
      <c r="C24" s="8">
        <v>13683.589882077595</v>
      </c>
      <c r="D24" s="8">
        <v>14458.251822870354</v>
      </c>
      <c r="E24" s="8">
        <v>14784.19852683269</v>
      </c>
      <c r="F24" s="8">
        <v>14835.803482694551</v>
      </c>
      <c r="G24" s="8">
        <v>15402.857142857143</v>
      </c>
      <c r="H24" s="8">
        <v>15750.147517491359</v>
      </c>
      <c r="I24" s="8">
        <v>16210.908483912697</v>
      </c>
      <c r="J24" s="8">
        <v>16661.515577225022</v>
      </c>
      <c r="K24" s="8">
        <v>16803.842388644152</v>
      </c>
      <c r="L24" s="8">
        <v>17179.452054794521</v>
      </c>
      <c r="M24" s="8">
        <v>16490.982203288608</v>
      </c>
      <c r="N24" s="8">
        <v>16772.884964125205</v>
      </c>
      <c r="O24" s="8">
        <v>17581.091107900185</v>
      </c>
      <c r="P24" s="8">
        <v>18253.966411268477</v>
      </c>
      <c r="Q24" s="8">
        <v>18511.072796934866</v>
      </c>
      <c r="R24" s="8">
        <v>19045.146897568724</v>
      </c>
      <c r="S24" s="8">
        <v>19735.107494774558</v>
      </c>
      <c r="T24" s="8">
        <v>19891.960259559335</v>
      </c>
      <c r="U24" s="8">
        <v>19632.40764147196</v>
      </c>
      <c r="V24" s="8">
        <v>18984.449120804653</v>
      </c>
      <c r="W24" s="8">
        <v>18925.134820767686</v>
      </c>
      <c r="X24" s="8">
        <v>19155.691127767128</v>
      </c>
      <c r="Y24" s="8">
        <v>19857.21182028206</v>
      </c>
      <c r="Z24" s="8">
        <v>20205.207835642617</v>
      </c>
      <c r="AA24" s="8">
        <v>20318.709895305641</v>
      </c>
      <c r="AB24" s="8">
        <v>20967.732227646626</v>
      </c>
      <c r="AC24" s="8">
        <v>21646.658928867517</v>
      </c>
      <c r="AD24" s="8">
        <v>22659.254629781914</v>
      </c>
      <c r="AE24" s="8">
        <v>23623.606856546961</v>
      </c>
      <c r="AF24" s="8">
        <v>23786.872561978143</v>
      </c>
      <c r="AG24" s="8">
        <v>24220.960642980164</v>
      </c>
      <c r="AH24" s="8">
        <v>24453.50821744627</v>
      </c>
      <c r="AI24" s="8">
        <v>24978.804671112364</v>
      </c>
      <c r="AJ24" s="8">
        <v>25490.339587532952</v>
      </c>
      <c r="AK24" s="8">
        <v>25951.436640471511</v>
      </c>
      <c r="AL24" s="8">
        <v>26320.721486699866</v>
      </c>
      <c r="AM24" s="8">
        <v>26116.542143007173</v>
      </c>
      <c r="AN24" s="2"/>
      <c r="AO24" s="2"/>
      <c r="AP24" s="2"/>
      <c r="AQ24" s="2"/>
      <c r="AR24" s="2"/>
      <c r="AS24" s="2"/>
      <c r="AT24" s="2"/>
      <c r="AU24" s="2"/>
      <c r="AV24" s="2"/>
    </row>
    <row r="25" spans="1:48">
      <c r="A25" s="19" t="s">
        <v>18</v>
      </c>
      <c r="B25" s="8">
        <v>4170.2353743133244</v>
      </c>
      <c r="C25" s="8">
        <v>4377.4587778855484</v>
      </c>
      <c r="D25" s="8">
        <v>4592.1684937678328</v>
      </c>
      <c r="E25" s="8">
        <v>4719.4334854462486</v>
      </c>
      <c r="F25" s="8">
        <v>4832.0789636027148</v>
      </c>
      <c r="G25" s="8">
        <v>4888.6170795127955</v>
      </c>
      <c r="H25" s="8">
        <v>4911.3942978666846</v>
      </c>
      <c r="I25" s="8">
        <v>5167.9452187535335</v>
      </c>
      <c r="J25" s="8">
        <v>5485.0659547738696</v>
      </c>
      <c r="K25" s="8">
        <v>5759.2279708358064</v>
      </c>
      <c r="L25" s="8">
        <v>6120.9052653492136</v>
      </c>
      <c r="M25" s="8">
        <v>5939.4181585677743</v>
      </c>
      <c r="N25" s="8">
        <v>5557.1530046881662</v>
      </c>
      <c r="O25" s="8">
        <v>5632.0565917113718</v>
      </c>
      <c r="P25" s="8">
        <v>5665.8186864014806</v>
      </c>
      <c r="Q25" s="8">
        <v>5341.5908212624754</v>
      </c>
      <c r="R25" s="8">
        <v>5331.6618349917726</v>
      </c>
      <c r="S25" s="8">
        <v>5290.7003532483486</v>
      </c>
      <c r="T25" s="8">
        <v>5405.3033155133899</v>
      </c>
      <c r="U25" s="8">
        <v>5569.9446153846156</v>
      </c>
      <c r="V25" s="8">
        <v>5570.5731596414353</v>
      </c>
      <c r="W25" s="8">
        <v>5667.8146524733875</v>
      </c>
      <c r="X25" s="8">
        <v>5675.7634087725091</v>
      </c>
      <c r="Y25" s="8">
        <v>5823.2272360999195</v>
      </c>
      <c r="Z25" s="8">
        <v>5358.0882352941171</v>
      </c>
      <c r="AA25" s="8">
        <v>5547.5125345781471</v>
      </c>
      <c r="AB25" s="8">
        <v>5837.1597733952376</v>
      </c>
      <c r="AC25" s="8">
        <v>6045.4884336311989</v>
      </c>
      <c r="AD25" s="8">
        <v>6187.0429829104096</v>
      </c>
      <c r="AE25" s="8">
        <v>6480.1949968450408</v>
      </c>
      <c r="AF25" s="8">
        <v>6393.0938893575994</v>
      </c>
      <c r="AG25" s="8">
        <v>6365.8522061888407</v>
      </c>
      <c r="AH25" s="8">
        <v>6384.1464611760084</v>
      </c>
      <c r="AI25" s="8">
        <v>6575.9823459646532</v>
      </c>
      <c r="AJ25" s="8">
        <v>6728.7322668567185</v>
      </c>
      <c r="AK25" s="8">
        <v>7005.708939550158</v>
      </c>
      <c r="AL25" s="8">
        <v>7182.5184287971833</v>
      </c>
      <c r="AM25" s="8">
        <v>7218.4614518429553</v>
      </c>
      <c r="AN25" s="2"/>
      <c r="AO25" s="2"/>
      <c r="AP25" s="2"/>
      <c r="AQ25" s="2"/>
      <c r="AR25" s="2"/>
      <c r="AS25" s="2"/>
      <c r="AT25" s="2"/>
      <c r="AU25" s="2"/>
      <c r="AV25" s="2"/>
    </row>
    <row r="26" spans="1:48">
      <c r="A26" s="19" t="s">
        <v>19</v>
      </c>
      <c r="B26" s="8">
        <v>18619.344991622209</v>
      </c>
      <c r="C26" s="8">
        <v>19438.544425601645</v>
      </c>
      <c r="D26" s="8">
        <v>20392.136416610439</v>
      </c>
      <c r="E26" s="8">
        <v>20100.117813163284</v>
      </c>
      <c r="F26" s="8">
        <v>19867.275362184639</v>
      </c>
      <c r="G26" s="8">
        <v>20741.592766156467</v>
      </c>
      <c r="H26" s="8">
        <v>21486.978469192745</v>
      </c>
      <c r="I26" s="8">
        <v>22457.550453894146</v>
      </c>
      <c r="J26" s="8">
        <v>22908.962888594706</v>
      </c>
      <c r="K26" s="8">
        <v>22580.39486049024</v>
      </c>
      <c r="L26" s="8">
        <v>22924.785224861742</v>
      </c>
      <c r="M26" s="8">
        <v>22256.965437649105</v>
      </c>
      <c r="N26" s="8">
        <v>23052.028523511413</v>
      </c>
      <c r="O26" s="8">
        <v>24495.240995964363</v>
      </c>
      <c r="P26" s="8">
        <v>25276.550694741432</v>
      </c>
      <c r="Q26" s="8">
        <v>25906.740401274707</v>
      </c>
      <c r="R26" s="8">
        <v>26489.167898601154</v>
      </c>
      <c r="S26" s="8">
        <v>27325.829079290463</v>
      </c>
      <c r="T26" s="8">
        <v>28033.793206595336</v>
      </c>
      <c r="U26" s="8">
        <v>28235.505494022327</v>
      </c>
      <c r="V26" s="8">
        <v>27789.460813315978</v>
      </c>
      <c r="W26" s="8">
        <v>28356.481733755769</v>
      </c>
      <c r="X26" s="8">
        <v>28794.453707901434</v>
      </c>
      <c r="Y26" s="8">
        <v>29618.147311685108</v>
      </c>
      <c r="Z26" s="8">
        <v>30016.174771557606</v>
      </c>
      <c r="AA26" s="8">
        <v>30791.234418680524</v>
      </c>
      <c r="AB26" s="8">
        <v>31796.305658746031</v>
      </c>
      <c r="AC26" s="8">
        <v>32811.387848808998</v>
      </c>
      <c r="AD26" s="8">
        <v>34018.197244816132</v>
      </c>
      <c r="AE26" s="8">
        <v>35050.79440394033</v>
      </c>
      <c r="AF26" s="8">
        <v>35076.191577810961</v>
      </c>
      <c r="AG26" s="8">
        <v>35374.793008279667</v>
      </c>
      <c r="AH26" s="8">
        <v>35926.574232360719</v>
      </c>
      <c r="AI26" s="8">
        <v>36882.14339283036</v>
      </c>
      <c r="AJ26" s="8">
        <v>37665.571079193069</v>
      </c>
      <c r="AK26" s="8">
        <v>38312.505856368385</v>
      </c>
      <c r="AL26" s="8">
        <v>38752.89739077408</v>
      </c>
      <c r="AM26" s="8">
        <v>38558.849896069012</v>
      </c>
      <c r="AN26" s="2"/>
      <c r="AO26" s="2"/>
      <c r="AP26" s="2"/>
      <c r="AQ26" s="2"/>
      <c r="AR26" s="2"/>
      <c r="AS26" s="2"/>
      <c r="AT26" s="2"/>
      <c r="AU26" s="2"/>
      <c r="AV26" s="2"/>
    </row>
    <row r="27" spans="1:48">
      <c r="A27" s="20" t="s">
        <v>20</v>
      </c>
      <c r="B27" s="8">
        <v>15609.708369703649</v>
      </c>
      <c r="C27" s="8">
        <v>16251.064534777151</v>
      </c>
      <c r="D27" s="8">
        <v>17002.665943698885</v>
      </c>
      <c r="E27" s="8">
        <v>16784.384437915869</v>
      </c>
      <c r="F27" s="8">
        <v>16590.494120510109</v>
      </c>
      <c r="G27" s="8">
        <v>17235.182938211685</v>
      </c>
      <c r="H27" s="8">
        <v>17759.982643169202</v>
      </c>
      <c r="I27" s="8">
        <v>18502.283549046871</v>
      </c>
      <c r="J27" s="8">
        <v>18880.838882001866</v>
      </c>
      <c r="K27" s="8">
        <v>18659.145307747713</v>
      </c>
      <c r="L27" s="8">
        <v>18973.341944057203</v>
      </c>
      <c r="M27" s="8">
        <v>18370.015728910843</v>
      </c>
      <c r="N27" s="8">
        <v>18838.798021139752</v>
      </c>
      <c r="O27" s="8">
        <v>19900.812983785243</v>
      </c>
      <c r="P27" s="8">
        <v>20472.659949801098</v>
      </c>
      <c r="Q27" s="8">
        <v>20827.262993452809</v>
      </c>
      <c r="R27" s="8">
        <v>21235.511813755536</v>
      </c>
      <c r="S27" s="8">
        <v>21825.53823735303</v>
      </c>
      <c r="T27" s="8">
        <v>22318.374488500071</v>
      </c>
      <c r="U27" s="8">
        <v>22444.144329782077</v>
      </c>
      <c r="V27" s="8">
        <v>21978.590424805727</v>
      </c>
      <c r="W27" s="8">
        <v>22369.896455477472</v>
      </c>
      <c r="X27" s="8">
        <v>22673.275578346125</v>
      </c>
      <c r="Y27" s="8">
        <v>23308.167979717557</v>
      </c>
      <c r="Z27" s="8">
        <v>23467.698509082453</v>
      </c>
      <c r="AA27" s="8">
        <v>24038.331785192975</v>
      </c>
      <c r="AB27" s="8">
        <v>24836.109906949081</v>
      </c>
      <c r="AC27" s="8">
        <v>25624.918439416051</v>
      </c>
      <c r="AD27" s="8">
        <v>26554.308738576201</v>
      </c>
      <c r="AE27" s="8">
        <v>27373.89907063694</v>
      </c>
      <c r="AF27" s="8">
        <v>27367.211940068817</v>
      </c>
      <c r="AG27" s="8">
        <v>27585.782931235139</v>
      </c>
      <c r="AH27" s="8">
        <v>27977.057743394646</v>
      </c>
      <c r="AI27" s="8">
        <v>28712.956756314888</v>
      </c>
      <c r="AJ27" s="8">
        <v>29323.305069056169</v>
      </c>
      <c r="AK27" s="8">
        <v>29870.343281118163</v>
      </c>
      <c r="AL27" s="8">
        <v>30246.678748075377</v>
      </c>
      <c r="AM27" s="8">
        <v>30110.729843572804</v>
      </c>
      <c r="AN27" s="2"/>
      <c r="AO27" s="2"/>
      <c r="AP27" s="2"/>
      <c r="AQ27" s="2"/>
      <c r="AR27" s="2"/>
      <c r="AS27" s="2"/>
      <c r="AT27" s="2"/>
      <c r="AU27" s="2"/>
      <c r="AV27" s="2"/>
    </row>
    <row r="28" spans="1:48">
      <c r="A28" s="19" t="s">
        <v>21</v>
      </c>
      <c r="B28" s="8">
        <v>12381.800272768602</v>
      </c>
      <c r="C28" s="8">
        <v>12511.596688791109</v>
      </c>
      <c r="D28" s="8">
        <v>12820.772733950345</v>
      </c>
      <c r="E28" s="8">
        <v>12769.736842105263</v>
      </c>
      <c r="F28" s="8">
        <v>12986.61321497602</v>
      </c>
      <c r="G28" s="8">
        <v>13301.913536498938</v>
      </c>
      <c r="H28" s="8">
        <v>13259.487466741353</v>
      </c>
      <c r="I28" s="8">
        <v>13672.649158062504</v>
      </c>
      <c r="J28" s="8">
        <v>13936.173126968908</v>
      </c>
      <c r="K28" s="8">
        <v>14208.482474505301</v>
      </c>
      <c r="L28" s="8">
        <v>14418.294141092068</v>
      </c>
      <c r="M28" s="8">
        <v>13860.226306494866</v>
      </c>
      <c r="N28" s="8">
        <v>14326.680875799264</v>
      </c>
      <c r="O28" s="8">
        <v>14902.851310837534</v>
      </c>
      <c r="P28" s="8">
        <v>15346.078862964594</v>
      </c>
      <c r="Q28" s="8">
        <v>15485.408017844973</v>
      </c>
      <c r="R28" s="8">
        <v>16029.70417810308</v>
      </c>
      <c r="S28" s="8">
        <v>16331.57547791694</v>
      </c>
      <c r="T28" s="8">
        <v>16723.977091574659</v>
      </c>
      <c r="U28" s="8">
        <v>16390.681421083282</v>
      </c>
      <c r="V28" s="8">
        <v>16193.765456950594</v>
      </c>
      <c r="W28" s="8">
        <v>16607.929014276775</v>
      </c>
      <c r="X28" s="8">
        <v>17117.812693585627</v>
      </c>
      <c r="Y28" s="8">
        <v>17668.226642152764</v>
      </c>
      <c r="Z28" s="8">
        <v>18145.935249821359</v>
      </c>
      <c r="AA28" s="8">
        <v>18624.314492045392</v>
      </c>
      <c r="AB28" s="8">
        <v>19264.699559281951</v>
      </c>
      <c r="AC28" s="8">
        <v>20044.546034446095</v>
      </c>
      <c r="AD28" s="8">
        <v>20601.019121664212</v>
      </c>
      <c r="AE28" s="8">
        <v>20737.519460300988</v>
      </c>
      <c r="AF28" s="8">
        <v>21242.228708967072</v>
      </c>
      <c r="AG28" s="8">
        <v>21672.235722964764</v>
      </c>
      <c r="AH28" s="8">
        <v>22275.242669868909</v>
      </c>
      <c r="AI28" s="8">
        <v>22627.261940077129</v>
      </c>
      <c r="AJ28" s="8">
        <v>22974.363973096792</v>
      </c>
      <c r="AK28" s="8">
        <v>23386.034002497359</v>
      </c>
      <c r="AL28" s="8">
        <v>23867.252871933062</v>
      </c>
      <c r="AM28" s="8">
        <v>24003.625546155992</v>
      </c>
      <c r="AN28" s="2"/>
      <c r="AO28" s="2"/>
      <c r="AP28" s="2"/>
      <c r="AQ28" s="2"/>
      <c r="AR28" s="2"/>
      <c r="AS28" s="2"/>
      <c r="AT28" s="2"/>
      <c r="AU28" s="2"/>
      <c r="AV28" s="2"/>
    </row>
    <row r="29" spans="1:48">
      <c r="A29" s="19" t="s">
        <v>22</v>
      </c>
      <c r="B29" s="8">
        <v>18049.769962755872</v>
      </c>
      <c r="C29" s="8">
        <v>19304.888362652237</v>
      </c>
      <c r="D29" s="8">
        <v>20379.487980018734</v>
      </c>
      <c r="E29" s="8">
        <v>19855.749286717088</v>
      </c>
      <c r="F29" s="8">
        <v>20219.982463674754</v>
      </c>
      <c r="G29" s="8">
        <v>20790.640677396237</v>
      </c>
      <c r="H29" s="8">
        <v>21491.772828429741</v>
      </c>
      <c r="I29" s="8">
        <v>22420.122247690491</v>
      </c>
      <c r="J29" s="8">
        <v>23453.753293495669</v>
      </c>
      <c r="K29" s="8">
        <v>23924.654023577652</v>
      </c>
      <c r="L29" s="8">
        <v>24450.603043205374</v>
      </c>
      <c r="M29" s="8">
        <v>24951.69631426454</v>
      </c>
      <c r="N29" s="8">
        <v>25182.488957301564</v>
      </c>
      <c r="O29" s="8">
        <v>25801.920119695773</v>
      </c>
      <c r="P29" s="8">
        <v>26946.641442721542</v>
      </c>
      <c r="Q29" s="8">
        <v>27604.570113430873</v>
      </c>
      <c r="R29" s="8">
        <v>28516.447287690506</v>
      </c>
      <c r="S29" s="8">
        <v>30320.013035154181</v>
      </c>
      <c r="T29" s="8">
        <v>31805.032263301004</v>
      </c>
      <c r="U29" s="8">
        <v>33349.459190525107</v>
      </c>
      <c r="V29" s="8">
        <v>34330.811194108028</v>
      </c>
      <c r="W29" s="8">
        <v>34534.820618622914</v>
      </c>
      <c r="X29" s="8">
        <v>34517.520690262369</v>
      </c>
      <c r="Y29" s="8">
        <v>34805.644034646546</v>
      </c>
      <c r="Z29" s="8">
        <v>35401.704228717055</v>
      </c>
      <c r="AA29" s="8">
        <v>36290.340778172402</v>
      </c>
      <c r="AB29" s="8">
        <v>36773.211157525941</v>
      </c>
      <c r="AC29" s="8">
        <v>35929.889619836802</v>
      </c>
      <c r="AD29" s="8">
        <v>35823.742569098504</v>
      </c>
      <c r="AE29" s="8">
        <v>36773.159163607139</v>
      </c>
      <c r="AF29" s="8">
        <v>36728.109585598038</v>
      </c>
      <c r="AG29" s="8">
        <v>36775.332193338872</v>
      </c>
      <c r="AH29" s="8">
        <v>37234.41195357652</v>
      </c>
      <c r="AI29" s="8">
        <v>38228.380038658077</v>
      </c>
      <c r="AJ29" s="8">
        <v>38973.5458017657</v>
      </c>
      <c r="AK29" s="8">
        <v>39767.778038663222</v>
      </c>
      <c r="AL29" s="8">
        <v>40719.130319086493</v>
      </c>
      <c r="AM29" s="8">
        <v>40458.838455032426</v>
      </c>
      <c r="AN29" s="2"/>
      <c r="AO29" s="2"/>
      <c r="AP29" s="2"/>
      <c r="AQ29" s="2"/>
      <c r="AR29" s="2"/>
      <c r="AS29" s="2"/>
      <c r="AT29" s="2"/>
      <c r="AU29" s="2"/>
      <c r="AV29" s="2"/>
    </row>
    <row r="30" spans="1:48">
      <c r="A30" s="19" t="s">
        <v>23</v>
      </c>
      <c r="B30" s="8">
        <v>2094.9730863972263</v>
      </c>
      <c r="C30" s="8">
        <v>2147.9480674526189</v>
      </c>
      <c r="D30" s="8">
        <v>2364.2494795179309</v>
      </c>
      <c r="E30" s="8">
        <v>2491.0353972097314</v>
      </c>
      <c r="F30" s="8">
        <v>2595.1361922847991</v>
      </c>
      <c r="G30" s="8">
        <v>2824.0397221679827</v>
      </c>
      <c r="H30" s="8">
        <v>3058.2500274634735</v>
      </c>
      <c r="I30" s="8">
        <v>3292.1637047255808</v>
      </c>
      <c r="J30" s="8">
        <v>3462.5406298289554</v>
      </c>
      <c r="K30" s="8">
        <v>3358.2257895289054</v>
      </c>
      <c r="L30" s="8">
        <v>3510.0586214911036</v>
      </c>
      <c r="M30" s="8">
        <v>3709.4034481004933</v>
      </c>
      <c r="N30" s="8">
        <v>4048.9601603608121</v>
      </c>
      <c r="O30" s="8">
        <v>4323.2935702618424</v>
      </c>
      <c r="P30" s="8">
        <v>4572.1217468019413</v>
      </c>
      <c r="Q30" s="8">
        <v>5007.545979521522</v>
      </c>
      <c r="R30" s="8">
        <v>5509.0577098649755</v>
      </c>
      <c r="S30" s="8">
        <v>6035.9734481692085</v>
      </c>
      <c r="T30" s="8">
        <v>6379.6320290230633</v>
      </c>
      <c r="U30" s="8">
        <v>6895.4722526767591</v>
      </c>
      <c r="V30" s="8">
        <v>7468.7730968218775</v>
      </c>
      <c r="W30" s="8">
        <v>7825.9120416933347</v>
      </c>
      <c r="X30" s="8">
        <v>8221.9255571897265</v>
      </c>
      <c r="Y30" s="8">
        <v>8834.4384212176865</v>
      </c>
      <c r="Z30" s="8">
        <v>9548.0229747410904</v>
      </c>
      <c r="AA30" s="8">
        <v>10119.297089511258</v>
      </c>
      <c r="AB30" s="8">
        <v>10491.078034556296</v>
      </c>
      <c r="AC30" s="8">
        <v>9701.6656944714505</v>
      </c>
      <c r="AD30" s="8">
        <v>10546.817684535685</v>
      </c>
      <c r="AE30" s="8">
        <v>11346.664397549353</v>
      </c>
      <c r="AF30" s="8">
        <v>11710.581329053783</v>
      </c>
      <c r="AG30" s="8">
        <v>12478.056360505649</v>
      </c>
      <c r="AH30" s="8">
        <v>12764.265864309742</v>
      </c>
      <c r="AI30" s="8">
        <v>13303.81564978455</v>
      </c>
      <c r="AJ30" s="8">
        <v>13801.819768166522</v>
      </c>
      <c r="AK30" s="8">
        <v>14468.786881172744</v>
      </c>
      <c r="AL30" s="8">
        <v>15157.648175664519</v>
      </c>
      <c r="AM30" s="8">
        <v>15446.602341226573</v>
      </c>
      <c r="AN30" s="2"/>
      <c r="AO30" s="2"/>
      <c r="AP30" s="2"/>
      <c r="AQ30" s="2"/>
      <c r="AR30" s="2"/>
      <c r="AS30" s="2"/>
      <c r="AT30" s="2"/>
      <c r="AU30" s="2"/>
      <c r="AV30" s="2"/>
    </row>
    <row r="31" spans="1:48">
      <c r="A31" s="19" t="s">
        <v>24</v>
      </c>
      <c r="B31" s="8">
        <v>10015.712290502794</v>
      </c>
      <c r="C31" s="8">
        <v>10351.184346035016</v>
      </c>
      <c r="D31" s="8">
        <v>10940.760686637497</v>
      </c>
      <c r="E31" s="8">
        <v>11363.456464379948</v>
      </c>
      <c r="F31" s="8">
        <v>10967.606090055069</v>
      </c>
      <c r="G31" s="8">
        <v>10966.302952503209</v>
      </c>
      <c r="H31" s="8">
        <v>10494.245524296675</v>
      </c>
      <c r="I31" s="8">
        <v>10425.375519335252</v>
      </c>
      <c r="J31" s="8">
        <v>10388.463989802422</v>
      </c>
      <c r="K31" s="8">
        <v>10461.513994910942</v>
      </c>
      <c r="L31" s="8">
        <v>10757.364586632879</v>
      </c>
      <c r="M31" s="8">
        <v>11130.380144517751</v>
      </c>
      <c r="N31" s="8">
        <v>11282.703037817731</v>
      </c>
      <c r="O31" s="8">
        <v>11722.836095764273</v>
      </c>
      <c r="P31" s="8">
        <v>11762.836185819071</v>
      </c>
      <c r="Q31" s="8">
        <v>11853.393665158372</v>
      </c>
      <c r="R31" s="8">
        <v>11813.417190775681</v>
      </c>
      <c r="S31" s="8">
        <v>11767.254257544069</v>
      </c>
      <c r="T31" s="8">
        <v>11739.994070560331</v>
      </c>
      <c r="U31" s="8">
        <v>11357.511467889908</v>
      </c>
      <c r="V31" s="8">
        <v>11083.640487666571</v>
      </c>
      <c r="W31" s="8">
        <v>11090.628507295174</v>
      </c>
      <c r="X31" s="8">
        <v>11651.343118249792</v>
      </c>
      <c r="Y31" s="8">
        <v>12094.978165938865</v>
      </c>
      <c r="Z31" s="8">
        <v>12400.483481063658</v>
      </c>
      <c r="AA31" s="8">
        <v>12654.569536423842</v>
      </c>
      <c r="AB31" s="8">
        <v>12751.246392023091</v>
      </c>
      <c r="AC31" s="8">
        <v>12743.542916775372</v>
      </c>
      <c r="AD31" s="8">
        <v>13341.026970954357</v>
      </c>
      <c r="AE31" s="8">
        <v>13581.893216404436</v>
      </c>
      <c r="AF31" s="8">
        <v>13862.296747967481</v>
      </c>
      <c r="AG31" s="8">
        <v>14263.892349862947</v>
      </c>
      <c r="AH31" s="8">
        <v>14636.920813924982</v>
      </c>
      <c r="AI31" s="8">
        <v>15011.873031257574</v>
      </c>
      <c r="AJ31" s="8">
        <v>15275.383141762451</v>
      </c>
      <c r="AK31" s="8">
        <v>15382.429552450863</v>
      </c>
      <c r="AL31" s="8">
        <v>15704.737335834896</v>
      </c>
      <c r="AM31" s="8">
        <v>15386.295005807202</v>
      </c>
      <c r="AN31" s="2"/>
      <c r="AO31" s="2"/>
      <c r="AP31" s="2"/>
      <c r="AQ31" s="2"/>
      <c r="AR31" s="2"/>
      <c r="AS31" s="2"/>
      <c r="AT31" s="2"/>
      <c r="AU31" s="2"/>
      <c r="AV31" s="2"/>
    </row>
    <row r="32" spans="1:48">
      <c r="A32" s="20" t="s">
        <v>25</v>
      </c>
      <c r="B32" s="8">
        <v>14005.950834156229</v>
      </c>
      <c r="C32" s="8">
        <v>14875.783235088933</v>
      </c>
      <c r="D32" s="8">
        <v>15709.26749796353</v>
      </c>
      <c r="E32" s="8">
        <v>15372.083402794498</v>
      </c>
      <c r="F32" s="8">
        <v>15641.040797050669</v>
      </c>
      <c r="G32" s="8">
        <v>16092.374289567479</v>
      </c>
      <c r="H32" s="8">
        <v>16590.636833456381</v>
      </c>
      <c r="I32" s="8">
        <v>17288.229574850473</v>
      </c>
      <c r="J32" s="8">
        <v>18026.334212307189</v>
      </c>
      <c r="K32" s="8">
        <v>18320.530222081037</v>
      </c>
      <c r="L32" s="8">
        <v>18701.577478322542</v>
      </c>
      <c r="M32" s="8">
        <v>19009.539671209906</v>
      </c>
      <c r="N32" s="8">
        <v>19253.043697903511</v>
      </c>
      <c r="O32" s="8">
        <v>19764.492390590385</v>
      </c>
      <c r="P32" s="8">
        <v>20609.739929734627</v>
      </c>
      <c r="Q32" s="8">
        <v>21137.543328506865</v>
      </c>
      <c r="R32" s="8">
        <v>21881.707018164983</v>
      </c>
      <c r="S32" s="8">
        <v>23198.08451923597</v>
      </c>
      <c r="T32" s="8">
        <v>24263.84138865587</v>
      </c>
      <c r="U32" s="8">
        <v>25323.584734260279</v>
      </c>
      <c r="V32" s="8">
        <v>26044.729197975688</v>
      </c>
      <c r="W32" s="8">
        <v>26262.947323973396</v>
      </c>
      <c r="X32" s="8">
        <v>26361.814373677829</v>
      </c>
      <c r="Y32" s="8">
        <v>26711.356516290725</v>
      </c>
      <c r="Z32" s="8">
        <v>27273.155432316089</v>
      </c>
      <c r="AA32" s="8">
        <v>27993.769888829196</v>
      </c>
      <c r="AB32" s="8">
        <v>28419.245558480015</v>
      </c>
      <c r="AC32" s="8">
        <v>27732.850914003808</v>
      </c>
      <c r="AD32" s="8">
        <v>27898.167971617324</v>
      </c>
      <c r="AE32" s="8">
        <v>28684.261800985383</v>
      </c>
      <c r="AF32" s="8">
        <v>28768.184479347521</v>
      </c>
      <c r="AG32" s="8">
        <v>29002.835980751537</v>
      </c>
      <c r="AH32" s="8">
        <v>29408.134536965605</v>
      </c>
      <c r="AI32" s="8">
        <v>30192.003157174327</v>
      </c>
      <c r="AJ32" s="8">
        <v>30803.300099700897</v>
      </c>
      <c r="AK32" s="8">
        <v>31484.108357532121</v>
      </c>
      <c r="AL32" s="8">
        <v>32279.819880581617</v>
      </c>
      <c r="AM32" s="8">
        <v>32158.12050386408</v>
      </c>
      <c r="AN32" s="2"/>
      <c r="AO32" s="2"/>
      <c r="AP32" s="2"/>
      <c r="AQ32" s="2"/>
      <c r="AR32" s="2"/>
      <c r="AS32" s="2"/>
      <c r="AT32" s="2"/>
      <c r="AU32" s="2"/>
      <c r="AV32" s="2"/>
    </row>
    <row r="33" spans="1:48">
      <c r="A33" s="19" t="s">
        <v>26</v>
      </c>
      <c r="B33" s="8">
        <v>11810.558592187708</v>
      </c>
      <c r="C33" s="8">
        <v>12472.295864262991</v>
      </c>
      <c r="D33" s="8">
        <v>13009.359346163987</v>
      </c>
      <c r="E33" s="8">
        <v>13499.276220555335</v>
      </c>
      <c r="F33" s="8">
        <v>13485.816070721732</v>
      </c>
      <c r="G33" s="8">
        <v>14127.41210679355</v>
      </c>
      <c r="H33" s="8">
        <v>14830.998942917548</v>
      </c>
      <c r="I33" s="8">
        <v>14821.079079608569</v>
      </c>
      <c r="J33" s="8">
        <v>15656.643264008477</v>
      </c>
      <c r="K33" s="8">
        <v>15935.885547754669</v>
      </c>
      <c r="L33" s="8">
        <v>15870.920861408376</v>
      </c>
      <c r="M33" s="8">
        <v>16169.263269078427</v>
      </c>
      <c r="N33" s="8">
        <v>16673.102353874634</v>
      </c>
      <c r="O33" s="8">
        <v>16685.35907948684</v>
      </c>
      <c r="P33" s="8">
        <v>17086.186384666224</v>
      </c>
      <c r="Q33" s="8">
        <v>17470.541611624834</v>
      </c>
      <c r="R33" s="8">
        <v>17693.993399339932</v>
      </c>
      <c r="S33" s="8">
        <v>18177.719182597233</v>
      </c>
      <c r="T33" s="8">
        <v>18771.128608923886</v>
      </c>
      <c r="U33" s="8">
        <v>19406.355821828602</v>
      </c>
      <c r="V33" s="8">
        <v>19855.061250805931</v>
      </c>
      <c r="W33" s="8">
        <v>20008.034689452874</v>
      </c>
      <c r="X33" s="8">
        <v>19917.783961548193</v>
      </c>
      <c r="Y33" s="8">
        <v>20281.628024193549</v>
      </c>
      <c r="Z33" s="8">
        <v>20765.223955712128</v>
      </c>
      <c r="AA33" s="8">
        <v>21198.894333458979</v>
      </c>
      <c r="AB33" s="8">
        <v>21625.125502008032</v>
      </c>
      <c r="AC33" s="8">
        <v>22377.209477247085</v>
      </c>
      <c r="AD33" s="8">
        <v>23081.206206206207</v>
      </c>
      <c r="AE33" s="8">
        <v>23864.203694458312</v>
      </c>
      <c r="AF33" s="8">
        <v>23898.905744839594</v>
      </c>
      <c r="AG33" s="8">
        <v>24172.358327146743</v>
      </c>
      <c r="AH33" s="8">
        <v>24257.945306725793</v>
      </c>
      <c r="AI33" s="8">
        <v>24719.916758477168</v>
      </c>
      <c r="AJ33" s="8">
        <v>25155.501519756839</v>
      </c>
      <c r="AK33" s="8">
        <v>25890.541848089015</v>
      </c>
      <c r="AL33" s="8">
        <v>26702.325021081797</v>
      </c>
      <c r="AM33" s="8">
        <v>27131.582103874298</v>
      </c>
      <c r="AN33" s="2"/>
      <c r="AO33" s="2"/>
      <c r="AP33" s="2"/>
      <c r="AQ33" s="2"/>
      <c r="AR33" s="2"/>
      <c r="AS33" s="2"/>
      <c r="AT33" s="2"/>
      <c r="AU33" s="2"/>
      <c r="AV33" s="2"/>
    </row>
    <row r="34" spans="1:48">
      <c r="A34" s="19" t="s">
        <v>27</v>
      </c>
      <c r="B34" s="8">
        <v>11785.610766045549</v>
      </c>
      <c r="C34" s="8">
        <v>12358.91089108911</v>
      </c>
      <c r="D34" s="8">
        <v>13076.503856041132</v>
      </c>
      <c r="E34" s="8">
        <v>13583.700666324961</v>
      </c>
      <c r="F34" s="8">
        <v>13366.489470455939</v>
      </c>
      <c r="G34" s="8">
        <v>14098.999795876709</v>
      </c>
      <c r="H34" s="8">
        <v>14171.373228667551</v>
      </c>
      <c r="I34" s="8">
        <v>14562.188041153102</v>
      </c>
      <c r="J34" s="8">
        <v>14892.508143322475</v>
      </c>
      <c r="K34" s="8">
        <v>15504.412212191906</v>
      </c>
      <c r="L34" s="8">
        <v>15462.669912761208</v>
      </c>
      <c r="M34" s="8">
        <v>15557.832792207793</v>
      </c>
      <c r="N34" s="8">
        <v>15609.498680738787</v>
      </c>
      <c r="O34" s="8">
        <v>15992.897006595636</v>
      </c>
      <c r="P34" s="8">
        <v>16253.728314903115</v>
      </c>
      <c r="Q34" s="8">
        <v>16546.607160969674</v>
      </c>
      <c r="R34" s="8">
        <v>16909.422492401216</v>
      </c>
      <c r="S34" s="8">
        <v>17647.314216478189</v>
      </c>
      <c r="T34" s="8">
        <v>18193.460764587526</v>
      </c>
      <c r="U34" s="8">
        <v>18711.476725521668</v>
      </c>
      <c r="V34" s="8">
        <v>18982.110733559864</v>
      </c>
      <c r="W34" s="8">
        <v>19193.988255200555</v>
      </c>
      <c r="X34" s="8">
        <v>18935.950822922863</v>
      </c>
      <c r="Y34" s="8">
        <v>19489.02728351127</v>
      </c>
      <c r="Z34" s="8">
        <v>19912.400118378217</v>
      </c>
      <c r="AA34" s="8">
        <v>20156.868537666174</v>
      </c>
      <c r="AB34" s="8">
        <v>20860.019646365425</v>
      </c>
      <c r="AC34" s="8">
        <v>21214.446731353524</v>
      </c>
      <c r="AD34" s="8">
        <v>21925.259244766192</v>
      </c>
      <c r="AE34" s="8">
        <v>22679.191879757953</v>
      </c>
      <c r="AF34" s="8">
        <v>22779.690691566968</v>
      </c>
      <c r="AG34" s="8">
        <v>22981.60696999032</v>
      </c>
      <c r="AH34" s="8">
        <v>23066.133230502266</v>
      </c>
      <c r="AI34" s="8">
        <v>23711.625227992703</v>
      </c>
      <c r="AJ34" s="8">
        <v>23999.42715295016</v>
      </c>
      <c r="AK34" s="8">
        <v>24502.134117423888</v>
      </c>
      <c r="AL34" s="8">
        <v>25035.774807004331</v>
      </c>
      <c r="AM34" s="8">
        <v>25092.360851699665</v>
      </c>
    </row>
    <row r="35" spans="1:48">
      <c r="A35" s="19" t="s">
        <v>28</v>
      </c>
      <c r="B35" s="8">
        <v>3898.382667073543</v>
      </c>
      <c r="C35" s="8">
        <v>4023.3076611268748</v>
      </c>
      <c r="D35" s="8">
        <v>4135.4565611771814</v>
      </c>
      <c r="E35" s="8">
        <v>4251.8770647712481</v>
      </c>
      <c r="F35" s="8">
        <v>4345.3587755913341</v>
      </c>
      <c r="G35" s="8">
        <v>4411.6311216429704</v>
      </c>
      <c r="H35" s="8">
        <v>4552.2622435960348</v>
      </c>
      <c r="I35" s="8">
        <v>4598.9654499316803</v>
      </c>
      <c r="J35" s="8">
        <v>4615.0335049043406</v>
      </c>
      <c r="K35" s="8">
        <v>4712.694877505568</v>
      </c>
      <c r="L35" s="8">
        <v>4695.4285159662231</v>
      </c>
      <c r="M35" s="8">
        <v>4768.8578630987004</v>
      </c>
      <c r="N35" s="8">
        <v>4821.5634989828541</v>
      </c>
      <c r="O35" s="8">
        <v>4917.7233568870388</v>
      </c>
      <c r="P35" s="8">
        <v>4944.7615362290799</v>
      </c>
      <c r="Q35" s="8">
        <v>5045.8369596750799</v>
      </c>
      <c r="R35" s="8">
        <v>5070.4415885592807</v>
      </c>
      <c r="S35" s="8">
        <v>5170.9154113557361</v>
      </c>
      <c r="T35" s="8">
        <v>5402.0459370777844</v>
      </c>
      <c r="U35" s="8">
        <v>5335.9065907555732</v>
      </c>
      <c r="V35" s="8">
        <v>4740.8090018430503</v>
      </c>
      <c r="W35" s="8">
        <v>4712.7350261678621</v>
      </c>
      <c r="X35" s="8">
        <v>4709.7086438873293</v>
      </c>
      <c r="Y35" s="8">
        <v>4811.9195046439627</v>
      </c>
      <c r="Z35" s="8">
        <v>5100.0871164456494</v>
      </c>
      <c r="AA35" s="8">
        <v>5313.717886572952</v>
      </c>
      <c r="AB35" s="8">
        <v>5280.4736024844715</v>
      </c>
      <c r="AC35" s="8">
        <v>5244.9732880038855</v>
      </c>
      <c r="AD35" s="8">
        <v>5321.4042594573575</v>
      </c>
      <c r="AE35" s="8">
        <v>5520.9773191862168</v>
      </c>
      <c r="AF35" s="8">
        <v>5683.6854460093891</v>
      </c>
      <c r="AG35" s="8">
        <v>5804.5289677482597</v>
      </c>
      <c r="AH35" s="8">
        <v>6013.0366594785337</v>
      </c>
      <c r="AI35" s="8">
        <v>6279.6120309591452</v>
      </c>
      <c r="AJ35" s="8">
        <v>6658.686730506156</v>
      </c>
      <c r="AK35" s="8">
        <v>7089.1204831011983</v>
      </c>
      <c r="AL35" s="8">
        <v>7482.902257095805</v>
      </c>
      <c r="AM35" s="8">
        <v>7588.5906040268455</v>
      </c>
    </row>
    <row r="36" spans="1:48">
      <c r="A36" s="19" t="s">
        <v>29</v>
      </c>
      <c r="B36" s="8">
        <v>16768.486802337295</v>
      </c>
      <c r="C36" s="8">
        <v>17367.1875</v>
      </c>
      <c r="D36" s="8">
        <v>17912.385503783353</v>
      </c>
      <c r="E36" s="8">
        <v>17685.232903865213</v>
      </c>
      <c r="F36" s="8">
        <v>17417.391304347828</v>
      </c>
      <c r="G36" s="8">
        <v>18431.30297654248</v>
      </c>
      <c r="H36" s="8">
        <v>18736.883474159953</v>
      </c>
      <c r="I36" s="8">
        <v>19103.036238981389</v>
      </c>
      <c r="J36" s="8">
        <v>19807.151230949588</v>
      </c>
      <c r="K36" s="8">
        <v>19711.748633879783</v>
      </c>
      <c r="L36" s="8">
        <v>19544.709098008592</v>
      </c>
      <c r="M36" s="8">
        <v>20286.440015631106</v>
      </c>
      <c r="N36" s="8">
        <v>20840.633554947206</v>
      </c>
      <c r="O36" s="8">
        <v>21721.385247505383</v>
      </c>
      <c r="P36" s="8">
        <v>22586.739683160569</v>
      </c>
      <c r="Q36" s="8">
        <v>23672.265625</v>
      </c>
      <c r="R36" s="8">
        <v>23708.406475521748</v>
      </c>
      <c r="S36" s="8">
        <v>23660.818713450291</v>
      </c>
      <c r="T36" s="8">
        <v>23787.022603273577</v>
      </c>
      <c r="U36" s="8">
        <v>24102.140077821012</v>
      </c>
      <c r="V36" s="8">
        <v>24387.096774193549</v>
      </c>
      <c r="W36" s="8">
        <v>24748.597950106359</v>
      </c>
      <c r="X36" s="8">
        <v>24640.778570052033</v>
      </c>
      <c r="Y36" s="8">
        <v>25917.402996542449</v>
      </c>
      <c r="Z36" s="8">
        <v>26589.10133843212</v>
      </c>
      <c r="AA36" s="8">
        <v>27176.548840744967</v>
      </c>
      <c r="AB36" s="8">
        <v>27923.746452223273</v>
      </c>
      <c r="AC36" s="8">
        <v>28430.133886479351</v>
      </c>
      <c r="AD36" s="8">
        <v>29059.575267806806</v>
      </c>
      <c r="AE36" s="8">
        <v>29989.134507306106</v>
      </c>
      <c r="AF36" s="8">
        <v>30093.335822288594</v>
      </c>
      <c r="AG36" s="8">
        <v>30126.674107142855</v>
      </c>
      <c r="AH36" s="8">
        <v>30163.821892393324</v>
      </c>
      <c r="AI36" s="8">
        <v>30782.158060336853</v>
      </c>
      <c r="AJ36" s="8">
        <v>31441.778926001109</v>
      </c>
      <c r="AK36" s="8">
        <v>32401.508184660655</v>
      </c>
      <c r="AL36" s="8">
        <v>32811.172161172159</v>
      </c>
      <c r="AM36" s="8">
        <v>32336.307356154408</v>
      </c>
    </row>
    <row r="37" spans="1:48">
      <c r="A37" s="19" t="s">
        <v>30</v>
      </c>
      <c r="B37" s="8">
        <v>11252.601908065915</v>
      </c>
      <c r="C37" s="8">
        <v>12050</v>
      </c>
      <c r="D37" s="8">
        <v>12819.759965709385</v>
      </c>
      <c r="E37" s="8">
        <v>13164.144105734385</v>
      </c>
      <c r="F37" s="8">
        <v>13344.725111441307</v>
      </c>
      <c r="G37" s="8">
        <v>13348.286077020737</v>
      </c>
      <c r="H37" s="8">
        <v>13342.0552859253</v>
      </c>
      <c r="I37" s="8">
        <v>13690.090469177361</v>
      </c>
      <c r="J37" s="8">
        <v>14630.220356768101</v>
      </c>
      <c r="K37" s="8">
        <v>15367.15481171548</v>
      </c>
      <c r="L37" s="8">
        <v>15500.625</v>
      </c>
      <c r="M37" s="8">
        <v>15882.950072508806</v>
      </c>
      <c r="N37" s="8">
        <v>16264.209225700166</v>
      </c>
      <c r="O37" s="8">
        <v>16681.073330602212</v>
      </c>
      <c r="P37" s="8">
        <v>17161.56670746634</v>
      </c>
      <c r="Q37" s="8">
        <v>17556.933712891419</v>
      </c>
      <c r="R37" s="8">
        <v>18118.410381184101</v>
      </c>
      <c r="S37" s="8">
        <v>19009.502628386577</v>
      </c>
      <c r="T37" s="8">
        <v>19898.67042707494</v>
      </c>
      <c r="U37" s="8">
        <v>19916.16526273566</v>
      </c>
      <c r="V37" s="8">
        <v>18614.080574391701</v>
      </c>
      <c r="W37" s="8">
        <v>17865.132883776281</v>
      </c>
      <c r="X37" s="8">
        <v>17637.78128701145</v>
      </c>
      <c r="Y37" s="8">
        <v>18192.768716840241</v>
      </c>
      <c r="Z37" s="8">
        <v>18843.578700078309</v>
      </c>
      <c r="AA37" s="8">
        <v>19454.243902439026</v>
      </c>
      <c r="AB37" s="8">
        <v>20600.972762645917</v>
      </c>
      <c r="AC37" s="8">
        <v>21580.244517756648</v>
      </c>
      <c r="AD37" s="8">
        <v>22370.377541142305</v>
      </c>
      <c r="AE37" s="8">
        <v>23515.455950540956</v>
      </c>
      <c r="AF37" s="8">
        <v>23997.301464919045</v>
      </c>
      <c r="AG37" s="8">
        <v>24373.197462026536</v>
      </c>
      <c r="AH37" s="8">
        <v>24803.759831191248</v>
      </c>
      <c r="AI37" s="8">
        <v>25754.735029653719</v>
      </c>
      <c r="AJ37" s="8">
        <v>26415.061963775024</v>
      </c>
      <c r="AK37" s="8">
        <v>27469.806304595517</v>
      </c>
      <c r="AL37" s="8">
        <v>28702.779353374932</v>
      </c>
      <c r="AM37" s="8">
        <v>28917.560700169397</v>
      </c>
    </row>
    <row r="38" spans="1:48">
      <c r="A38" s="19" t="s">
        <v>31</v>
      </c>
      <c r="B38" s="8">
        <v>12036.712652889883</v>
      </c>
      <c r="C38" s="8">
        <v>12484.964254643113</v>
      </c>
      <c r="D38" s="8">
        <v>13197.362002326541</v>
      </c>
      <c r="E38" s="8">
        <v>13698.449092196995</v>
      </c>
      <c r="F38" s="8">
        <v>13502.783241177125</v>
      </c>
      <c r="G38" s="8">
        <v>14042.210312326742</v>
      </c>
      <c r="H38" s="8">
        <v>14475.898737903375</v>
      </c>
      <c r="I38" s="8">
        <v>14982.872634683372</v>
      </c>
      <c r="J38" s="8">
        <v>15445.338148391333</v>
      </c>
      <c r="K38" s="8">
        <v>15625.578399172549</v>
      </c>
      <c r="L38" s="8">
        <v>15681.499124848879</v>
      </c>
      <c r="M38" s="8">
        <v>15967.283098061022</v>
      </c>
      <c r="N38" s="8">
        <v>16072.16899498653</v>
      </c>
      <c r="O38" s="8">
        <v>16231.991619466984</v>
      </c>
      <c r="P38" s="8">
        <v>16427.985865724382</v>
      </c>
      <c r="Q38" s="8">
        <v>16746.158984635938</v>
      </c>
      <c r="R38" s="8">
        <v>17070.499370541333</v>
      </c>
      <c r="S38" s="8">
        <v>17753.907404509813</v>
      </c>
      <c r="T38" s="8">
        <v>18384.469140496723</v>
      </c>
      <c r="U38" s="8">
        <v>18769.249282288427</v>
      </c>
      <c r="V38" s="8">
        <v>18866.43630578696</v>
      </c>
      <c r="W38" s="8">
        <v>19031.151587369139</v>
      </c>
      <c r="X38" s="8">
        <v>18777.370963640988</v>
      </c>
      <c r="Y38" s="8">
        <v>19123.678432697179</v>
      </c>
      <c r="Z38" s="8">
        <v>19459.836079368553</v>
      </c>
      <c r="AA38" s="8">
        <v>19608.245002012613</v>
      </c>
      <c r="AB38" s="8">
        <v>19977.653724657786</v>
      </c>
      <c r="AC38" s="8">
        <v>20603.110896464437</v>
      </c>
      <c r="AD38" s="8">
        <v>21188.609798557573</v>
      </c>
      <c r="AE38" s="8">
        <v>21868.489090160558</v>
      </c>
      <c r="AF38" s="8">
        <v>22114.513676569168</v>
      </c>
      <c r="AG38" s="8">
        <v>22181.2352893434</v>
      </c>
      <c r="AH38" s="8">
        <v>22265.933782520391</v>
      </c>
      <c r="AI38" s="8">
        <v>22650.557680305963</v>
      </c>
      <c r="AJ38" s="8">
        <v>22908.812224022364</v>
      </c>
      <c r="AK38" s="8">
        <v>23260.010728598027</v>
      </c>
      <c r="AL38" s="8">
        <v>23660.262241601053</v>
      </c>
      <c r="AM38" s="8">
        <v>23627.635683094195</v>
      </c>
    </row>
    <row r="39" spans="1:48">
      <c r="A39" s="19" t="s">
        <v>32</v>
      </c>
      <c r="B39" s="8">
        <v>12132.350500989214</v>
      </c>
      <c r="C39" s="8">
        <v>12594.600774947596</v>
      </c>
      <c r="D39" s="8">
        <v>13156.023608085517</v>
      </c>
      <c r="E39" s="8">
        <v>13269.261449246002</v>
      </c>
      <c r="F39" s="8">
        <v>13204.400157602411</v>
      </c>
      <c r="G39" s="8">
        <v>13921.983732778324</v>
      </c>
      <c r="H39" s="8">
        <v>14415.953431842896</v>
      </c>
      <c r="I39" s="8">
        <v>14865.449143208423</v>
      </c>
      <c r="J39" s="8">
        <v>15478.054901157431</v>
      </c>
      <c r="K39" s="8">
        <v>15656.220068196621</v>
      </c>
      <c r="L39" s="8">
        <v>15715.996327373816</v>
      </c>
      <c r="M39" s="8">
        <v>15670.530414246507</v>
      </c>
      <c r="N39" s="8">
        <v>15960.344077212565</v>
      </c>
      <c r="O39" s="8">
        <v>16469.079978418929</v>
      </c>
      <c r="P39" s="8">
        <v>16891.08770664881</v>
      </c>
      <c r="Q39" s="8">
        <v>17272.544729051358</v>
      </c>
      <c r="R39" s="8">
        <v>17508.427906019198</v>
      </c>
      <c r="S39" s="8">
        <v>18065.224348716638</v>
      </c>
      <c r="T39" s="8">
        <v>18635.077595739542</v>
      </c>
      <c r="U39" s="8">
        <v>19444.559246005745</v>
      </c>
      <c r="V39" s="8">
        <v>20279.418383676737</v>
      </c>
      <c r="W39" s="8">
        <v>20573.901282973919</v>
      </c>
      <c r="X39" s="8">
        <v>20261.779524261201</v>
      </c>
      <c r="Y39" s="8">
        <v>20738.080617032254</v>
      </c>
      <c r="Z39" s="8">
        <v>21068.319026218145</v>
      </c>
      <c r="AA39" s="8">
        <v>21216.689459802677</v>
      </c>
      <c r="AB39" s="8">
        <v>21558.475113342756</v>
      </c>
      <c r="AC39" s="8">
        <v>22002.340635628865</v>
      </c>
      <c r="AD39" s="8">
        <v>22428.935154165702</v>
      </c>
      <c r="AE39" s="8">
        <v>23120.419039275806</v>
      </c>
      <c r="AF39" s="8">
        <v>23363.905756618897</v>
      </c>
      <c r="AG39" s="8">
        <v>23323.682742901481</v>
      </c>
      <c r="AH39" s="8">
        <v>23262.275811924384</v>
      </c>
      <c r="AI39" s="8">
        <v>23548.635774111826</v>
      </c>
      <c r="AJ39" s="8">
        <v>23736.636592937524</v>
      </c>
      <c r="AK39" s="8">
        <v>24516.973022849234</v>
      </c>
      <c r="AL39" s="8">
        <v>25152.875533350347</v>
      </c>
      <c r="AM39" s="8">
        <v>25513.687286897224</v>
      </c>
    </row>
    <row r="40" spans="1:48">
      <c r="A40" s="19" t="s">
        <v>33</v>
      </c>
      <c r="B40" s="8">
        <v>7210.3739982190573</v>
      </c>
      <c r="C40" s="8">
        <v>7891.0759703638178</v>
      </c>
      <c r="D40" s="8">
        <v>8492.1281514917973</v>
      </c>
      <c r="E40" s="8">
        <v>7915.7617637380708</v>
      </c>
      <c r="F40" s="8">
        <v>8341.8821995218423</v>
      </c>
      <c r="G40" s="8">
        <v>8795.9249329758713</v>
      </c>
      <c r="H40" s="8">
        <v>8916.8866828598584</v>
      </c>
      <c r="I40" s="8">
        <v>9439.4871260293967</v>
      </c>
      <c r="J40" s="8">
        <v>9628.8479357562046</v>
      </c>
      <c r="K40" s="8">
        <v>9598.2670744138632</v>
      </c>
      <c r="L40" s="8">
        <v>9366.0705264221488</v>
      </c>
      <c r="M40" s="8">
        <v>9202.3295511597553</v>
      </c>
      <c r="N40" s="8">
        <v>9050.3144654088064</v>
      </c>
      <c r="O40" s="8">
        <v>9186.4507797755032</v>
      </c>
      <c r="P40" s="8">
        <v>9380.6649515139525</v>
      </c>
      <c r="Q40" s="8">
        <v>9398.5600157806493</v>
      </c>
      <c r="R40" s="8">
        <v>9154.6097896599185</v>
      </c>
      <c r="S40" s="8">
        <v>9513.5161606268357</v>
      </c>
      <c r="T40" s="8">
        <v>9823.0709275136414</v>
      </c>
      <c r="U40" s="8">
        <v>9753.7002998935859</v>
      </c>
      <c r="V40" s="8">
        <v>9972.0836531082132</v>
      </c>
      <c r="W40" s="8">
        <v>9969.2380952380954</v>
      </c>
      <c r="X40" s="8">
        <v>9755.8249668497829</v>
      </c>
      <c r="Y40" s="8">
        <v>9905.902319441826</v>
      </c>
      <c r="Z40" s="8">
        <v>10087.267255971412</v>
      </c>
      <c r="AA40" s="8">
        <v>10252.871416565506</v>
      </c>
      <c r="AB40" s="8">
        <v>10558.782592558227</v>
      </c>
      <c r="AC40" s="8">
        <v>10855.560682971849</v>
      </c>
      <c r="AD40" s="8">
        <v>11177.157033906093</v>
      </c>
      <c r="AE40" s="8">
        <v>11641.293395621507</v>
      </c>
      <c r="AF40" s="8">
        <v>12093.333333333334</v>
      </c>
      <c r="AG40" s="8">
        <v>12465.962868583911</v>
      </c>
      <c r="AH40" s="8">
        <v>13163.824383164007</v>
      </c>
      <c r="AI40" s="8">
        <v>13725.004519978305</v>
      </c>
      <c r="AJ40" s="8">
        <v>13979.556916426514</v>
      </c>
      <c r="AK40" s="8">
        <v>14552.695308996324</v>
      </c>
      <c r="AL40" s="8">
        <v>15143.750558384705</v>
      </c>
      <c r="AM40" s="8">
        <v>15388.359882530924</v>
      </c>
    </row>
    <row r="41" spans="1:48">
      <c r="A41" s="19" t="s">
        <v>34</v>
      </c>
      <c r="B41" s="8">
        <v>2480.6560540279788</v>
      </c>
      <c r="C41" s="8">
        <v>2724.8412545699443</v>
      </c>
      <c r="D41" s="8">
        <v>2941.3005946671783</v>
      </c>
      <c r="E41" s="8">
        <v>3056.6271963330787</v>
      </c>
      <c r="F41" s="8">
        <v>3129.1302696543867</v>
      </c>
      <c r="G41" s="8">
        <v>3229.7667390688448</v>
      </c>
      <c r="H41" s="8">
        <v>3457.1347997743937</v>
      </c>
      <c r="I41" s="8">
        <v>3431.3284616825936</v>
      </c>
      <c r="J41" s="8">
        <v>3683.9596186203025</v>
      </c>
      <c r="K41" s="8">
        <v>3668.6280003735869</v>
      </c>
      <c r="L41" s="8">
        <v>3776.2616822429909</v>
      </c>
      <c r="M41" s="8">
        <v>3889.7313488720397</v>
      </c>
      <c r="N41" s="8">
        <v>3927.8340840840838</v>
      </c>
      <c r="O41" s="8">
        <v>4045.856873822976</v>
      </c>
      <c r="P41" s="8">
        <v>4051.233575952358</v>
      </c>
      <c r="Q41" s="8">
        <v>4131.0043668122271</v>
      </c>
      <c r="R41" s="8">
        <v>4318.0431050925044</v>
      </c>
      <c r="S41" s="8">
        <v>4333.0460595614286</v>
      </c>
      <c r="T41" s="8">
        <v>4383.8238122715911</v>
      </c>
      <c r="U41" s="8">
        <v>4243.994211287988</v>
      </c>
      <c r="V41" s="8">
        <v>3746.1820993620722</v>
      </c>
      <c r="W41" s="8">
        <v>3639.093374660984</v>
      </c>
      <c r="X41" s="8">
        <v>3628.7157567515055</v>
      </c>
      <c r="Y41" s="8">
        <v>3747.6854107786767</v>
      </c>
      <c r="Z41" s="8">
        <v>3778.3909381353469</v>
      </c>
      <c r="AA41" s="8">
        <v>3823.6834448647078</v>
      </c>
      <c r="AB41" s="8">
        <v>3996.6958211856177</v>
      </c>
      <c r="AC41" s="8">
        <v>4212.5255673517095</v>
      </c>
      <c r="AD41" s="8">
        <v>4403.3014260597774</v>
      </c>
      <c r="AE41" s="8">
        <v>4631.671726569386</v>
      </c>
      <c r="AF41" s="8">
        <v>4833.9222614840983</v>
      </c>
      <c r="AG41" s="8">
        <v>5061.5218033270985</v>
      </c>
      <c r="AH41" s="8">
        <v>5292.5962487660408</v>
      </c>
      <c r="AI41" s="8">
        <v>5562.4814485010393</v>
      </c>
      <c r="AJ41" s="8">
        <v>5770.1992663824731</v>
      </c>
      <c r="AK41" s="8">
        <v>6008.6386654751268</v>
      </c>
      <c r="AL41" s="8">
        <v>6075.8750994431193</v>
      </c>
      <c r="AM41" s="8">
        <v>6125.9214983064358</v>
      </c>
    </row>
    <row r="42" spans="1:48">
      <c r="A42" s="19" t="s">
        <v>35</v>
      </c>
      <c r="B42" s="8">
        <v>15320.388349514564</v>
      </c>
      <c r="C42" s="8">
        <v>16033.492822966507</v>
      </c>
      <c r="D42" s="8">
        <v>16882.075471698114</v>
      </c>
      <c r="E42" s="8">
        <v>17595.348837209302</v>
      </c>
      <c r="F42" s="8">
        <v>17467.889908256882</v>
      </c>
      <c r="G42" s="8">
        <v>18336.363636363636</v>
      </c>
      <c r="H42" s="8">
        <v>19774.774774774774</v>
      </c>
      <c r="I42" s="8">
        <v>20781.25</v>
      </c>
      <c r="J42" s="8">
        <v>21597.345132743361</v>
      </c>
      <c r="K42" s="8">
        <v>22635.964912280702</v>
      </c>
      <c r="L42" s="8">
        <v>23294.372294372293</v>
      </c>
      <c r="M42" s="8">
        <v>23491.452991452988</v>
      </c>
      <c r="N42" s="8">
        <v>22696.202531645569</v>
      </c>
      <c r="O42" s="8">
        <v>23435.146443514644</v>
      </c>
      <c r="P42" s="8">
        <v>24008.298755186723</v>
      </c>
      <c r="Q42" s="8">
        <v>25304.526748971195</v>
      </c>
      <c r="R42" s="8">
        <v>27130.08130081301</v>
      </c>
      <c r="S42" s="8">
        <v>26672</v>
      </c>
      <c r="T42" s="8">
        <v>26422.924901185772</v>
      </c>
      <c r="U42" s="8">
        <v>26521.568627450979</v>
      </c>
      <c r="V42" s="8">
        <v>26155.03875968992</v>
      </c>
      <c r="W42" s="8">
        <v>24984.674329501915</v>
      </c>
      <c r="X42" s="8">
        <v>25022.727272727272</v>
      </c>
      <c r="Y42" s="8">
        <v>25733.082706766916</v>
      </c>
      <c r="Z42" s="8">
        <v>25666.666666666664</v>
      </c>
      <c r="AA42" s="8">
        <v>26695.167286245352</v>
      </c>
      <c r="AB42" s="8">
        <v>27797.047970479704</v>
      </c>
      <c r="AC42" s="8">
        <v>29229.927007299269</v>
      </c>
      <c r="AD42" s="8">
        <v>30097.472924187721</v>
      </c>
      <c r="AE42" s="8">
        <v>30950.177935943058</v>
      </c>
      <c r="AF42" s="8">
        <v>31712.280701754389</v>
      </c>
      <c r="AG42" s="8">
        <v>31427.083333333336</v>
      </c>
      <c r="AH42" s="8">
        <v>32072.664359861596</v>
      </c>
      <c r="AI42" s="8">
        <v>34071.672354948809</v>
      </c>
      <c r="AJ42" s="8">
        <v>36250</v>
      </c>
      <c r="AK42" s="8">
        <v>36828.947368421053</v>
      </c>
      <c r="AL42" s="8">
        <v>38000</v>
      </c>
      <c r="AM42" s="8">
        <v>37539.184952978059</v>
      </c>
    </row>
    <row r="43" spans="1:48">
      <c r="A43" s="19" t="s">
        <v>36</v>
      </c>
      <c r="B43" s="8">
        <v>7458.0255204835457</v>
      </c>
      <c r="C43" s="8">
        <v>7821.4285714285716</v>
      </c>
      <c r="D43" s="8">
        <v>8060.201757240482</v>
      </c>
      <c r="E43" s="8">
        <v>8266.3252240717029</v>
      </c>
      <c r="F43" s="8">
        <v>8588.2908404154859</v>
      </c>
      <c r="G43" s="8">
        <v>8570.3221809169754</v>
      </c>
      <c r="H43" s="8">
        <v>9149.4498777506124</v>
      </c>
      <c r="I43" s="8">
        <v>9682.5588412794204</v>
      </c>
      <c r="J43" s="8">
        <v>9820.0712589073646</v>
      </c>
      <c r="K43" s="8">
        <v>10024.40458688621</v>
      </c>
      <c r="L43" s="8">
        <v>10231.193726401394</v>
      </c>
      <c r="M43" s="8">
        <v>10353.735632183909</v>
      </c>
      <c r="N43" s="8">
        <v>10254.778887303852</v>
      </c>
      <c r="O43" s="8">
        <v>10628.50665911023</v>
      </c>
      <c r="P43" s="8">
        <v>10919.231855408078</v>
      </c>
      <c r="Q43" s="8">
        <v>10869.565217391304</v>
      </c>
      <c r="R43" s="8">
        <v>11373.13011572114</v>
      </c>
      <c r="S43" s="8">
        <v>12007.080147267063</v>
      </c>
      <c r="T43" s="8">
        <v>12781.196581196582</v>
      </c>
      <c r="U43" s="8">
        <v>13879.064460924132</v>
      </c>
      <c r="V43" s="8">
        <v>14066.647759500851</v>
      </c>
      <c r="W43" s="8">
        <v>14418.565400843881</v>
      </c>
      <c r="X43" s="8">
        <v>14728.035814213767</v>
      </c>
      <c r="Y43" s="8">
        <v>15523.703290574456</v>
      </c>
      <c r="Z43" s="8">
        <v>16948.347681199666</v>
      </c>
      <c r="AA43" s="8">
        <v>18192.498621070052</v>
      </c>
      <c r="AB43" s="8">
        <v>20089.593007375035</v>
      </c>
      <c r="AC43" s="8">
        <v>21490.164376178927</v>
      </c>
      <c r="AD43" s="8">
        <v>23525.993068515065</v>
      </c>
      <c r="AE43" s="8">
        <v>25416.315789473687</v>
      </c>
      <c r="AF43" s="8">
        <v>26464.887276496502</v>
      </c>
      <c r="AG43" s="8">
        <v>27698.166072338256</v>
      </c>
      <c r="AH43" s="8">
        <v>28441.994487597094</v>
      </c>
      <c r="AI43" s="8">
        <v>29250.554323725053</v>
      </c>
      <c r="AJ43" s="8">
        <v>30383.224873463485</v>
      </c>
      <c r="AK43" s="8">
        <v>31227.839172348929</v>
      </c>
      <c r="AL43" s="8">
        <v>32318.797337617627</v>
      </c>
      <c r="AM43" s="8">
        <v>30731.037587215847</v>
      </c>
    </row>
    <row r="44" spans="1:48">
      <c r="A44" s="19" t="s">
        <v>37</v>
      </c>
      <c r="B44" s="8">
        <v>9583.2007989052036</v>
      </c>
      <c r="C44" s="8">
        <v>9880.7671797135026</v>
      </c>
      <c r="D44" s="8">
        <v>10513.323957553288</v>
      </c>
      <c r="E44" s="8">
        <v>11019.125038558546</v>
      </c>
      <c r="F44" s="8">
        <v>10724.590104796089</v>
      </c>
      <c r="G44" s="8">
        <v>11431.637890807278</v>
      </c>
      <c r="H44" s="8">
        <v>11674.685014743991</v>
      </c>
      <c r="I44" s="8">
        <v>12010.043629240496</v>
      </c>
      <c r="J44" s="8">
        <v>12688.909407294293</v>
      </c>
      <c r="K44" s="8">
        <v>13097.157741786867</v>
      </c>
      <c r="L44" s="8">
        <v>13189.966377632278</v>
      </c>
      <c r="M44" s="8">
        <v>13236.559139784948</v>
      </c>
      <c r="N44" s="8">
        <v>13386.588642953115</v>
      </c>
      <c r="O44" s="8">
        <v>13815.242943245488</v>
      </c>
      <c r="P44" s="8">
        <v>14197.780644249287</v>
      </c>
      <c r="Q44" s="8">
        <v>14603.063820764719</v>
      </c>
      <c r="R44" s="8">
        <v>15067.594784636585</v>
      </c>
      <c r="S44" s="8">
        <v>15692.101220222854</v>
      </c>
      <c r="T44" s="8">
        <v>16211.497741389046</v>
      </c>
      <c r="U44" s="8">
        <v>16530.545319910434</v>
      </c>
      <c r="V44" s="8">
        <v>16767.225588276735</v>
      </c>
      <c r="W44" s="8">
        <v>16890.575206436959</v>
      </c>
      <c r="X44" s="8">
        <v>16730.240005630629</v>
      </c>
      <c r="Y44" s="8">
        <v>17086.958816389</v>
      </c>
      <c r="Z44" s="8">
        <v>17569.681936528043</v>
      </c>
      <c r="AA44" s="8">
        <v>17757.140344706295</v>
      </c>
      <c r="AB44" s="8">
        <v>18080.066795570398</v>
      </c>
      <c r="AC44" s="8">
        <v>18327.938566432953</v>
      </c>
      <c r="AD44" s="8">
        <v>18593.383231428772</v>
      </c>
      <c r="AE44" s="8">
        <v>19271.258473534475</v>
      </c>
      <c r="AF44" s="8">
        <v>19609.596854871266</v>
      </c>
      <c r="AG44" s="8">
        <v>19636.597442133072</v>
      </c>
      <c r="AH44" s="8">
        <v>19480.583282701155</v>
      </c>
      <c r="AI44" s="8">
        <v>19585.199828104858</v>
      </c>
      <c r="AJ44" s="8">
        <v>19568.345078232975</v>
      </c>
      <c r="AK44" s="8">
        <v>19853.279495096875</v>
      </c>
      <c r="AL44" s="8">
        <v>20016.69052631579</v>
      </c>
      <c r="AM44" s="8">
        <v>19638.598073101904</v>
      </c>
    </row>
    <row r="45" spans="1:48">
      <c r="A45" s="19" t="s">
        <v>38</v>
      </c>
      <c r="B45" s="8">
        <v>17786.549707602338</v>
      </c>
      <c r="C45" s="8">
        <v>18685.878962536026</v>
      </c>
      <c r="D45" s="8">
        <v>20008.547008547012</v>
      </c>
      <c r="E45" s="8">
        <v>20616.901408450703</v>
      </c>
      <c r="F45" s="8">
        <v>19047.353760445683</v>
      </c>
      <c r="G45" s="8">
        <v>19421.052631578947</v>
      </c>
      <c r="H45" s="8">
        <v>19671.270718232045</v>
      </c>
      <c r="I45" s="8">
        <v>20475.138121546963</v>
      </c>
      <c r="J45" s="8">
        <v>20895.316804407714</v>
      </c>
      <c r="K45" s="8">
        <v>21013.736263736264</v>
      </c>
      <c r="L45" s="8">
        <v>20841.095890410961</v>
      </c>
      <c r="M45" s="8">
        <v>21019.125683060109</v>
      </c>
      <c r="N45" s="8">
        <v>21647.540983606559</v>
      </c>
      <c r="O45" s="8">
        <v>22986.338797814209</v>
      </c>
      <c r="P45" s="8">
        <v>23564.032697547686</v>
      </c>
      <c r="Q45" s="8">
        <v>25847.826086956524</v>
      </c>
      <c r="R45" s="8">
        <v>26649.595687331537</v>
      </c>
      <c r="S45" s="8">
        <v>28673.796791443849</v>
      </c>
      <c r="T45" s="8">
        <v>31150.79365079365</v>
      </c>
      <c r="U45" s="8">
        <v>32463.350785340313</v>
      </c>
      <c r="V45" s="8">
        <v>34813.953488372092</v>
      </c>
      <c r="W45" s="8">
        <v>34994.897959183669</v>
      </c>
      <c r="X45" s="8">
        <v>35917.085427135673</v>
      </c>
      <c r="Y45" s="8">
        <v>36735.148514851484</v>
      </c>
      <c r="Z45" s="8">
        <v>36714.634146341465</v>
      </c>
      <c r="AA45" s="8">
        <v>36735.576923076922</v>
      </c>
      <c r="AB45" s="8">
        <v>38456.057007125899</v>
      </c>
      <c r="AC45" s="8">
        <v>40469.48356807512</v>
      </c>
      <c r="AD45" s="8">
        <v>43266.203703703701</v>
      </c>
      <c r="AE45" s="8">
        <v>46173.120728929382</v>
      </c>
      <c r="AF45" s="8">
        <v>47013.574660633487</v>
      </c>
      <c r="AG45" s="8">
        <v>48504.484304932732</v>
      </c>
      <c r="AH45" s="8">
        <v>48601.769911504423</v>
      </c>
      <c r="AI45" s="8">
        <v>50074.235807860263</v>
      </c>
      <c r="AJ45" s="8">
        <v>52000</v>
      </c>
      <c r="AK45" s="8">
        <v>53968.287526427062</v>
      </c>
      <c r="AL45" s="8">
        <v>56622.916666666672</v>
      </c>
      <c r="AM45" s="8">
        <v>55599.182004089984</v>
      </c>
    </row>
    <row r="46" spans="1:48">
      <c r="A46" s="19" t="s">
        <v>39</v>
      </c>
      <c r="B46" s="8">
        <v>13154.918902531454</v>
      </c>
      <c r="C46" s="8">
        <v>13347.036759189798</v>
      </c>
      <c r="D46" s="8">
        <v>14005.581187676737</v>
      </c>
      <c r="E46" s="8">
        <v>14488.444214723475</v>
      </c>
      <c r="F46" s="8">
        <v>14381.991215226939</v>
      </c>
      <c r="G46" s="8">
        <v>14946.9251433965</v>
      </c>
      <c r="H46" s="8">
        <v>15142.826212471131</v>
      </c>
      <c r="I46" s="8">
        <v>15403.544013200373</v>
      </c>
      <c r="J46" s="8">
        <v>15608.593415989739</v>
      </c>
      <c r="K46" s="8">
        <v>15986.217133163698</v>
      </c>
      <c r="L46" s="8">
        <v>15750.68435460097</v>
      </c>
      <c r="M46" s="8">
        <v>15484.62828395752</v>
      </c>
      <c r="N46" s="8">
        <v>15743.527282850779</v>
      </c>
      <c r="O46" s="8">
        <v>16163.69687304999</v>
      </c>
      <c r="P46" s="8">
        <v>16506.350082827168</v>
      </c>
      <c r="Q46" s="8">
        <v>16874.373584128509</v>
      </c>
      <c r="R46" s="8">
        <v>17086.470267321332</v>
      </c>
      <c r="S46" s="8">
        <v>17559.485094850948</v>
      </c>
      <c r="T46" s="8">
        <v>18229.422066549912</v>
      </c>
      <c r="U46" s="8">
        <v>18863.651568876699</v>
      </c>
      <c r="V46" s="8">
        <v>19168.63551898062</v>
      </c>
      <c r="W46" s="8">
        <v>19349.229350546699</v>
      </c>
      <c r="X46" s="8">
        <v>19454.153041203401</v>
      </c>
      <c r="Y46" s="8">
        <v>19911.709251674143</v>
      </c>
      <c r="Z46" s="8">
        <v>20427.296248382921</v>
      </c>
      <c r="AA46" s="8">
        <v>21033.298982352182</v>
      </c>
      <c r="AB46" s="8">
        <v>21819.375921061062</v>
      </c>
      <c r="AC46" s="8">
        <v>22536.840094249506</v>
      </c>
      <c r="AD46" s="8">
        <v>23434.372825605667</v>
      </c>
      <c r="AE46" s="8">
        <v>24185.089812837581</v>
      </c>
      <c r="AF46" s="8">
        <v>24464.875646699496</v>
      </c>
      <c r="AG46" s="8">
        <v>24325.880968600981</v>
      </c>
      <c r="AH46" s="8">
        <v>24293.164026382299</v>
      </c>
      <c r="AI46" s="8">
        <v>24755.591054313099</v>
      </c>
      <c r="AJ46" s="8">
        <v>25198.74977017834</v>
      </c>
      <c r="AK46" s="8">
        <v>26015.788507435285</v>
      </c>
      <c r="AL46" s="8">
        <v>26894.920014653802</v>
      </c>
      <c r="AM46" s="8">
        <v>27328.223844282238</v>
      </c>
    </row>
    <row r="47" spans="1:48">
      <c r="A47" s="19" t="s">
        <v>40</v>
      </c>
      <c r="B47" s="8">
        <v>15621.316935690495</v>
      </c>
      <c r="C47" s="8">
        <v>16318.332062039159</v>
      </c>
      <c r="D47" s="8">
        <v>16932.828282828283</v>
      </c>
      <c r="E47" s="8">
        <v>17469.259723964868</v>
      </c>
      <c r="F47" s="8">
        <v>18246.318941851761</v>
      </c>
      <c r="G47" s="8">
        <v>19212.121212121212</v>
      </c>
      <c r="H47" s="8">
        <v>19923.324264160277</v>
      </c>
      <c r="I47" s="8">
        <v>20609.756097560974</v>
      </c>
      <c r="J47" s="8">
        <v>21433.832555855632</v>
      </c>
      <c r="K47" s="8">
        <v>22327.949094468917</v>
      </c>
      <c r="L47" s="8">
        <v>22596.097560975613</v>
      </c>
      <c r="M47" s="8">
        <v>22541.919805589307</v>
      </c>
      <c r="N47" s="8">
        <v>23339.874031007752</v>
      </c>
      <c r="O47" s="8">
        <v>24643.719806763285</v>
      </c>
      <c r="P47" s="8">
        <v>25882.013002648691</v>
      </c>
      <c r="Q47" s="8">
        <v>26836.573074154068</v>
      </c>
      <c r="R47" s="8">
        <v>27183.663721041317</v>
      </c>
      <c r="S47" s="8">
        <v>26995.010691375624</v>
      </c>
      <c r="T47" s="8">
        <v>27148.095576058669</v>
      </c>
      <c r="U47" s="8">
        <v>27580.051874557888</v>
      </c>
      <c r="V47" s="8">
        <v>28296.105114969501</v>
      </c>
      <c r="W47" s="8">
        <v>29129.024731684556</v>
      </c>
      <c r="X47" s="8">
        <v>29760.204081632652</v>
      </c>
      <c r="Y47" s="8">
        <v>31083.237260779344</v>
      </c>
      <c r="Z47" s="8">
        <v>32228.545204222122</v>
      </c>
      <c r="AA47" s="8">
        <v>33694.362017804153</v>
      </c>
      <c r="AB47" s="8">
        <v>35317.820658342789</v>
      </c>
      <c r="AC47" s="8">
        <v>36044.449458483752</v>
      </c>
      <c r="AD47" s="8">
        <v>36527.341999103541</v>
      </c>
      <c r="AE47" s="8">
        <v>37472.277889111559</v>
      </c>
      <c r="AF47" s="8">
        <v>38031.686239751827</v>
      </c>
      <c r="AG47" s="8">
        <v>38381.802159065875</v>
      </c>
      <c r="AH47" s="8">
        <v>38550.054764512592</v>
      </c>
      <c r="AI47" s="8">
        <v>39812.894794162494</v>
      </c>
      <c r="AJ47" s="8">
        <v>40629.164863695369</v>
      </c>
      <c r="AK47" s="8">
        <v>41208.109847672175</v>
      </c>
      <c r="AL47" s="8">
        <v>41928.601784955375</v>
      </c>
      <c r="AM47" s="8">
        <v>42134.647651006715</v>
      </c>
    </row>
    <row r="48" spans="1:48">
      <c r="A48" s="19" t="s">
        <v>41</v>
      </c>
      <c r="B48" s="8">
        <v>2719.2378048780488</v>
      </c>
      <c r="C48" s="8">
        <v>2894.6779558512249</v>
      </c>
      <c r="D48" s="8">
        <v>3080.9984717269485</v>
      </c>
      <c r="E48" s="8">
        <v>3231.5751981241278</v>
      </c>
      <c r="F48" s="8">
        <v>3353.388983598848</v>
      </c>
      <c r="G48" s="8">
        <v>3402.4212793201791</v>
      </c>
      <c r="H48" s="8">
        <v>3434.0307798720387</v>
      </c>
      <c r="I48" s="8">
        <v>3529.1630962582121</v>
      </c>
      <c r="J48" s="8">
        <v>3359.910369866122</v>
      </c>
      <c r="K48" s="8">
        <v>3344.4263308786326</v>
      </c>
      <c r="L48" s="8">
        <v>2983.5663751323045</v>
      </c>
      <c r="M48" s="8">
        <v>2815.8555773318244</v>
      </c>
      <c r="N48" s="8">
        <v>2944.2727844466931</v>
      </c>
      <c r="O48" s="8">
        <v>3082.0014086796336</v>
      </c>
      <c r="P48" s="8">
        <v>3226.2183157272261</v>
      </c>
      <c r="Q48" s="8">
        <v>3341.1736437419904</v>
      </c>
      <c r="R48" s="8">
        <v>3375.0265505522511</v>
      </c>
      <c r="S48" s="8">
        <v>3490.4917859595371</v>
      </c>
      <c r="T48" s="8">
        <v>3493.5551045153811</v>
      </c>
      <c r="U48" s="8">
        <v>3107.202019405222</v>
      </c>
      <c r="V48" s="8">
        <v>2883.3084048387518</v>
      </c>
      <c r="W48" s="8">
        <v>2950.8553165850208</v>
      </c>
      <c r="X48" s="8">
        <v>3057.3245074697161</v>
      </c>
      <c r="Y48" s="8">
        <v>3216.5376973753005</v>
      </c>
      <c r="Z48" s="8">
        <v>3438.0927498367082</v>
      </c>
      <c r="AA48" s="8">
        <v>3651.257541330408</v>
      </c>
      <c r="AB48" s="8">
        <v>3909.6939308471742</v>
      </c>
      <c r="AC48" s="8">
        <v>4105.4253846354777</v>
      </c>
      <c r="AD48" s="8">
        <v>4292.6051737653515</v>
      </c>
      <c r="AE48" s="8">
        <v>4477.1016311166877</v>
      </c>
      <c r="AF48" s="8">
        <v>4531.6723745784429</v>
      </c>
      <c r="AG48" s="8">
        <v>4599.3670223896215</v>
      </c>
      <c r="AH48" s="8">
        <v>4781.8562639088886</v>
      </c>
      <c r="AI48" s="8">
        <v>5039.4185437401784</v>
      </c>
      <c r="AJ48" s="8">
        <v>5224.2865752993894</v>
      </c>
      <c r="AK48" s="8">
        <v>5553.8392950802481</v>
      </c>
      <c r="AL48" s="8">
        <v>5933.177668170847</v>
      </c>
      <c r="AM48" s="8">
        <v>6230.0871025291217</v>
      </c>
    </row>
    <row r="49" spans="1:39">
      <c r="A49" s="19" t="s">
        <v>42</v>
      </c>
      <c r="B49" s="8">
        <v>4731.5536205316221</v>
      </c>
      <c r="C49" s="8">
        <v>5118.4165232358</v>
      </c>
      <c r="D49" s="8">
        <v>5689.7224133975678</v>
      </c>
      <c r="E49" s="8">
        <v>5675.3393665158374</v>
      </c>
      <c r="F49" s="8">
        <v>5226.4212589849703</v>
      </c>
      <c r="G49" s="8">
        <v>5430.2953318513819</v>
      </c>
      <c r="H49" s="8">
        <v>5673.8583996648513</v>
      </c>
      <c r="I49" s="8">
        <v>5770.8246995441368</v>
      </c>
      <c r="J49" s="8">
        <v>6031.2628126281261</v>
      </c>
      <c r="K49" s="8">
        <v>6240.2149665382276</v>
      </c>
      <c r="L49" s="8">
        <v>6287.0212124258578</v>
      </c>
      <c r="M49" s="8">
        <v>6382.0943245403687</v>
      </c>
      <c r="N49" s="8">
        <v>6343.2152805411861</v>
      </c>
      <c r="O49" s="8">
        <v>6202.9545905215145</v>
      </c>
      <c r="P49" s="8">
        <v>6363.1776810447163</v>
      </c>
      <c r="Q49" s="8">
        <v>6626.7313019390576</v>
      </c>
      <c r="R49" s="8">
        <v>7061.4408879199291</v>
      </c>
      <c r="S49" s="8">
        <v>7609.9354197714856</v>
      </c>
      <c r="T49" s="8">
        <v>8125.8845808830865</v>
      </c>
      <c r="U49" s="8">
        <v>8479.0395197598809</v>
      </c>
      <c r="V49" s="8">
        <v>8874.1848098725786</v>
      </c>
      <c r="W49" s="8">
        <v>8974.5056709826367</v>
      </c>
      <c r="X49" s="8">
        <v>8781.4317224784445</v>
      </c>
      <c r="Y49" s="8">
        <v>8844.8689737947589</v>
      </c>
      <c r="Z49" s="8">
        <v>9194.3170488534397</v>
      </c>
      <c r="AA49" s="8">
        <v>9500.3976933784052</v>
      </c>
      <c r="AB49" s="8">
        <v>9865.7219304330592</v>
      </c>
      <c r="AC49" s="8">
        <v>10305.657024385428</v>
      </c>
      <c r="AD49" s="8">
        <v>10656.311443177348</v>
      </c>
      <c r="AE49" s="8">
        <v>11016.037551339721</v>
      </c>
      <c r="AF49" s="8">
        <v>11164.966482075197</v>
      </c>
      <c r="AG49" s="8">
        <v>11168.402777777777</v>
      </c>
      <c r="AH49" s="8">
        <v>11000.95776266641</v>
      </c>
      <c r="AI49" s="8">
        <v>11102.837554751475</v>
      </c>
      <c r="AJ49" s="8">
        <v>11153.948241539483</v>
      </c>
      <c r="AK49" s="8">
        <v>11269.085411942555</v>
      </c>
      <c r="AL49" s="8">
        <v>11454.185520361991</v>
      </c>
      <c r="AM49" s="8">
        <v>11434.852193560535</v>
      </c>
    </row>
    <row r="50" spans="1:39">
      <c r="A50" s="19" t="s">
        <v>43</v>
      </c>
      <c r="B50" s="8">
        <v>2820.1359947356877</v>
      </c>
      <c r="C50" s="8">
        <v>2898.1723237597912</v>
      </c>
      <c r="D50" s="8">
        <v>2965.7401422107305</v>
      </c>
      <c r="E50" s="8">
        <v>3037.3054785759969</v>
      </c>
      <c r="F50" s="8">
        <v>3095.1677569107405</v>
      </c>
      <c r="G50" s="8">
        <v>3129.8809772395075</v>
      </c>
      <c r="H50" s="8">
        <v>3214.418508572609</v>
      </c>
      <c r="I50" s="8">
        <v>3231.6026165167618</v>
      </c>
      <c r="J50" s="8">
        <v>3227.3279352226718</v>
      </c>
      <c r="K50" s="8">
        <v>3276.0834670947029</v>
      </c>
      <c r="L50" s="8">
        <v>3235.3996412198521</v>
      </c>
      <c r="M50" s="8">
        <v>3264.6884272997036</v>
      </c>
      <c r="N50" s="8">
        <v>3280.0471327572664</v>
      </c>
      <c r="O50" s="8">
        <v>3324.4929797191885</v>
      </c>
      <c r="P50" s="8">
        <v>3418.0550174351029</v>
      </c>
      <c r="Q50" s="8">
        <v>3539.187367610245</v>
      </c>
      <c r="R50" s="8">
        <v>3604.7090352220521</v>
      </c>
      <c r="S50" s="8">
        <v>3655.8750714149683</v>
      </c>
      <c r="T50" s="8">
        <v>3682.5246398786962</v>
      </c>
      <c r="U50" s="8">
        <v>3569.2714231785581</v>
      </c>
      <c r="V50" s="8">
        <v>3057.7323490441036</v>
      </c>
      <c r="W50" s="8">
        <v>2839.2688901450911</v>
      </c>
      <c r="X50" s="8">
        <v>2883.5680751173709</v>
      </c>
      <c r="Y50" s="8">
        <v>3049.7475219749385</v>
      </c>
      <c r="Z50" s="8">
        <v>3218.3479395860522</v>
      </c>
      <c r="AA50" s="8">
        <v>3434.6855228879795</v>
      </c>
      <c r="AB50" s="8">
        <v>3578.8593720973436</v>
      </c>
      <c r="AC50" s="8">
        <v>3729.3637544054905</v>
      </c>
      <c r="AD50" s="8">
        <v>3727.0200148257968</v>
      </c>
      <c r="AE50" s="8">
        <v>3774.4862062581005</v>
      </c>
      <c r="AF50" s="8">
        <v>3921.3754646840148</v>
      </c>
      <c r="AG50" s="8">
        <v>4102.0635805911879</v>
      </c>
      <c r="AH50" s="8">
        <v>4298.0107826733602</v>
      </c>
      <c r="AI50" s="8">
        <v>4511.7056856187291</v>
      </c>
      <c r="AJ50" s="8">
        <v>4808.0564321514757</v>
      </c>
      <c r="AK50" s="8">
        <v>5212.9475051010941</v>
      </c>
      <c r="AL50" s="8">
        <v>5758.013711321104</v>
      </c>
      <c r="AM50" s="8">
        <v>6103.2186459489458</v>
      </c>
    </row>
    <row r="51" spans="1:39">
      <c r="A51" s="21" t="s">
        <v>44</v>
      </c>
      <c r="B51" s="8">
        <v>7044.1253567891881</v>
      </c>
      <c r="C51" s="8">
        <v>7550.2698957942448</v>
      </c>
      <c r="D51" s="8">
        <v>8065.4537132395008</v>
      </c>
      <c r="E51" s="8">
        <v>8436.8040798980019</v>
      </c>
      <c r="F51" s="8">
        <v>8394.7958725886037</v>
      </c>
      <c r="G51" s="8">
        <v>8570.2449567723343</v>
      </c>
      <c r="H51" s="8">
        <v>8709.2552026286958</v>
      </c>
      <c r="I51" s="8">
        <v>8737.8496195814041</v>
      </c>
      <c r="J51" s="8">
        <v>8663.8310433662518</v>
      </c>
      <c r="K51" s="8">
        <v>8760.2208771370933</v>
      </c>
      <c r="L51" s="8">
        <v>8695.065963060686</v>
      </c>
      <c r="M51" s="8">
        <v>8756.3247952970814</v>
      </c>
      <c r="N51" s="8">
        <v>8869.6549382232315</v>
      </c>
      <c r="O51" s="8">
        <v>8991.0770031217489</v>
      </c>
      <c r="P51" s="8">
        <v>9165.9323000362856</v>
      </c>
      <c r="Q51" s="8">
        <v>9435.5151295899122</v>
      </c>
      <c r="R51" s="8">
        <v>9934.2698801391925</v>
      </c>
      <c r="S51" s="8">
        <v>10417.541152263373</v>
      </c>
      <c r="T51" s="8">
        <v>10899.371069182391</v>
      </c>
      <c r="U51" s="8">
        <v>11294.407135899932</v>
      </c>
      <c r="V51" s="8">
        <v>11561.227100603826</v>
      </c>
      <c r="W51" s="8">
        <v>11641.531589023612</v>
      </c>
      <c r="X51" s="8">
        <v>11496.217620539466</v>
      </c>
      <c r="Y51" s="8">
        <v>11749.256311815107</v>
      </c>
      <c r="Z51" s="8">
        <v>12055.778409667921</v>
      </c>
      <c r="AA51" s="8">
        <v>12318.70108158768</v>
      </c>
      <c r="AB51" s="8">
        <v>12761.640098021879</v>
      </c>
      <c r="AC51" s="8">
        <v>13285.207189970293</v>
      </c>
      <c r="AD51" s="8">
        <v>13844.265785057731</v>
      </c>
      <c r="AE51" s="8">
        <v>14421.642161732563</v>
      </c>
      <c r="AF51" s="8">
        <v>14779.990668205595</v>
      </c>
      <c r="AG51" s="8">
        <v>14961.804715108679</v>
      </c>
      <c r="AH51" s="8">
        <v>15171.33674562552</v>
      </c>
      <c r="AI51" s="8">
        <v>15414.831818607701</v>
      </c>
      <c r="AJ51" s="8">
        <v>15712.152633761923</v>
      </c>
      <c r="AK51" s="8">
        <v>16095.080330398476</v>
      </c>
      <c r="AL51" s="8">
        <v>16369.211570174264</v>
      </c>
      <c r="AM51" s="8">
        <v>16249.270721382667</v>
      </c>
    </row>
    <row r="52" spans="1:39">
      <c r="A52" s="19" t="s">
        <v>45</v>
      </c>
      <c r="B52" s="8">
        <v>16650.901457149914</v>
      </c>
      <c r="C52" s="8">
        <v>16981.654764836247</v>
      </c>
      <c r="D52" s="8">
        <v>17622.956863708983</v>
      </c>
      <c r="E52" s="8">
        <v>18133.07192745987</v>
      </c>
      <c r="F52" s="8">
        <v>18525.634765625</v>
      </c>
      <c r="G52" s="8">
        <v>18653.247385064464</v>
      </c>
      <c r="H52" s="8">
        <v>18290.995030905346</v>
      </c>
      <c r="I52" s="8">
        <v>18557.462235649546</v>
      </c>
      <c r="J52" s="8">
        <v>19225.946467325775</v>
      </c>
      <c r="K52" s="8">
        <v>19515.042117930203</v>
      </c>
      <c r="L52" s="8">
        <v>19452.163461538461</v>
      </c>
      <c r="M52" s="8">
        <v>19672.432432432433</v>
      </c>
      <c r="N52" s="8">
        <v>20018.849801896984</v>
      </c>
      <c r="O52" s="8">
        <v>20853.904282115869</v>
      </c>
      <c r="P52" s="8">
        <v>21277.365269461079</v>
      </c>
      <c r="Q52" s="8">
        <v>21833.811230585427</v>
      </c>
      <c r="R52" s="8">
        <v>22513.336508692548</v>
      </c>
      <c r="S52" s="8">
        <v>23009.483167377904</v>
      </c>
      <c r="T52" s="8">
        <v>23490.286117979511</v>
      </c>
      <c r="U52" s="8">
        <v>23544.689800210308</v>
      </c>
      <c r="V52" s="8">
        <v>23123.941046768014</v>
      </c>
      <c r="W52" s="8">
        <v>22711.236732810339</v>
      </c>
      <c r="X52" s="8">
        <v>22113.774515426081</v>
      </c>
      <c r="Y52" s="8">
        <v>22824.279694795579</v>
      </c>
      <c r="Z52" s="8">
        <v>23607.454401268835</v>
      </c>
      <c r="AA52" s="8">
        <v>23914.263092410361</v>
      </c>
      <c r="AB52" s="8">
        <v>24488.808501017407</v>
      </c>
      <c r="AC52" s="8">
        <v>25408.428426166531</v>
      </c>
      <c r="AD52" s="8">
        <v>26554.978550462856</v>
      </c>
      <c r="AE52" s="8">
        <v>27679.440937781786</v>
      </c>
      <c r="AF52" s="8">
        <v>27896.695143884888</v>
      </c>
      <c r="AG52" s="8">
        <v>28476.526610644254</v>
      </c>
      <c r="AH52" s="8">
        <v>28914.266577361017</v>
      </c>
      <c r="AI52" s="8">
        <v>29987.102512786303</v>
      </c>
      <c r="AJ52" s="8">
        <v>30852.713178294576</v>
      </c>
      <c r="AK52" s="8">
        <v>31982.160555004957</v>
      </c>
      <c r="AL52" s="8">
        <v>32555.749890686489</v>
      </c>
      <c r="AM52" s="8">
        <v>32105.661192739844</v>
      </c>
    </row>
    <row r="53" spans="1:39">
      <c r="A53" s="19" t="s">
        <v>46</v>
      </c>
      <c r="B53" s="8">
        <v>26193.599243260287</v>
      </c>
      <c r="C53" s="8">
        <v>26786.908295578818</v>
      </c>
      <c r="D53" s="8">
        <v>27432.541530818198</v>
      </c>
      <c r="E53" s="8">
        <v>27749.84520123839</v>
      </c>
      <c r="F53" s="8">
        <v>25953.77888819488</v>
      </c>
      <c r="G53" s="8">
        <v>25876.361913784935</v>
      </c>
      <c r="H53" s="8">
        <v>26577.422419252693</v>
      </c>
      <c r="I53" s="8">
        <v>26614.400757934629</v>
      </c>
      <c r="J53" s="8">
        <v>27200.283419933869</v>
      </c>
      <c r="K53" s="8">
        <v>28300.548159749414</v>
      </c>
      <c r="L53" s="8">
        <v>28604.137501944315</v>
      </c>
      <c r="M53" s="8">
        <v>28058.295964125562</v>
      </c>
      <c r="N53" s="8">
        <v>28141.931502622647</v>
      </c>
      <c r="O53" s="8">
        <v>28919.754035357419</v>
      </c>
      <c r="P53" s="8">
        <v>29807.439155058932</v>
      </c>
      <c r="Q53" s="8">
        <v>30132.055378061767</v>
      </c>
      <c r="R53" s="8">
        <v>30298.232361383896</v>
      </c>
      <c r="S53" s="8">
        <v>31043.015587529979</v>
      </c>
      <c r="T53" s="8">
        <v>32209.430313847985</v>
      </c>
      <c r="U53" s="8">
        <v>33073.572689817542</v>
      </c>
      <c r="V53" s="8">
        <v>32360.610465116279</v>
      </c>
      <c r="W53" s="8">
        <v>32099.092611263146</v>
      </c>
      <c r="X53" s="8">
        <v>31828.730862784378</v>
      </c>
      <c r="Y53" s="8">
        <v>31988.063095068923</v>
      </c>
      <c r="Z53" s="8">
        <v>31900.57901426352</v>
      </c>
      <c r="AA53" s="8">
        <v>31992.540464461646</v>
      </c>
      <c r="AB53" s="8">
        <v>32619.991564740612</v>
      </c>
      <c r="AC53" s="8">
        <v>33391.475042063939</v>
      </c>
      <c r="AD53" s="8">
        <v>33664.015627180132</v>
      </c>
      <c r="AE53" s="8">
        <v>34666.80538216119</v>
      </c>
      <c r="AF53" s="8">
        <v>34700.343170899105</v>
      </c>
      <c r="AG53" s="8">
        <v>34578.782513958875</v>
      </c>
      <c r="AH53" s="8">
        <v>34221.471978392976</v>
      </c>
      <c r="AI53" s="8">
        <v>34857.526160450761</v>
      </c>
      <c r="AJ53" s="8">
        <v>35553.79282762298</v>
      </c>
      <c r="AK53" s="8">
        <v>36566.684308017997</v>
      </c>
      <c r="AL53" s="8">
        <v>37581.703635647726</v>
      </c>
      <c r="AM53" s="8">
        <v>37799.221789883268</v>
      </c>
    </row>
    <row r="54" spans="1:39">
      <c r="A54" s="19" t="s">
        <v>47</v>
      </c>
      <c r="B54" s="8">
        <v>2189.893690459754</v>
      </c>
      <c r="C54" s="8">
        <v>2294.4091349779169</v>
      </c>
      <c r="D54" s="8">
        <v>2310.7533095188064</v>
      </c>
      <c r="E54" s="8">
        <v>2379.7520237729273</v>
      </c>
      <c r="F54" s="8">
        <v>2484.1558960027942</v>
      </c>
      <c r="G54" s="8">
        <v>2687.938408896493</v>
      </c>
      <c r="H54" s="8">
        <v>2722.7063780884887</v>
      </c>
      <c r="I54" s="8">
        <v>2707.1294559099438</v>
      </c>
      <c r="J54" s="8">
        <v>2635.240064323455</v>
      </c>
      <c r="K54" s="8">
        <v>2518.2501462712094</v>
      </c>
      <c r="L54" s="8">
        <v>2576.6139657444005</v>
      </c>
      <c r="M54" s="8">
        <v>2602.8101439342013</v>
      </c>
      <c r="N54" s="8">
        <v>2665.0091927126859</v>
      </c>
      <c r="O54" s="8">
        <v>2773.9963317709394</v>
      </c>
      <c r="P54" s="8">
        <v>2820.5979406035067</v>
      </c>
      <c r="Q54" s="8">
        <v>2949.6503496503497</v>
      </c>
      <c r="R54" s="8">
        <v>3174.5083062822227</v>
      </c>
      <c r="S54" s="8">
        <v>3187.1667793046481</v>
      </c>
      <c r="T54" s="8">
        <v>3140.7034248597579</v>
      </c>
      <c r="U54" s="8">
        <v>3373.6211901306242</v>
      </c>
      <c r="V54" s="8">
        <v>3348.086700561948</v>
      </c>
      <c r="W54" s="8">
        <v>3490.4713438388376</v>
      </c>
      <c r="X54" s="8">
        <v>3710.8075906963895</v>
      </c>
      <c r="Y54" s="8">
        <v>3453.2692013528899</v>
      </c>
      <c r="Z54" s="8">
        <v>3644.671664770065</v>
      </c>
      <c r="AA54" s="8">
        <v>3841.1761797234262</v>
      </c>
      <c r="AB54" s="8">
        <v>4069.2734890065281</v>
      </c>
      <c r="AC54" s="8">
        <v>4135.8542520491801</v>
      </c>
      <c r="AD54" s="8">
        <v>3939.7784300729099</v>
      </c>
      <c r="AE54" s="8">
        <v>4148.2127017227158</v>
      </c>
      <c r="AF54" s="8">
        <v>3859.2615337376214</v>
      </c>
      <c r="AG54" s="8">
        <v>4042.8880910178914</v>
      </c>
      <c r="AH54" s="8">
        <v>4200.7686211176406</v>
      </c>
      <c r="AI54" s="8">
        <v>4535.6837039005522</v>
      </c>
      <c r="AJ54" s="8">
        <v>4855.9534571753529</v>
      </c>
      <c r="AK54" s="8">
        <v>5127.9728036185015</v>
      </c>
      <c r="AL54" s="8">
        <v>5303.5897289911181</v>
      </c>
      <c r="AM54" s="8">
        <v>5289.255616989547</v>
      </c>
    </row>
    <row r="55" spans="1:39">
      <c r="A55" s="19" t="s">
        <v>48</v>
      </c>
      <c r="B55" s="8">
        <v>13257.974538692606</v>
      </c>
      <c r="C55" s="8">
        <v>13689.44863361677</v>
      </c>
      <c r="D55" s="8">
        <v>14632.356864628355</v>
      </c>
      <c r="E55" s="8">
        <v>14430.027028949427</v>
      </c>
      <c r="F55" s="8">
        <v>14342.154874968875</v>
      </c>
      <c r="G55" s="8">
        <v>14723.993169204497</v>
      </c>
      <c r="H55" s="8">
        <v>15083.520199323724</v>
      </c>
      <c r="I55" s="8">
        <v>15575.759193990531</v>
      </c>
      <c r="J55" s="8">
        <v>15976.760312944523</v>
      </c>
      <c r="K55" s="8">
        <v>15618.302858157287</v>
      </c>
      <c r="L55" s="8">
        <v>15404.350834856363</v>
      </c>
      <c r="M55" s="8">
        <v>15745.127995594323</v>
      </c>
      <c r="N55" s="8">
        <v>16308.491370125719</v>
      </c>
      <c r="O55" s="8">
        <v>16716.410501870268</v>
      </c>
      <c r="P55" s="8">
        <v>17273.773738373944</v>
      </c>
      <c r="Q55" s="8">
        <v>17925.675675675677</v>
      </c>
      <c r="R55" s="8">
        <v>18703.876487571299</v>
      </c>
      <c r="S55" s="8">
        <v>19606.419987349778</v>
      </c>
      <c r="T55" s="8">
        <v>19997.494568645314</v>
      </c>
      <c r="U55" s="8">
        <v>20096.63329664378</v>
      </c>
      <c r="V55" s="8">
        <v>19747.123034871776</v>
      </c>
      <c r="W55" s="8">
        <v>19725.935573500043</v>
      </c>
      <c r="X55" s="8">
        <v>20119.225837751674</v>
      </c>
      <c r="Y55" s="8">
        <v>20926.687636099683</v>
      </c>
      <c r="Z55" s="8">
        <v>21504.868591124516</v>
      </c>
      <c r="AA55" s="8">
        <v>22072.484698438897</v>
      </c>
      <c r="AB55" s="8">
        <v>22743.869396714341</v>
      </c>
      <c r="AC55" s="8">
        <v>23499.290294997863</v>
      </c>
      <c r="AD55" s="8">
        <v>24228.716515574946</v>
      </c>
      <c r="AE55" s="8">
        <v>25091.040315185273</v>
      </c>
      <c r="AF55" s="8">
        <v>25609.899683656724</v>
      </c>
      <c r="AG55" s="8">
        <v>26054.380257235811</v>
      </c>
      <c r="AH55" s="8">
        <v>26680.793189717413</v>
      </c>
      <c r="AI55" s="8">
        <v>27335.477726163823</v>
      </c>
      <c r="AJ55" s="8">
        <v>27747.767190145754</v>
      </c>
      <c r="AK55" s="8">
        <v>28374.948421278492</v>
      </c>
      <c r="AL55" s="8">
        <v>28915.932759327592</v>
      </c>
      <c r="AM55" s="8">
        <v>28896.642216788914</v>
      </c>
    </row>
    <row r="56" spans="1:39">
      <c r="A56" s="20" t="s">
        <v>49</v>
      </c>
      <c r="B56" s="8">
        <v>9676.9632223386925</v>
      </c>
      <c r="C56" s="8">
        <v>10045.193750747068</v>
      </c>
      <c r="D56" s="8">
        <v>10574.536072505427</v>
      </c>
      <c r="E56" s="8">
        <v>10759.65207974919</v>
      </c>
      <c r="F56" s="8">
        <v>10645.47920237811</v>
      </c>
      <c r="G56" s="8">
        <v>11048.216174217081</v>
      </c>
      <c r="H56" s="8">
        <v>11297.637497799777</v>
      </c>
      <c r="I56" s="8">
        <v>11567.011607872942</v>
      </c>
      <c r="J56" s="8">
        <v>11891.518318825931</v>
      </c>
      <c r="K56" s="8">
        <v>11991.933032774428</v>
      </c>
      <c r="L56" s="8">
        <v>11938.20451139183</v>
      </c>
      <c r="M56" s="8">
        <v>11987.393263732338</v>
      </c>
      <c r="N56" s="8">
        <v>12163.786898545901</v>
      </c>
      <c r="O56" s="8">
        <v>12443.289273899705</v>
      </c>
      <c r="P56" s="8">
        <v>12723.283591939089</v>
      </c>
      <c r="Q56" s="8">
        <v>13038.568844782314</v>
      </c>
      <c r="R56" s="8">
        <v>13363.479829284603</v>
      </c>
      <c r="S56" s="8">
        <v>13835.354795638608</v>
      </c>
      <c r="T56" s="8">
        <v>14237.156911785851</v>
      </c>
      <c r="U56" s="8">
        <v>14548.977585845729</v>
      </c>
      <c r="V56" s="8">
        <v>14666.137103979934</v>
      </c>
      <c r="W56" s="8">
        <v>14769.080710563807</v>
      </c>
      <c r="X56" s="8">
        <v>14710.624715002281</v>
      </c>
      <c r="Y56" s="8">
        <v>15043.839002930235</v>
      </c>
      <c r="Z56" s="8">
        <v>15402.057496627214</v>
      </c>
      <c r="AA56" s="8">
        <v>15663.467962344366</v>
      </c>
      <c r="AB56" s="8">
        <v>16070.751494282493</v>
      </c>
      <c r="AC56" s="8">
        <v>16498.312286360746</v>
      </c>
      <c r="AD56" s="8">
        <v>16899.124600527524</v>
      </c>
      <c r="AE56" s="8">
        <v>17489.591653258325</v>
      </c>
      <c r="AF56" s="8">
        <v>17697.429193397908</v>
      </c>
      <c r="AG56" s="8">
        <v>17831.592913596272</v>
      </c>
      <c r="AH56" s="8">
        <v>17964.59599275827</v>
      </c>
      <c r="AI56" s="8">
        <v>18333.951944475877</v>
      </c>
      <c r="AJ56" s="8">
        <v>18612.2430235871</v>
      </c>
      <c r="AK56" s="8">
        <v>19103.122757643814</v>
      </c>
      <c r="AL56" s="8">
        <v>19529.64722662147</v>
      </c>
      <c r="AM56" s="8">
        <v>19551.818139984356</v>
      </c>
    </row>
    <row r="57" spans="1:39">
      <c r="A57" s="19" t="s">
        <v>50</v>
      </c>
      <c r="B57" s="8">
        <v>1235.6346180996752</v>
      </c>
      <c r="C57" s="8">
        <v>1527.6350934867473</v>
      </c>
      <c r="D57" s="8">
        <v>1538.3337762423598</v>
      </c>
      <c r="E57" s="8">
        <v>1603.3883019840248</v>
      </c>
      <c r="F57" s="8">
        <v>1632.2886752403545</v>
      </c>
      <c r="G57" s="8">
        <v>1714.0869775600313</v>
      </c>
      <c r="H57" s="8">
        <v>1747.7150222638854</v>
      </c>
      <c r="I57" s="8">
        <v>1848.3971631205675</v>
      </c>
      <c r="J57" s="8">
        <v>1923.3177698434497</v>
      </c>
      <c r="K57" s="8">
        <v>1876.0831428419542</v>
      </c>
      <c r="L57" s="8">
        <v>1869.5674535822659</v>
      </c>
      <c r="M57" s="8">
        <v>1924.562101910828</v>
      </c>
      <c r="N57" s="8">
        <v>1963.2537083413602</v>
      </c>
      <c r="O57" s="8">
        <v>2008.4915784071293</v>
      </c>
      <c r="P57" s="8">
        <v>2020.1837353486897</v>
      </c>
      <c r="Q57" s="8">
        <v>1970.065934065934</v>
      </c>
      <c r="R57" s="8">
        <v>1902.5735294117646</v>
      </c>
      <c r="S57" s="8">
        <v>1833.922996878252</v>
      </c>
      <c r="T57" s="8">
        <v>1865.7067531940781</v>
      </c>
      <c r="U57" s="8">
        <v>1833.9200253134516</v>
      </c>
      <c r="V57" s="8">
        <v>1768.0135849639148</v>
      </c>
      <c r="W57" s="8">
        <v>1757.4238769972867</v>
      </c>
      <c r="X57" s="8">
        <v>1681.8684152361304</v>
      </c>
      <c r="Y57" s="8">
        <v>1631.8617903772633</v>
      </c>
      <c r="Z57" s="8">
        <v>1661.5602335043338</v>
      </c>
      <c r="AA57" s="8">
        <v>1699.9304589707926</v>
      </c>
      <c r="AB57" s="8">
        <v>1691.7784775465498</v>
      </c>
      <c r="AC57" s="8">
        <v>1752.2768670309654</v>
      </c>
      <c r="AD57" s="8">
        <v>1782.7547220005322</v>
      </c>
      <c r="AE57" s="8">
        <v>1796.0401232544418</v>
      </c>
      <c r="AF57" s="8">
        <v>1816.0819280222265</v>
      </c>
      <c r="AG57" s="8">
        <v>1873.5913923728274</v>
      </c>
      <c r="AH57" s="8">
        <v>1973.2789713031204</v>
      </c>
      <c r="AI57" s="8">
        <v>2045.047271828462</v>
      </c>
      <c r="AJ57" s="8">
        <v>2117.3981859134351</v>
      </c>
      <c r="AK57" s="8">
        <v>2127.5523972294686</v>
      </c>
      <c r="AL57" s="8">
        <v>2158.8928603078011</v>
      </c>
      <c r="AM57" s="8">
        <v>2190.7339502939294</v>
      </c>
    </row>
    <row r="58" spans="1:39">
      <c r="A58" s="19" t="s">
        <v>51</v>
      </c>
      <c r="B58" s="8">
        <v>1073.5554482536616</v>
      </c>
      <c r="C58" s="8">
        <v>1065.9842519685039</v>
      </c>
      <c r="D58" s="8">
        <v>1113.4893748075147</v>
      </c>
      <c r="E58" s="8">
        <v>1033.0876823582494</v>
      </c>
      <c r="F58" s="8">
        <v>987.38077769625818</v>
      </c>
      <c r="G58" s="8">
        <v>863.7013729977117</v>
      </c>
      <c r="H58" s="8">
        <v>860.58495821727024</v>
      </c>
      <c r="I58" s="8">
        <v>872.81592848435594</v>
      </c>
      <c r="J58" s="8">
        <v>866.43880636256074</v>
      </c>
      <c r="K58" s="8">
        <v>859.30735930735932</v>
      </c>
      <c r="L58" s="8">
        <v>776.20570866141736</v>
      </c>
      <c r="M58" s="8">
        <v>748.75385710894852</v>
      </c>
      <c r="N58" s="8">
        <v>753.004463774751</v>
      </c>
      <c r="O58" s="8">
        <v>770.73656270736569</v>
      </c>
      <c r="P58" s="8">
        <v>773.65770013932058</v>
      </c>
      <c r="Q58" s="8">
        <v>773.18191289852041</v>
      </c>
      <c r="R58" s="8">
        <v>813.05848903330616</v>
      </c>
      <c r="S58" s="8">
        <v>837.64239722634966</v>
      </c>
      <c r="T58" s="8">
        <v>819.32245922208278</v>
      </c>
      <c r="U58" s="8">
        <v>793.92177094081239</v>
      </c>
      <c r="V58" s="8">
        <v>759.97455239480144</v>
      </c>
      <c r="W58" s="8">
        <v>684.15502240970216</v>
      </c>
      <c r="X58" s="8">
        <v>497.87667742483444</v>
      </c>
      <c r="Y58" s="8">
        <v>498.76705572908105</v>
      </c>
      <c r="Z58" s="8">
        <v>534.25313023367096</v>
      </c>
      <c r="AA58" s="8">
        <v>577.97951582867779</v>
      </c>
      <c r="AB58" s="8">
        <v>607.98850139950082</v>
      </c>
      <c r="AC58" s="8">
        <v>633.64582564405396</v>
      </c>
      <c r="AD58" s="8">
        <v>637.73747841105353</v>
      </c>
      <c r="AE58" s="8">
        <v>639.28571428571433</v>
      </c>
      <c r="AF58" s="8">
        <v>640.36996735582147</v>
      </c>
      <c r="AG58" s="8">
        <v>710.8942231601161</v>
      </c>
      <c r="AH58" s="8">
        <v>711.76583370614173</v>
      </c>
      <c r="AI58" s="8">
        <v>767.46203904555307</v>
      </c>
      <c r="AJ58" s="8">
        <v>898.72427488265748</v>
      </c>
      <c r="AK58" s="8">
        <v>1036.1636140207152</v>
      </c>
      <c r="AL58" s="8">
        <v>1213.2156080888635</v>
      </c>
      <c r="AM58" s="8">
        <v>1356.7504577992343</v>
      </c>
    </row>
    <row r="59" spans="1:39">
      <c r="A59" s="19" t="s">
        <v>52</v>
      </c>
      <c r="B59" s="8">
        <v>290.42553191489361</v>
      </c>
      <c r="C59" s="8">
        <v>302.04364392102531</v>
      </c>
      <c r="D59" s="8">
        <v>305.61189993238673</v>
      </c>
      <c r="E59" s="8">
        <v>308.14912570108874</v>
      </c>
      <c r="F59" s="8">
        <v>285.94403345127051</v>
      </c>
      <c r="G59" s="8">
        <v>281.10310247571294</v>
      </c>
      <c r="H59" s="8">
        <v>287.15288373512357</v>
      </c>
      <c r="I59" s="8">
        <v>283.04128304128307</v>
      </c>
      <c r="J59" s="8">
        <v>293.26784166425887</v>
      </c>
      <c r="K59" s="8">
        <v>304.49438202247188</v>
      </c>
      <c r="L59" s="8">
        <v>325.32751091703057</v>
      </c>
      <c r="M59" s="8">
        <v>323.085078187119</v>
      </c>
      <c r="N59" s="8">
        <v>300.05146680391147</v>
      </c>
      <c r="O59" s="8">
        <v>314.34282858570714</v>
      </c>
      <c r="P59" s="8">
        <v>328.23871906841339</v>
      </c>
      <c r="Q59" s="8">
        <v>325.63619227144204</v>
      </c>
      <c r="R59" s="8">
        <v>311.8131868131868</v>
      </c>
      <c r="S59" s="8">
        <v>312.95843520782398</v>
      </c>
      <c r="T59" s="8">
        <v>294.7640594699418</v>
      </c>
      <c r="U59" s="8">
        <v>294.47340980187698</v>
      </c>
      <c r="V59" s="8">
        <v>297.68378650553876</v>
      </c>
      <c r="W59" s="8">
        <v>298.6987764614488</v>
      </c>
      <c r="X59" s="8">
        <v>298.07152218685638</v>
      </c>
      <c r="Y59" s="8">
        <v>300.14456089627754</v>
      </c>
      <c r="Z59" s="8">
        <v>303.68687751179453</v>
      </c>
      <c r="AA59" s="8">
        <v>310.53166271588219</v>
      </c>
      <c r="AB59" s="8">
        <v>319.96713229252259</v>
      </c>
      <c r="AC59" s="8">
        <v>324.92818384934566</v>
      </c>
      <c r="AD59" s="8">
        <v>330.13168086754456</v>
      </c>
      <c r="AE59" s="8">
        <v>338.63943535065329</v>
      </c>
      <c r="AF59" s="8">
        <v>344.23608082570144</v>
      </c>
      <c r="AG59" s="8">
        <v>347.81386194292139</v>
      </c>
      <c r="AH59" s="8">
        <v>349.41560206577878</v>
      </c>
      <c r="AI59" s="8">
        <v>348.18026540533441</v>
      </c>
      <c r="AJ59" s="8">
        <v>346.5937976614133</v>
      </c>
      <c r="AK59" s="8">
        <v>348.30216535433073</v>
      </c>
      <c r="AL59" s="8">
        <v>352.79399499582985</v>
      </c>
      <c r="AM59" s="8">
        <v>359.27037635649964</v>
      </c>
    </row>
    <row r="60" spans="1:39">
      <c r="A60" s="19" t="s">
        <v>53</v>
      </c>
      <c r="B60" s="8" t="e">
        <v>#VALUE!</v>
      </c>
      <c r="C60" s="8" t="e">
        <v>#VALUE!</v>
      </c>
      <c r="D60" s="8" t="e">
        <v>#VALUE!</v>
      </c>
      <c r="E60" s="8" t="e">
        <v>#VALUE!</v>
      </c>
      <c r="F60" s="8" t="e">
        <v>#VALUE!</v>
      </c>
      <c r="G60" s="8" t="e">
        <v>#VALUE!</v>
      </c>
      <c r="H60" s="8" t="e">
        <v>#VALUE!</v>
      </c>
      <c r="I60" s="8" t="e">
        <v>#VALUE!</v>
      </c>
      <c r="J60" s="8" t="e">
        <v>#VALUE!</v>
      </c>
      <c r="K60" s="8" t="e">
        <v>#VALUE!</v>
      </c>
      <c r="L60" s="8">
        <v>1278.3705140640157</v>
      </c>
      <c r="M60" s="8">
        <v>1387.4296435272045</v>
      </c>
      <c r="N60" s="8">
        <v>1519.5277020890101</v>
      </c>
      <c r="O60" s="8">
        <v>1597.1855760773967</v>
      </c>
      <c r="P60" s="8">
        <v>1656.7291311754686</v>
      </c>
      <c r="Q60" s="8">
        <v>1737.4071015689512</v>
      </c>
      <c r="R60" s="8">
        <v>1884.7077662129702</v>
      </c>
      <c r="S60" s="8">
        <v>2183.2298136645963</v>
      </c>
      <c r="T60" s="8">
        <v>2395.6292388847023</v>
      </c>
      <c r="U60" s="8">
        <v>2483.5405998536944</v>
      </c>
      <c r="V60" s="8">
        <v>2590.909090909091</v>
      </c>
      <c r="W60" s="8">
        <v>2592.5414364640883</v>
      </c>
      <c r="X60" s="8">
        <v>2569.5097380792477</v>
      </c>
      <c r="Y60" s="8">
        <v>2594.8952879581152</v>
      </c>
      <c r="Z60" s="8">
        <v>2643.67816091954</v>
      </c>
      <c r="AA60" s="8">
        <v>2726.1384903306302</v>
      </c>
      <c r="AB60" s="8">
        <v>2938.9499389499392</v>
      </c>
      <c r="AC60" s="8">
        <v>3185.5176540993416</v>
      </c>
      <c r="AD60" s="8">
        <v>3355.0852439741329</v>
      </c>
      <c r="AE60" s="8">
        <v>3572.5853094274144</v>
      </c>
      <c r="AF60" s="8">
        <v>3707.3588134626357</v>
      </c>
      <c r="AG60" s="8">
        <v>3783.0985915492961</v>
      </c>
      <c r="AH60" s="8">
        <v>3976.0445682451254</v>
      </c>
      <c r="AI60" s="8">
        <v>4189.5316804407712</v>
      </c>
      <c r="AJ60" s="8">
        <v>4335.5119825708061</v>
      </c>
      <c r="AK60" s="8">
        <v>4411.1948331539288</v>
      </c>
      <c r="AL60" s="8">
        <v>4542.2647527910685</v>
      </c>
      <c r="AM60" s="8">
        <v>4439.8950131233596</v>
      </c>
    </row>
    <row r="61" spans="1:39">
      <c r="A61" s="19" t="s">
        <v>54</v>
      </c>
      <c r="B61" s="8">
        <v>497.22103463018379</v>
      </c>
      <c r="C61" s="8">
        <v>497.36257634647421</v>
      </c>
      <c r="D61" s="8">
        <v>510.1351351351351</v>
      </c>
      <c r="E61" s="8">
        <v>549.49388720914942</v>
      </c>
      <c r="F61" s="8">
        <v>594.24920127795531</v>
      </c>
      <c r="G61" s="8">
        <v>545.49968963376784</v>
      </c>
      <c r="H61" s="8">
        <v>602.3138105567607</v>
      </c>
      <c r="I61" s="8">
        <v>713.13296690445566</v>
      </c>
      <c r="J61" s="8">
        <v>733.77212891511579</v>
      </c>
      <c r="K61" s="8">
        <v>698.28155981493728</v>
      </c>
      <c r="L61" s="8">
        <v>793.88169857738797</v>
      </c>
      <c r="M61" s="8">
        <v>829.09090909090912</v>
      </c>
      <c r="N61" s="8">
        <v>860.53083055807849</v>
      </c>
      <c r="O61" s="8">
        <v>898.08917197452229</v>
      </c>
      <c r="P61" s="8">
        <v>941.89253447456008</v>
      </c>
      <c r="Q61" s="8">
        <v>975.4612546125461</v>
      </c>
      <c r="R61" s="8">
        <v>925.74035966717372</v>
      </c>
      <c r="S61" s="8">
        <v>827.52038868644809</v>
      </c>
      <c r="T61" s="8">
        <v>788.21548821548811</v>
      </c>
      <c r="U61" s="8">
        <v>718.44104910531905</v>
      </c>
      <c r="V61" s="8">
        <v>671.26984126984132</v>
      </c>
      <c r="W61" s="8">
        <v>632.16351716158886</v>
      </c>
      <c r="X61" s="8">
        <v>595.0791388492986</v>
      </c>
      <c r="Y61" s="8">
        <v>564.76343457943926</v>
      </c>
      <c r="Z61" s="8">
        <v>568.35965286669511</v>
      </c>
      <c r="AA61" s="8">
        <v>581.91149951449574</v>
      </c>
      <c r="AB61" s="8">
        <v>596.85934750236902</v>
      </c>
      <c r="AC61" s="8">
        <v>612.16126900198276</v>
      </c>
      <c r="AD61" s="8">
        <v>624.16887224840229</v>
      </c>
      <c r="AE61" s="8">
        <v>635.20585082907758</v>
      </c>
      <c r="AF61" s="8">
        <v>648.39901477832518</v>
      </c>
      <c r="AG61" s="8">
        <v>658.68767667047575</v>
      </c>
      <c r="AH61" s="8">
        <v>669.428286033257</v>
      </c>
      <c r="AI61" s="8">
        <v>678.67195128956291</v>
      </c>
      <c r="AJ61" s="8">
        <v>679.23574037651019</v>
      </c>
      <c r="AK61" s="8">
        <v>686.43741403026127</v>
      </c>
      <c r="AL61" s="8">
        <v>696.75713591971078</v>
      </c>
      <c r="AM61" s="8">
        <v>709.916393269129</v>
      </c>
    </row>
    <row r="62" spans="1:39">
      <c r="A62" s="19" t="s">
        <v>55</v>
      </c>
      <c r="B62" s="8">
        <v>737.07210487982525</v>
      </c>
      <c r="C62" s="8">
        <v>777.38515901060066</v>
      </c>
      <c r="D62" s="8">
        <v>816.18655692729772</v>
      </c>
      <c r="E62" s="8">
        <v>853.72340425531911</v>
      </c>
      <c r="F62" s="8">
        <v>891.6827852998066</v>
      </c>
      <c r="G62" s="8">
        <v>872.5</v>
      </c>
      <c r="H62" s="8">
        <v>769.83646274984858</v>
      </c>
      <c r="I62" s="8">
        <v>793.42723004694835</v>
      </c>
      <c r="J62" s="8">
        <v>844.22967595224566</v>
      </c>
      <c r="K62" s="8">
        <v>961.98347107438019</v>
      </c>
      <c r="L62" s="8">
        <v>1097.2222222222222</v>
      </c>
      <c r="M62" s="8">
        <v>1314.8627654065251</v>
      </c>
      <c r="N62" s="8">
        <v>1348.8955823293172</v>
      </c>
      <c r="O62" s="8">
        <v>1399.7078870496593</v>
      </c>
      <c r="P62" s="8">
        <v>1341.9933868682097</v>
      </c>
      <c r="Q62" s="8">
        <v>1213.2049518569463</v>
      </c>
      <c r="R62" s="8">
        <v>1180.3205699020482</v>
      </c>
      <c r="S62" s="8">
        <v>1166.9550173010382</v>
      </c>
      <c r="T62" s="8">
        <v>1163.5140815468685</v>
      </c>
      <c r="U62" s="8">
        <v>1143.0907604251838</v>
      </c>
      <c r="V62" s="8">
        <v>1137.9173290937997</v>
      </c>
      <c r="W62" s="8">
        <v>1135.2918438345573</v>
      </c>
      <c r="X62" s="8">
        <v>1094.4674444862626</v>
      </c>
      <c r="Y62" s="8">
        <v>1009.5518001469508</v>
      </c>
      <c r="Z62" s="8">
        <v>1027.3184759166068</v>
      </c>
      <c r="AA62" s="8">
        <v>1051.4991181657849</v>
      </c>
      <c r="AB62" s="8">
        <v>1027.7488727020466</v>
      </c>
      <c r="AC62" s="8">
        <v>1049.1803278688524</v>
      </c>
      <c r="AD62" s="8">
        <v>1004.7011417058428</v>
      </c>
      <c r="AE62" s="8">
        <v>1060.6060606060605</v>
      </c>
      <c r="AF62" s="8">
        <v>1077.0222365452787</v>
      </c>
      <c r="AG62" s="8">
        <v>1101.5723270440251</v>
      </c>
      <c r="AH62" s="8">
        <v>1092.6096289481754</v>
      </c>
      <c r="AI62" s="8">
        <v>1104.7590541753966</v>
      </c>
      <c r="AJ62" s="8">
        <v>1163.3011413520633</v>
      </c>
      <c r="AK62" s="8">
        <v>1211.4170969592656</v>
      </c>
      <c r="AL62" s="8">
        <v>1170.3745423824275</v>
      </c>
      <c r="AM62" s="8">
        <v>1213.8312586445365</v>
      </c>
    </row>
    <row r="63" spans="1:39">
      <c r="A63" s="19" t="s">
        <v>56</v>
      </c>
      <c r="B63" s="8">
        <v>335.87642460205331</v>
      </c>
      <c r="C63" s="8">
        <v>326.43268439813545</v>
      </c>
      <c r="D63" s="8">
        <v>342.54290655904919</v>
      </c>
      <c r="E63" s="8">
        <v>342.6973542697354</v>
      </c>
      <c r="F63" s="8">
        <v>315.6906906906907</v>
      </c>
      <c r="G63" s="8">
        <v>289.61086192265731</v>
      </c>
      <c r="H63" s="8">
        <v>282.6172027862566</v>
      </c>
      <c r="I63" s="8">
        <v>259.06696479326939</v>
      </c>
      <c r="J63" s="8">
        <v>252.12090051048514</v>
      </c>
      <c r="K63" s="8">
        <v>249.93765808129385</v>
      </c>
      <c r="L63" s="8">
        <v>248.38296842032443</v>
      </c>
      <c r="M63" s="8">
        <v>240.22045973921226</v>
      </c>
      <c r="N63" s="8">
        <v>236.76388934252213</v>
      </c>
      <c r="O63" s="8">
        <v>242.79548051288563</v>
      </c>
      <c r="P63" s="8">
        <v>236.90780753937676</v>
      </c>
      <c r="Q63" s="8">
        <v>240.87984438126588</v>
      </c>
      <c r="R63" s="8">
        <v>240.0790192318866</v>
      </c>
      <c r="S63" s="8">
        <v>233.93345166652577</v>
      </c>
      <c r="T63" s="8">
        <v>223.62247681396619</v>
      </c>
      <c r="U63" s="8">
        <v>201.86073480575615</v>
      </c>
      <c r="V63" s="8">
        <v>178.18311147241135</v>
      </c>
      <c r="W63" s="8">
        <v>153.47756997922014</v>
      </c>
      <c r="X63" s="8">
        <v>127.86290986983029</v>
      </c>
      <c r="Y63" s="8">
        <v>118.67412358477698</v>
      </c>
      <c r="Z63" s="8">
        <v>115.94874170140497</v>
      </c>
      <c r="AA63" s="8">
        <v>111.87082070136962</v>
      </c>
      <c r="AB63" s="8">
        <v>103.31986872002021</v>
      </c>
      <c r="AC63" s="8">
        <v>99.618517372925055</v>
      </c>
      <c r="AD63" s="8">
        <v>93.402265888482731</v>
      </c>
      <c r="AE63" s="8">
        <v>84.949397305135236</v>
      </c>
      <c r="AF63" s="8">
        <v>81.001614267045895</v>
      </c>
      <c r="AG63" s="8">
        <v>81.476362142069974</v>
      </c>
      <c r="AH63" s="8">
        <v>83.624830086089716</v>
      </c>
      <c r="AI63" s="8">
        <v>86.457711093151559</v>
      </c>
      <c r="AJ63" s="8">
        <v>90.362778978907414</v>
      </c>
      <c r="AK63" s="8">
        <v>92.424642173999075</v>
      </c>
      <c r="AL63" s="8">
        <v>95.450247600121799</v>
      </c>
      <c r="AM63" s="8">
        <v>98.512576902110425</v>
      </c>
    </row>
    <row r="64" spans="1:39">
      <c r="A64" s="19" t="s">
        <v>57</v>
      </c>
      <c r="B64" s="8">
        <v>923.31568376848634</v>
      </c>
      <c r="C64" s="8">
        <v>918.77287781070243</v>
      </c>
      <c r="D64" s="8">
        <v>928.50016627868308</v>
      </c>
      <c r="E64" s="8">
        <v>923.44270090347118</v>
      </c>
      <c r="F64" s="8">
        <v>952.42410512007245</v>
      </c>
      <c r="G64" s="8">
        <v>1024.6043165467627</v>
      </c>
      <c r="H64" s="8">
        <v>1047.2797039879404</v>
      </c>
      <c r="I64" s="8">
        <v>1106.6858187516323</v>
      </c>
      <c r="J64" s="8">
        <v>1080.2937881239886</v>
      </c>
      <c r="K64" s="8">
        <v>917.80496496020896</v>
      </c>
      <c r="L64" s="8">
        <v>907.21415607985477</v>
      </c>
      <c r="M64" s="8">
        <v>868.82046834345169</v>
      </c>
      <c r="N64" s="8">
        <v>799.02469391990041</v>
      </c>
      <c r="O64" s="8">
        <v>745.1272871917264</v>
      </c>
      <c r="P64" s="8">
        <v>747.51813669339435</v>
      </c>
      <c r="Q64" s="8">
        <v>742.24343675417663</v>
      </c>
      <c r="R64" s="8">
        <v>712.34087694483742</v>
      </c>
      <c r="S64" s="8">
        <v>694.53677661297183</v>
      </c>
      <c r="T64" s="8">
        <v>689.60131524866426</v>
      </c>
      <c r="U64" s="8">
        <v>658.04916732751792</v>
      </c>
      <c r="V64" s="8">
        <v>635.11859219586836</v>
      </c>
      <c r="W64" s="8">
        <v>611.55010708219481</v>
      </c>
      <c r="X64" s="8">
        <v>589.5149786019972</v>
      </c>
      <c r="Y64" s="8">
        <v>574.54144255964695</v>
      </c>
      <c r="Z64" s="8">
        <v>595.75462252186105</v>
      </c>
      <c r="AA64" s="8">
        <v>622.0080217363178</v>
      </c>
      <c r="AB64" s="8">
        <v>637.98405824389636</v>
      </c>
      <c r="AC64" s="8">
        <v>649.26829268292693</v>
      </c>
      <c r="AD64" s="8">
        <v>641.92036080944752</v>
      </c>
      <c r="AE64" s="8">
        <v>602.80076384468498</v>
      </c>
      <c r="AF64" s="8">
        <v>588.81727725011308</v>
      </c>
      <c r="AG64" s="8">
        <v>567.96680497925308</v>
      </c>
      <c r="AH64" s="8">
        <v>547.66162683574487</v>
      </c>
      <c r="AI64" s="8">
        <v>546.04809172461387</v>
      </c>
      <c r="AJ64" s="8">
        <v>541.28345024681732</v>
      </c>
      <c r="AK64" s="8">
        <v>533.11645402328065</v>
      </c>
      <c r="AL64" s="8">
        <v>530.13964120657954</v>
      </c>
      <c r="AM64" s="8">
        <v>529.55174590840659</v>
      </c>
    </row>
    <row r="65" spans="1:39">
      <c r="A65" s="19" t="s">
        <v>58</v>
      </c>
      <c r="B65" s="8">
        <v>578.34671653283476</v>
      </c>
      <c r="C65" s="8">
        <v>577.6043068640646</v>
      </c>
      <c r="D65" s="8">
        <v>569.52717305360818</v>
      </c>
      <c r="E65" s="8">
        <v>571.4359437491936</v>
      </c>
      <c r="F65" s="8">
        <v>609.25780954064498</v>
      </c>
      <c r="G65" s="8">
        <v>683.21063293640987</v>
      </c>
      <c r="H65" s="8">
        <v>753.90785436447538</v>
      </c>
      <c r="I65" s="8">
        <v>779.45169897754386</v>
      </c>
      <c r="J65" s="8">
        <v>807.22308064850904</v>
      </c>
      <c r="K65" s="8">
        <v>866.60815159903677</v>
      </c>
      <c r="L65" s="8">
        <v>876.83529024470545</v>
      </c>
      <c r="M65" s="8">
        <v>939.17228103946093</v>
      </c>
      <c r="N65" s="8">
        <v>982.5003645757381</v>
      </c>
      <c r="O65" s="8">
        <v>1014.847267859316</v>
      </c>
      <c r="P65" s="8">
        <v>1052.9464021320698</v>
      </c>
      <c r="Q65" s="8">
        <v>1051.5721337610203</v>
      </c>
      <c r="R65" s="8">
        <v>1048.807833171388</v>
      </c>
      <c r="S65" s="8">
        <v>1074.9713537403829</v>
      </c>
      <c r="T65" s="8">
        <v>1099.742976158823</v>
      </c>
      <c r="U65" s="8">
        <v>1134.8792939344121</v>
      </c>
      <c r="V65" s="8">
        <v>1122.0251193337622</v>
      </c>
      <c r="W65" s="8">
        <v>1147.9147666031008</v>
      </c>
      <c r="X65" s="8">
        <v>1158.4673681471484</v>
      </c>
      <c r="Y65" s="8">
        <v>1181.9066768798673</v>
      </c>
      <c r="Z65" s="8">
        <v>1213.6459018447181</v>
      </c>
      <c r="AA65" s="8">
        <v>1250.3380662609873</v>
      </c>
      <c r="AB65" s="8">
        <v>1294.3917482243301</v>
      </c>
      <c r="AC65" s="8">
        <v>1321.5337486866058</v>
      </c>
      <c r="AD65" s="8">
        <v>1376.0092942201568</v>
      </c>
      <c r="AE65" s="8">
        <v>1422.7349160657793</v>
      </c>
      <c r="AF65" s="8">
        <v>1445.3424312760424</v>
      </c>
      <c r="AG65" s="8">
        <v>1451.6695475622134</v>
      </c>
      <c r="AH65" s="8">
        <v>1469.9445461397652</v>
      </c>
      <c r="AI65" s="8">
        <v>1501.1754140362925</v>
      </c>
      <c r="AJ65" s="8">
        <v>1539.2202607771471</v>
      </c>
      <c r="AK65" s="8">
        <v>1614.3355130912698</v>
      </c>
      <c r="AL65" s="8">
        <v>1697.0435043279497</v>
      </c>
      <c r="AM65" s="8">
        <v>1784.2555227102678</v>
      </c>
    </row>
    <row r="66" spans="1:39">
      <c r="A66" s="19" t="s">
        <v>59</v>
      </c>
      <c r="B66" s="8" t="e">
        <v>#VALUE!</v>
      </c>
      <c r="C66" s="8" t="e">
        <v>#VALUE!</v>
      </c>
      <c r="D66" s="8" t="e">
        <v>#VALUE!</v>
      </c>
      <c r="E66" s="8" t="e">
        <v>#VALUE!</v>
      </c>
      <c r="F66" s="8" t="e">
        <v>#VALUE!</v>
      </c>
      <c r="G66" s="8" t="e">
        <v>#VALUE!</v>
      </c>
      <c r="H66" s="8" t="e">
        <v>#VALUE!</v>
      </c>
      <c r="I66" s="8" t="e">
        <v>#VALUE!</v>
      </c>
      <c r="J66" s="8" t="e">
        <v>#VALUE!</v>
      </c>
      <c r="K66" s="8" t="e">
        <v>#VALUE!</v>
      </c>
      <c r="L66" s="8" t="e">
        <v>#VALUE!</v>
      </c>
      <c r="M66" s="8" t="e">
        <v>#VALUE!</v>
      </c>
      <c r="N66" s="8" t="e">
        <v>#VALUE!</v>
      </c>
      <c r="O66" s="8" t="e">
        <v>#VALUE!</v>
      </c>
      <c r="P66" s="8" t="e">
        <v>#VALUE!</v>
      </c>
      <c r="Q66" s="8" t="e">
        <v>#VALUE!</v>
      </c>
      <c r="R66" s="8" t="e">
        <v>#VALUE!</v>
      </c>
      <c r="S66" s="8" t="e">
        <v>#VALUE!</v>
      </c>
      <c r="T66" s="8" t="e">
        <v>#VALUE!</v>
      </c>
      <c r="U66" s="8" t="e">
        <v>#VALUE!</v>
      </c>
      <c r="V66" s="8" t="e">
        <v>#VALUE!</v>
      </c>
      <c r="W66" s="8">
        <v>135.0502512562814</v>
      </c>
      <c r="X66" s="8">
        <v>153.14465408805032</v>
      </c>
      <c r="Y66" s="8">
        <v>185.49905838041431</v>
      </c>
      <c r="Z66" s="8">
        <v>189.23124805477747</v>
      </c>
      <c r="AA66" s="8">
        <v>203.30679730557256</v>
      </c>
      <c r="AB66" s="8">
        <v>214.30709368452557</v>
      </c>
      <c r="AC66" s="8">
        <v>212.10357870235671</v>
      </c>
      <c r="AD66" s="8">
        <v>205.17872220658597</v>
      </c>
      <c r="AE66" s="8">
        <v>172.09554831704668</v>
      </c>
      <c r="AF66" s="8">
        <v>180.01565353509</v>
      </c>
      <c r="AG66" s="8">
        <v>177.79444861215305</v>
      </c>
      <c r="AH66" s="8">
        <v>165.7088122605364</v>
      </c>
      <c r="AI66" s="8">
        <v>161.23105190629306</v>
      </c>
      <c r="AJ66" s="8">
        <v>159.04572564612326</v>
      </c>
      <c r="AK66" s="8">
        <v>151.9607843137255</v>
      </c>
      <c r="AL66" s="8">
        <v>149.11193721602643</v>
      </c>
      <c r="AM66" s="8">
        <v>147.51801441152921</v>
      </c>
    </row>
    <row r="67" spans="1:39">
      <c r="A67" s="19" t="s">
        <v>60</v>
      </c>
      <c r="B67" s="8">
        <v>133.50388478302065</v>
      </c>
      <c r="C67" s="8">
        <v>135.95481474660036</v>
      </c>
      <c r="D67" s="8">
        <v>135.80578697482756</v>
      </c>
      <c r="E67" s="8">
        <v>134.36835513093121</v>
      </c>
      <c r="F67" s="8">
        <v>131.71705647461494</v>
      </c>
      <c r="G67" s="8">
        <v>132.52741704765378</v>
      </c>
      <c r="H67" s="8">
        <v>131.51632540121747</v>
      </c>
      <c r="I67" s="8">
        <v>128.40828370034424</v>
      </c>
      <c r="J67" s="8">
        <v>133.20234698821122</v>
      </c>
      <c r="K67" s="8">
        <v>135.8836263794287</v>
      </c>
      <c r="L67" s="8">
        <v>132.65122032937296</v>
      </c>
      <c r="M67" s="8">
        <v>130.17217613593644</v>
      </c>
      <c r="N67" s="8">
        <v>136.63539590725708</v>
      </c>
      <c r="O67" s="8">
        <v>128.58420829605913</v>
      </c>
      <c r="P67" s="8">
        <v>110.6576067128785</v>
      </c>
      <c r="Q67" s="8">
        <v>117.55610531896095</v>
      </c>
      <c r="R67" s="8">
        <v>129.66172411579691</v>
      </c>
      <c r="S67" s="8">
        <v>126.21238497886097</v>
      </c>
      <c r="T67" s="8">
        <v>121.79114063785802</v>
      </c>
      <c r="U67" s="8">
        <v>121.16382577598102</v>
      </c>
      <c r="V67" s="8">
        <v>108.94685335742246</v>
      </c>
      <c r="W67" s="8">
        <v>102.29075571721549</v>
      </c>
      <c r="X67" s="8">
        <v>111.90511822807542</v>
      </c>
      <c r="Y67" s="8">
        <v>111.75086003983343</v>
      </c>
      <c r="Z67" s="8">
        <v>114.96411210360985</v>
      </c>
      <c r="AA67" s="8">
        <v>125.45993458708095</v>
      </c>
      <c r="AB67" s="8">
        <v>125.7408695076322</v>
      </c>
      <c r="AC67" s="8">
        <v>118.10465621929811</v>
      </c>
      <c r="AD67" s="8">
        <v>120.88480591960871</v>
      </c>
      <c r="AE67" s="8">
        <v>124.85690299931314</v>
      </c>
      <c r="AF67" s="8">
        <v>131.68926150552977</v>
      </c>
      <c r="AG67" s="8">
        <v>130.22198410055171</v>
      </c>
      <c r="AH67" s="8">
        <v>124.12353098855829</v>
      </c>
      <c r="AI67" s="8">
        <v>137.368377642757</v>
      </c>
      <c r="AJ67" s="8">
        <v>149.66314407789878</v>
      </c>
      <c r="AK67" s="8">
        <v>161.65109359503055</v>
      </c>
      <c r="AL67" s="8">
        <v>174.98664903491596</v>
      </c>
      <c r="AM67" s="8">
        <v>189.80833323008687</v>
      </c>
    </row>
    <row r="68" spans="1:39">
      <c r="A68" s="19" t="s">
        <v>61</v>
      </c>
      <c r="B68" s="8">
        <v>3516.6666666666665</v>
      </c>
      <c r="C68" s="8">
        <v>3831.5217391304345</v>
      </c>
      <c r="D68" s="8">
        <v>4123.8938053097345</v>
      </c>
      <c r="E68" s="8">
        <v>5603.4482758620697</v>
      </c>
      <c r="F68" s="8">
        <v>6510.9243697478996</v>
      </c>
      <c r="G68" s="8">
        <v>8599.0180032733224</v>
      </c>
      <c r="H68" s="8">
        <v>7325.3588516746413</v>
      </c>
      <c r="I68" s="8">
        <v>5407.7519379844962</v>
      </c>
      <c r="J68" s="8">
        <v>5286.5761689291103</v>
      </c>
      <c r="K68" s="8">
        <v>5269.7947214076239</v>
      </c>
      <c r="L68" s="8">
        <v>5380.3418803418808</v>
      </c>
      <c r="M68" s="8">
        <v>5062.2406639004148</v>
      </c>
      <c r="N68" s="8">
        <v>5189.2617449664431</v>
      </c>
      <c r="O68" s="8">
        <v>5411.458333333333</v>
      </c>
      <c r="P68" s="8">
        <v>5125</v>
      </c>
      <c r="Q68" s="8">
        <v>4927.7845777233788</v>
      </c>
      <c r="R68" s="8">
        <v>3957.2953736654804</v>
      </c>
      <c r="S68" s="8">
        <v>4332.5661680092062</v>
      </c>
      <c r="T68" s="8">
        <v>4555.1839464882951</v>
      </c>
      <c r="U68" s="8">
        <v>4641.4686825053996</v>
      </c>
      <c r="V68" s="8">
        <v>4765.9352142110765</v>
      </c>
      <c r="W68" s="8">
        <v>4473.6842105263158</v>
      </c>
      <c r="X68" s="8">
        <v>4500.4897159647408</v>
      </c>
      <c r="Y68" s="8">
        <v>4525.1661918328591</v>
      </c>
      <c r="Z68" s="8">
        <v>4614.391143911439</v>
      </c>
      <c r="AA68" s="8">
        <v>4649.32735426009</v>
      </c>
      <c r="AB68" s="8">
        <v>4782.7225130890056</v>
      </c>
      <c r="AC68" s="8">
        <v>4823.1292517006805</v>
      </c>
      <c r="AD68" s="8">
        <v>4286.3070539419086</v>
      </c>
      <c r="AE68" s="8">
        <v>4110.3000811030006</v>
      </c>
      <c r="AF68" s="8">
        <v>4104.6788263283115</v>
      </c>
      <c r="AG68" s="8">
        <v>4004.6547711404191</v>
      </c>
      <c r="AH68" s="8">
        <v>4019.7568389057751</v>
      </c>
      <c r="AI68" s="8">
        <v>3991.8093819806404</v>
      </c>
      <c r="AJ68" s="8">
        <v>4034.3316289262234</v>
      </c>
      <c r="AK68" s="8">
        <v>4002.8653295128943</v>
      </c>
      <c r="AL68" s="8">
        <v>4148.3825597749646</v>
      </c>
      <c r="AM68" s="8">
        <v>4157.4585635359117</v>
      </c>
    </row>
    <row r="69" spans="1:39">
      <c r="A69" s="19" t="s">
        <v>62</v>
      </c>
      <c r="B69" s="8">
        <v>299.04146232724031</v>
      </c>
      <c r="C69" s="8">
        <v>283.33152821401495</v>
      </c>
      <c r="D69" s="8">
        <v>283.11415044713306</v>
      </c>
      <c r="E69" s="8">
        <v>294.4910915420848</v>
      </c>
      <c r="F69" s="8">
        <v>251.77482251774825</v>
      </c>
      <c r="G69" s="8">
        <v>238.0905704763772</v>
      </c>
      <c r="H69" s="8">
        <v>239.44883407207556</v>
      </c>
      <c r="I69" s="8">
        <v>255.35342050407428</v>
      </c>
      <c r="J69" s="8">
        <v>244.09960973796692</v>
      </c>
      <c r="K69" s="8">
        <v>239.43406493742066</v>
      </c>
      <c r="L69" s="8">
        <v>224.30647291941875</v>
      </c>
      <c r="M69" s="8">
        <v>201.95911413969336</v>
      </c>
      <c r="N69" s="8">
        <v>186.08667050407038</v>
      </c>
      <c r="O69" s="8">
        <v>195.23431294678318</v>
      </c>
      <c r="P69" s="8">
        <v>198.67753344610179</v>
      </c>
      <c r="Q69" s="8">
        <v>202.80555141023729</v>
      </c>
      <c r="R69" s="8">
        <v>206.58639199187581</v>
      </c>
      <c r="S69" s="8">
        <v>212.40999576450656</v>
      </c>
      <c r="T69" s="8">
        <v>217.21508552586383</v>
      </c>
      <c r="U69" s="8">
        <v>218.26563335114912</v>
      </c>
      <c r="V69" s="8">
        <v>223.29718849425362</v>
      </c>
      <c r="W69" s="8">
        <v>225.38320822557245</v>
      </c>
      <c r="X69" s="8">
        <v>229.59058592792351</v>
      </c>
      <c r="Y69" s="8">
        <v>230.60421880586341</v>
      </c>
      <c r="Z69" s="8">
        <v>233.63293708321251</v>
      </c>
      <c r="AA69" s="8">
        <v>238.03875049426651</v>
      </c>
      <c r="AB69" s="8">
        <v>241.83510491821337</v>
      </c>
      <c r="AC69" s="8">
        <v>247.07146695325096</v>
      </c>
      <c r="AD69" s="8">
        <v>251.74385063198196</v>
      </c>
      <c r="AE69" s="8">
        <v>254.85175892262788</v>
      </c>
      <c r="AF69" s="8">
        <v>258.86294314715735</v>
      </c>
      <c r="AG69" s="8">
        <v>264.2246642246642</v>
      </c>
      <c r="AH69" s="8">
        <v>271.58196134574092</v>
      </c>
      <c r="AI69" s="8">
        <v>280.38255190109635</v>
      </c>
      <c r="AJ69" s="8">
        <v>290.39470682181155</v>
      </c>
      <c r="AK69" s="8">
        <v>302.37127673826643</v>
      </c>
      <c r="AL69" s="8">
        <v>314.10957107253728</v>
      </c>
      <c r="AM69" s="8">
        <v>326.75260160164447</v>
      </c>
    </row>
    <row r="70" spans="1:39">
      <c r="A70" s="19" t="s">
        <v>63</v>
      </c>
      <c r="B70" s="8">
        <v>342.75194794074832</v>
      </c>
      <c r="C70" s="8">
        <v>387.1633900545184</v>
      </c>
      <c r="D70" s="8">
        <v>395.30067702110716</v>
      </c>
      <c r="E70" s="8">
        <v>396.60600476080782</v>
      </c>
      <c r="F70" s="8">
        <v>385.58318531675548</v>
      </c>
      <c r="G70" s="8">
        <v>379.6718972895863</v>
      </c>
      <c r="H70" s="8">
        <v>400.43989277613582</v>
      </c>
      <c r="I70" s="8">
        <v>412.42301834315606</v>
      </c>
      <c r="J70" s="8">
        <v>427.54177828804694</v>
      </c>
      <c r="K70" s="8">
        <v>434.71318019899275</v>
      </c>
      <c r="L70" s="8">
        <v>434.22997339639375</v>
      </c>
      <c r="M70" s="8">
        <v>424.23035338303077</v>
      </c>
      <c r="N70" s="8">
        <v>413.74965762804715</v>
      </c>
      <c r="O70" s="8">
        <v>405.39114838845808</v>
      </c>
      <c r="P70" s="8">
        <v>407.4412930771577</v>
      </c>
      <c r="Q70" s="8">
        <v>421.02425876010778</v>
      </c>
      <c r="R70" s="8">
        <v>430.30732860520095</v>
      </c>
      <c r="S70" s="8">
        <v>441.24897288414138</v>
      </c>
      <c r="T70" s="8">
        <v>446.30176862347287</v>
      </c>
      <c r="U70" s="8">
        <v>449.69505693692156</v>
      </c>
      <c r="V70" s="8">
        <v>441.39496491952127</v>
      </c>
      <c r="W70" s="8">
        <v>424.06075139888088</v>
      </c>
      <c r="X70" s="8">
        <v>412.4825662482566</v>
      </c>
      <c r="Y70" s="8">
        <v>410.82706766917289</v>
      </c>
      <c r="Z70" s="8">
        <v>416.69101533966398</v>
      </c>
      <c r="AA70" s="8">
        <v>422.09591474245116</v>
      </c>
      <c r="AB70" s="8">
        <v>412.91415923082241</v>
      </c>
      <c r="AC70" s="8">
        <v>415.49295774647885</v>
      </c>
      <c r="AD70" s="8">
        <v>414.25053357412577</v>
      </c>
      <c r="AE70" s="8">
        <v>406.08601049532831</v>
      </c>
      <c r="AF70" s="8">
        <v>410.6825480964111</v>
      </c>
      <c r="AG70" s="8">
        <v>402.36380761401273</v>
      </c>
      <c r="AH70" s="8">
        <v>403.52279455298992</v>
      </c>
      <c r="AI70" s="8">
        <v>413.12184571016587</v>
      </c>
      <c r="AJ70" s="8">
        <v>425.74229613191386</v>
      </c>
      <c r="AK70" s="8">
        <v>441.16761962082467</v>
      </c>
      <c r="AL70" s="8">
        <v>459.56675814659883</v>
      </c>
      <c r="AM70" s="8">
        <v>463.7203508589817</v>
      </c>
    </row>
    <row r="71" spans="1:39">
      <c r="A71" s="19" t="s">
        <v>64</v>
      </c>
      <c r="B71" s="8">
        <v>16536.057692307691</v>
      </c>
      <c r="C71" s="8">
        <v>13774.193548387097</v>
      </c>
      <c r="D71" s="8">
        <v>13337.01413427562</v>
      </c>
      <c r="E71" s="8">
        <v>10936.098180279307</v>
      </c>
      <c r="F71" s="8">
        <v>11269.261962692619</v>
      </c>
      <c r="G71" s="8">
        <v>13254.66562986003</v>
      </c>
      <c r="H71" s="8">
        <v>13846.010439970172</v>
      </c>
      <c r="I71" s="8">
        <v>13706.933523945676</v>
      </c>
      <c r="J71" s="8">
        <v>14886.114911080711</v>
      </c>
      <c r="K71" s="8">
        <v>14309.826967025791</v>
      </c>
      <c r="L71" s="8">
        <v>11857.276119402984</v>
      </c>
      <c r="M71" s="8">
        <v>10277.810650887574</v>
      </c>
      <c r="N71" s="8">
        <v>10146.602762898223</v>
      </c>
      <c r="O71" s="8">
        <v>10060.712358337831</v>
      </c>
      <c r="P71" s="8">
        <v>9781.2987012987014</v>
      </c>
      <c r="Q71" s="8">
        <v>9056.8553459119503</v>
      </c>
      <c r="R71" s="8">
        <v>8718.168462291871</v>
      </c>
      <c r="S71" s="8">
        <v>9029.1866028708137</v>
      </c>
      <c r="T71" s="8">
        <v>8737.3595505617977</v>
      </c>
      <c r="U71" s="8">
        <v>6825.6186984417964</v>
      </c>
      <c r="V71" s="8">
        <v>7587.0736086175939</v>
      </c>
      <c r="W71" s="8">
        <v>7409.5405583644751</v>
      </c>
      <c r="X71" s="8">
        <v>7375.8345897049321</v>
      </c>
      <c r="Y71" s="8">
        <v>7135.3177116318348</v>
      </c>
      <c r="Z71" s="8">
        <v>6573.9706186633557</v>
      </c>
      <c r="AA71" s="8">
        <v>6676.6734279918865</v>
      </c>
      <c r="AB71" s="8">
        <v>6766.4015904572561</v>
      </c>
      <c r="AC71" s="8">
        <v>6571.0111046171833</v>
      </c>
      <c r="AD71" s="8">
        <v>6510.1183657884685</v>
      </c>
      <c r="AE71" s="8">
        <v>6453.4231200897866</v>
      </c>
      <c r="AF71" s="8">
        <v>6616.5689149560112</v>
      </c>
      <c r="AG71" s="8">
        <v>6681.0344827586214</v>
      </c>
      <c r="AH71" s="8">
        <v>7144.1140242829497</v>
      </c>
      <c r="AI71" s="8">
        <v>7328.8498016899457</v>
      </c>
      <c r="AJ71" s="8">
        <v>7434.9442379182155</v>
      </c>
      <c r="AK71" s="8">
        <v>7693.9890710382515</v>
      </c>
      <c r="AL71" s="8">
        <v>8060.9161793372323</v>
      </c>
      <c r="AM71" s="8">
        <v>8436.6735701768357</v>
      </c>
    </row>
    <row r="72" spans="1:39">
      <c r="A72" s="19" t="s">
        <v>65</v>
      </c>
      <c r="B72" s="8">
        <v>831.86820342514818</v>
      </c>
      <c r="C72" s="8">
        <v>829.69819934060354</v>
      </c>
      <c r="D72" s="8">
        <v>836.74981476907874</v>
      </c>
      <c r="E72" s="8">
        <v>860.55321707757071</v>
      </c>
      <c r="F72" s="8">
        <v>901.59325210871611</v>
      </c>
      <c r="G72" s="8">
        <v>973.46041892586038</v>
      </c>
      <c r="H72" s="8">
        <v>1006.2298364667927</v>
      </c>
      <c r="I72" s="8">
        <v>1002.9284164859001</v>
      </c>
      <c r="J72" s="8">
        <v>1024.9629786333826</v>
      </c>
      <c r="K72" s="8">
        <v>1036.4293085655315</v>
      </c>
      <c r="L72" s="8">
        <v>983.68169226894986</v>
      </c>
      <c r="M72" s="8">
        <v>1052.9162978263007</v>
      </c>
      <c r="N72" s="8">
        <v>1022.8200816718712</v>
      </c>
      <c r="O72" s="8">
        <v>1043.0577076583556</v>
      </c>
      <c r="P72" s="8">
        <v>1084.4850544102117</v>
      </c>
      <c r="Q72" s="8">
        <v>1149.0499079106958</v>
      </c>
      <c r="R72" s="8">
        <v>1096.1217131298918</v>
      </c>
      <c r="S72" s="8">
        <v>1185.3574504737296</v>
      </c>
      <c r="T72" s="8">
        <v>1189.01924375422</v>
      </c>
      <c r="U72" s="8">
        <v>1212.893615260479</v>
      </c>
      <c r="V72" s="8">
        <v>1271.9818137533491</v>
      </c>
      <c r="W72" s="8">
        <v>1198.2865112572226</v>
      </c>
      <c r="X72" s="8">
        <v>1165.0945242475243</v>
      </c>
      <c r="Y72" s="8">
        <v>1263.6559470687798</v>
      </c>
      <c r="Z72" s="8">
        <v>1160.9230187251751</v>
      </c>
      <c r="AA72" s="8">
        <v>1281.9386539606908</v>
      </c>
      <c r="AB72" s="8">
        <v>1234.183710871637</v>
      </c>
      <c r="AC72" s="8">
        <v>1309.1119217017588</v>
      </c>
      <c r="AD72" s="8">
        <v>1297.5359635379575</v>
      </c>
      <c r="AE72" s="8">
        <v>1300.5339703505936</v>
      </c>
      <c r="AF72" s="8">
        <v>1380.9176984705027</v>
      </c>
      <c r="AG72" s="8">
        <v>1409.5254411512765</v>
      </c>
      <c r="AH72" s="8">
        <v>1481.5379403794038</v>
      </c>
      <c r="AI72" s="8">
        <v>1536.0769462783605</v>
      </c>
      <c r="AJ72" s="8">
        <v>1565.9025312676242</v>
      </c>
      <c r="AK72" s="8">
        <v>1667.8033904974259</v>
      </c>
      <c r="AL72" s="8">
        <v>1692.8809824697839</v>
      </c>
      <c r="AM72" s="8">
        <v>1769.989432898908</v>
      </c>
    </row>
    <row r="73" spans="1:39">
      <c r="A73" s="19" t="s">
        <v>66</v>
      </c>
      <c r="B73" s="8">
        <v>294.72049689440996</v>
      </c>
      <c r="C73" s="8">
        <v>297.69137302551644</v>
      </c>
      <c r="D73" s="8">
        <v>307.53241611402552</v>
      </c>
      <c r="E73" s="8">
        <v>267.71044747269741</v>
      </c>
      <c r="F73" s="8">
        <v>226.98577216621126</v>
      </c>
      <c r="G73" s="8">
        <v>210.43940922851115</v>
      </c>
      <c r="H73" s="8">
        <v>206.12117426608367</v>
      </c>
      <c r="I73" s="8">
        <v>202.1350459989585</v>
      </c>
      <c r="J73" s="8">
        <v>199.66201943388253</v>
      </c>
      <c r="K73" s="8">
        <v>202.85078685012769</v>
      </c>
      <c r="L73" s="8">
        <v>207.93114543114544</v>
      </c>
      <c r="M73" s="8">
        <v>189.21468438015879</v>
      </c>
      <c r="N73" s="8">
        <v>156.2933292250809</v>
      </c>
      <c r="O73" s="8">
        <v>143.84288747346071</v>
      </c>
      <c r="P73" s="8">
        <v>143.80066046232363</v>
      </c>
      <c r="Q73" s="8">
        <v>139.97308209959621</v>
      </c>
      <c r="R73" s="8">
        <v>160.75172207247678</v>
      </c>
      <c r="S73" s="8">
        <v>174.29471788715486</v>
      </c>
      <c r="T73" s="8">
        <v>185.01346096320671</v>
      </c>
      <c r="U73" s="8">
        <v>184.50974601299467</v>
      </c>
      <c r="V73" s="8">
        <v>189.02351074570893</v>
      </c>
      <c r="W73" s="8">
        <v>173.75515049933654</v>
      </c>
      <c r="X73" s="8">
        <v>181.92219679633865</v>
      </c>
      <c r="Y73" s="8">
        <v>187.22024002594875</v>
      </c>
      <c r="Z73" s="8">
        <v>185.91231261368625</v>
      </c>
      <c r="AA73" s="8">
        <v>193.77815658103009</v>
      </c>
      <c r="AB73" s="8">
        <v>207.90378006872851</v>
      </c>
      <c r="AC73" s="8">
        <v>224.53931026514934</v>
      </c>
      <c r="AD73" s="8">
        <v>236.85545224006762</v>
      </c>
      <c r="AE73" s="8">
        <v>233.53852918544575</v>
      </c>
      <c r="AF73" s="8">
        <v>254.76956055734192</v>
      </c>
      <c r="AG73" s="8">
        <v>270.35643357374306</v>
      </c>
      <c r="AH73" s="8">
        <v>279.70423253442124</v>
      </c>
      <c r="AI73" s="8">
        <v>294.75047315469669</v>
      </c>
      <c r="AJ73" s="8">
        <v>312.37520089611843</v>
      </c>
      <c r="AK73" s="8">
        <v>332.41142530160698</v>
      </c>
      <c r="AL73" s="8">
        <v>349.05483810593302</v>
      </c>
      <c r="AM73" s="8">
        <v>364.62972315320695</v>
      </c>
    </row>
    <row r="74" spans="1:39">
      <c r="A74" s="19" t="s">
        <v>67</v>
      </c>
      <c r="B74" s="8" t="e">
        <v>#VALUE!</v>
      </c>
      <c r="C74" s="8" t="e">
        <v>#VALUE!</v>
      </c>
      <c r="D74" s="8" t="e">
        <v>#VALUE!</v>
      </c>
      <c r="E74" s="8" t="e">
        <v>#VALUE!</v>
      </c>
      <c r="F74" s="8" t="e">
        <v>#VALUE!</v>
      </c>
      <c r="G74" s="8" t="e">
        <v>#VALUE!</v>
      </c>
      <c r="H74" s="8" t="e">
        <v>#VALUE!</v>
      </c>
      <c r="I74" s="8" t="e">
        <v>#VALUE!</v>
      </c>
      <c r="J74" s="8" t="e">
        <v>#VALUE!</v>
      </c>
      <c r="K74" s="8" t="e">
        <v>#VALUE!</v>
      </c>
      <c r="L74" s="8" t="e">
        <v>#VALUE!</v>
      </c>
      <c r="M74" s="8" t="e">
        <v>#VALUE!</v>
      </c>
      <c r="N74" s="8" t="e">
        <v>#VALUE!</v>
      </c>
      <c r="O74" s="8" t="e">
        <v>#VALUE!</v>
      </c>
      <c r="P74" s="8" t="e">
        <v>#VALUE!</v>
      </c>
      <c r="Q74" s="8" t="e">
        <v>#VALUE!</v>
      </c>
      <c r="R74" s="8" t="e">
        <v>#VALUE!</v>
      </c>
      <c r="S74" s="8" t="e">
        <v>#VALUE!</v>
      </c>
      <c r="T74" s="8" t="e">
        <v>#VALUE!</v>
      </c>
      <c r="U74" s="8" t="e">
        <v>#VALUE!</v>
      </c>
      <c r="V74" s="8">
        <v>1904.8266485384092</v>
      </c>
      <c r="W74" s="8">
        <v>1977.6168531928902</v>
      </c>
      <c r="X74" s="8">
        <v>1881.1501597444089</v>
      </c>
      <c r="Y74" s="8">
        <v>1960.8938547486034</v>
      </c>
      <c r="Z74" s="8">
        <v>1984.9124924562461</v>
      </c>
      <c r="AA74" s="8">
        <v>1991.7840375586854</v>
      </c>
      <c r="AB74" s="8">
        <v>2018.8356164383561</v>
      </c>
      <c r="AC74" s="8">
        <v>2032.258064516129</v>
      </c>
      <c r="AD74" s="8">
        <v>2051.602390005432</v>
      </c>
      <c r="AE74" s="8">
        <v>2080.3618946248002</v>
      </c>
      <c r="AF74" s="8">
        <v>2067.4333507579718</v>
      </c>
      <c r="AG74" s="8">
        <v>2133.8825952626157</v>
      </c>
      <c r="AH74" s="8">
        <v>2194.0071102082275</v>
      </c>
      <c r="AI74" s="8">
        <v>2432.2968906720162</v>
      </c>
      <c r="AJ74" s="8">
        <v>2461.3861386138615</v>
      </c>
      <c r="AK74" s="8">
        <v>2602.8334147532973</v>
      </c>
      <c r="AL74" s="8">
        <v>2665.3846153846152</v>
      </c>
      <c r="AM74" s="8">
        <v>2692.5260170293286</v>
      </c>
    </row>
    <row r="75" spans="1:39">
      <c r="A75" s="19" t="s">
        <v>68</v>
      </c>
      <c r="B75" s="8">
        <v>410.31829564838671</v>
      </c>
      <c r="C75" s="8">
        <v>413.74426879569478</v>
      </c>
      <c r="D75" s="8">
        <v>425.14411957609855</v>
      </c>
      <c r="E75" s="8">
        <v>460.26996587604435</v>
      </c>
      <c r="F75" s="8">
        <v>424.2761146444746</v>
      </c>
      <c r="G75" s="8">
        <v>449.3140243902439</v>
      </c>
      <c r="H75" s="8">
        <v>462.15108755930743</v>
      </c>
      <c r="I75" s="8">
        <v>422.31682724624699</v>
      </c>
      <c r="J75" s="8">
        <v>437.39040966858431</v>
      </c>
      <c r="K75" s="8">
        <v>442.58073594596499</v>
      </c>
      <c r="L75" s="8">
        <v>373.76542365461955</v>
      </c>
      <c r="M75" s="8">
        <v>362.79546422487226</v>
      </c>
      <c r="N75" s="8">
        <v>334.40414507772022</v>
      </c>
      <c r="O75" s="8">
        <v>309.69725996319733</v>
      </c>
      <c r="P75" s="8">
        <v>330.35123409887495</v>
      </c>
      <c r="Q75" s="8">
        <v>329.06629196089403</v>
      </c>
      <c r="R75" s="8">
        <v>317.35017232206883</v>
      </c>
      <c r="S75" s="8">
        <v>338.6334287799674</v>
      </c>
      <c r="T75" s="8">
        <v>352.4563354484203</v>
      </c>
      <c r="U75" s="8">
        <v>370.31782666694903</v>
      </c>
      <c r="V75" s="8">
        <v>376.78283134698245</v>
      </c>
      <c r="W75" s="8">
        <v>376.71198665374664</v>
      </c>
      <c r="X75" s="8">
        <v>374.10937894348558</v>
      </c>
      <c r="Y75" s="8">
        <v>363.98460203041856</v>
      </c>
      <c r="Z75" s="8">
        <v>362.74653701495276</v>
      </c>
      <c r="AA75" s="8">
        <v>367.98151303990937</v>
      </c>
      <c r="AB75" s="8">
        <v>367.70463483024145</v>
      </c>
      <c r="AC75" s="8">
        <v>364.62804610132827</v>
      </c>
      <c r="AD75" s="8">
        <v>358.95410639943395</v>
      </c>
      <c r="AE75" s="8">
        <v>368.54127094804164</v>
      </c>
      <c r="AF75" s="8">
        <v>370.26999586063624</v>
      </c>
      <c r="AG75" s="8">
        <v>366.56362307364316</v>
      </c>
      <c r="AH75" s="8">
        <v>394.34423246868016</v>
      </c>
      <c r="AI75" s="8">
        <v>425.58387258063345</v>
      </c>
      <c r="AJ75" s="8">
        <v>437.92269164379297</v>
      </c>
      <c r="AK75" s="8">
        <v>454.2564953012714</v>
      </c>
      <c r="AL75" s="8">
        <v>472.89891406445332</v>
      </c>
      <c r="AM75" s="8">
        <v>486.91175595926489</v>
      </c>
    </row>
    <row r="76" spans="1:39">
      <c r="A76" s="19" t="s">
        <v>69</v>
      </c>
      <c r="B76" s="8">
        <v>525.42372881355925</v>
      </c>
      <c r="C76" s="8">
        <v>540.89887640449433</v>
      </c>
      <c r="D76" s="8">
        <v>494.66811751904248</v>
      </c>
      <c r="E76" s="8">
        <v>499.36735554618303</v>
      </c>
      <c r="F76" s="8">
        <v>521.07201309328968</v>
      </c>
      <c r="G76" s="8">
        <v>551.05284068335322</v>
      </c>
      <c r="H76" s="8">
        <v>521.23552123552122</v>
      </c>
      <c r="I76" s="8">
        <v>486.76553407171014</v>
      </c>
      <c r="J76" s="8">
        <v>506.47928454097462</v>
      </c>
      <c r="K76" s="8">
        <v>476.04684173172461</v>
      </c>
      <c r="L76" s="8">
        <v>486.11829625797549</v>
      </c>
      <c r="M76" s="8">
        <v>509.29803987267547</v>
      </c>
      <c r="N76" s="8">
        <v>468.42447916666663</v>
      </c>
      <c r="O76" s="8">
        <v>472.02023395510594</v>
      </c>
      <c r="P76" s="8">
        <v>473.44181762357994</v>
      </c>
      <c r="Q76" s="8">
        <v>474.0608228980322</v>
      </c>
      <c r="R76" s="8">
        <v>488.27446438911403</v>
      </c>
      <c r="S76" s="8">
        <v>471.32414956423952</v>
      </c>
      <c r="T76" s="8">
        <v>476.10595303113053</v>
      </c>
      <c r="U76" s="8">
        <v>459.40567789864684</v>
      </c>
      <c r="V76" s="8">
        <v>458.08614908434362</v>
      </c>
      <c r="W76" s="8">
        <v>450.90909090909093</v>
      </c>
      <c r="X76" s="8">
        <v>444.37667723835079</v>
      </c>
      <c r="Y76" s="8">
        <v>432.18227127091495</v>
      </c>
      <c r="Z76" s="8">
        <v>443.07159353348732</v>
      </c>
      <c r="AA76" s="8">
        <v>439.98651382333111</v>
      </c>
      <c r="AB76" s="8">
        <v>441.58827390067819</v>
      </c>
      <c r="AC76" s="8">
        <v>455.27156549520765</v>
      </c>
      <c r="AD76" s="8">
        <v>471.43005288810531</v>
      </c>
      <c r="AE76" s="8">
        <v>473.84366794586958</v>
      </c>
      <c r="AF76" s="8">
        <v>482.73487456960163</v>
      </c>
      <c r="AG76" s="8">
        <v>473.40170612479631</v>
      </c>
      <c r="AH76" s="8">
        <v>492.01456990753707</v>
      </c>
      <c r="AI76" s="8">
        <v>507.68950768950765</v>
      </c>
      <c r="AJ76" s="8">
        <v>522.38276748515204</v>
      </c>
      <c r="AK76" s="8">
        <v>520.93585426918764</v>
      </c>
      <c r="AL76" s="8">
        <v>530.98461279744379</v>
      </c>
      <c r="AM76" s="8">
        <v>530.01392187372039</v>
      </c>
    </row>
    <row r="77" spans="1:39">
      <c r="A77" s="19" t="s">
        <v>70</v>
      </c>
      <c r="B77" s="8">
        <v>3163.0829130165471</v>
      </c>
      <c r="C77" s="8">
        <v>3142.5668079218194</v>
      </c>
      <c r="D77" s="8">
        <v>3212.6310449780185</v>
      </c>
      <c r="E77" s="8">
        <v>3333.6916081025215</v>
      </c>
      <c r="F77" s="8">
        <v>3316.4428987382721</v>
      </c>
      <c r="G77" s="8">
        <v>3318.6243470001582</v>
      </c>
      <c r="H77" s="8">
        <v>3246.376811594203</v>
      </c>
      <c r="I77" s="8">
        <v>3274.5589072282301</v>
      </c>
      <c r="J77" s="8">
        <v>3324.7466686463013</v>
      </c>
      <c r="K77" s="8">
        <v>3463.2651581085001</v>
      </c>
      <c r="L77" s="8">
        <v>3561.2104052380109</v>
      </c>
      <c r="M77" s="8">
        <v>3459.7542454783929</v>
      </c>
      <c r="N77" s="8">
        <v>3309.9851971470866</v>
      </c>
      <c r="O77" s="8">
        <v>3389.673823963285</v>
      </c>
      <c r="P77" s="8">
        <v>3262.7443464929092</v>
      </c>
      <c r="Q77" s="8">
        <v>3180.7228915662649</v>
      </c>
      <c r="R77" s="8">
        <v>3167.4612091215499</v>
      </c>
      <c r="S77" s="8">
        <v>3222.6933111954459</v>
      </c>
      <c r="T77" s="8">
        <v>3226.8707778840858</v>
      </c>
      <c r="U77" s="8">
        <v>3151.8465909090905</v>
      </c>
      <c r="V77" s="8">
        <v>3056.1044165530293</v>
      </c>
      <c r="W77" s="8">
        <v>2929.0016625330459</v>
      </c>
      <c r="X77" s="8">
        <v>2903.1862091049798</v>
      </c>
      <c r="Y77" s="8">
        <v>2933.7303764072826</v>
      </c>
      <c r="Z77" s="8">
        <v>2960.4294478527609</v>
      </c>
      <c r="AA77" s="8">
        <v>3019.9749999999999</v>
      </c>
      <c r="AB77" s="8">
        <v>3029.7854664516444</v>
      </c>
      <c r="AC77" s="8">
        <v>2974.6539379474943</v>
      </c>
      <c r="AD77" s="8">
        <v>2972.2293409127974</v>
      </c>
      <c r="AE77" s="8">
        <v>3019.9545454545455</v>
      </c>
      <c r="AF77" s="8">
        <v>3046.3268767294476</v>
      </c>
      <c r="AG77" s="8">
        <v>3127.7903019051405</v>
      </c>
      <c r="AH77" s="8">
        <v>3186.2841422676361</v>
      </c>
      <c r="AI77" s="8">
        <v>3301.8468973850004</v>
      </c>
      <c r="AJ77" s="8">
        <v>3425.5736586198068</v>
      </c>
      <c r="AK77" s="8">
        <v>3569.8761368192272</v>
      </c>
      <c r="AL77" s="8">
        <v>3715.784414118827</v>
      </c>
      <c r="AM77" s="8">
        <v>3763.8178569227925</v>
      </c>
    </row>
    <row r="78" spans="1:39">
      <c r="A78" s="19" t="s">
        <v>71</v>
      </c>
      <c r="B78" s="8">
        <v>257.80189959294438</v>
      </c>
      <c r="C78" s="8">
        <v>237.51881585549421</v>
      </c>
      <c r="D78" s="8">
        <v>231.85496136764615</v>
      </c>
      <c r="E78" s="8">
        <v>250.48658212916547</v>
      </c>
      <c r="F78" s="8">
        <v>280.96953066941063</v>
      </c>
      <c r="G78" s="8">
        <v>317.67313019390582</v>
      </c>
      <c r="H78" s="8">
        <v>327.01599914098568</v>
      </c>
      <c r="I78" s="8">
        <v>298.06491885143572</v>
      </c>
      <c r="J78" s="8">
        <v>274.14236058636845</v>
      </c>
      <c r="K78" s="8">
        <v>269.39392461846018</v>
      </c>
      <c r="L78" s="8">
        <v>279.96038296467481</v>
      </c>
      <c r="M78" s="8">
        <v>286.86094769006246</v>
      </c>
      <c r="N78" s="8">
        <v>283.27449249779346</v>
      </c>
      <c r="O78" s="8">
        <v>260.88816633866691</v>
      </c>
      <c r="P78" s="8">
        <v>237.61017794777982</v>
      </c>
      <c r="Q78" s="8">
        <v>244.05461248632662</v>
      </c>
      <c r="R78" s="8">
        <v>272.22376073109939</v>
      </c>
      <c r="S78" s="8">
        <v>265.23824257425741</v>
      </c>
      <c r="T78" s="8">
        <v>282.42543378822819</v>
      </c>
      <c r="U78" s="8">
        <v>260.67697759403489</v>
      </c>
      <c r="V78" s="8">
        <v>273.30981352149183</v>
      </c>
      <c r="W78" s="8">
        <v>283.88002104893883</v>
      </c>
      <c r="X78" s="8">
        <v>289.15086280539896</v>
      </c>
      <c r="Y78" s="8">
        <v>284.45435484407761</v>
      </c>
      <c r="Z78" s="8">
        <v>293.73236924872731</v>
      </c>
      <c r="AA78" s="8">
        <v>303.20073304053841</v>
      </c>
      <c r="AB78" s="8">
        <v>326.71224439517118</v>
      </c>
      <c r="AC78" s="8">
        <v>332.36230404228479</v>
      </c>
      <c r="AD78" s="8">
        <v>334.48639774859288</v>
      </c>
      <c r="AE78" s="8">
        <v>354.28604171441663</v>
      </c>
      <c r="AF78" s="8">
        <v>368.09936355734993</v>
      </c>
      <c r="AG78" s="8">
        <v>379.92693712747553</v>
      </c>
      <c r="AH78" s="8">
        <v>399.03613160303695</v>
      </c>
      <c r="AI78" s="8">
        <v>411.05540897097626</v>
      </c>
      <c r="AJ78" s="8">
        <v>428.03245645769806</v>
      </c>
      <c r="AK78" s="8">
        <v>466.15248451131617</v>
      </c>
      <c r="AL78" s="8">
        <v>502.27542540561927</v>
      </c>
      <c r="AM78" s="8">
        <v>532.11763567766275</v>
      </c>
    </row>
    <row r="79" spans="1:39">
      <c r="A79" s="19" t="s">
        <v>72</v>
      </c>
      <c r="B79" s="8">
        <v>253.98860398860401</v>
      </c>
      <c r="C79" s="8">
        <v>262.39569684849323</v>
      </c>
      <c r="D79" s="8">
        <v>261.76647306228722</v>
      </c>
      <c r="E79" s="8">
        <v>259.79314802844215</v>
      </c>
      <c r="F79" s="8">
        <v>266.4663160530929</v>
      </c>
      <c r="G79" s="8">
        <v>274.76794272887219</v>
      </c>
      <c r="H79" s="8">
        <v>267.40766878381555</v>
      </c>
      <c r="I79" s="8">
        <v>262.32966531729289</v>
      </c>
      <c r="J79" s="8">
        <v>262.89315129069701</v>
      </c>
      <c r="K79" s="8">
        <v>263.32993944590322</v>
      </c>
      <c r="L79" s="8">
        <v>258.29740819612528</v>
      </c>
      <c r="M79" s="8">
        <v>250.57887848585523</v>
      </c>
      <c r="N79" s="8">
        <v>240.65762513415942</v>
      </c>
      <c r="O79" s="8">
        <v>234.45405967749565</v>
      </c>
      <c r="P79" s="8">
        <v>236.39447984961717</v>
      </c>
      <c r="Q79" s="8">
        <v>242.1291355389541</v>
      </c>
      <c r="R79" s="8">
        <v>249.44993312912553</v>
      </c>
      <c r="S79" s="8">
        <v>256.24607658505965</v>
      </c>
      <c r="T79" s="8">
        <v>257.7687626774848</v>
      </c>
      <c r="U79" s="8">
        <v>267.17737183264586</v>
      </c>
      <c r="V79" s="8">
        <v>263.80391411742352</v>
      </c>
      <c r="W79" s="8">
        <v>256.50161622098148</v>
      </c>
      <c r="X79" s="8">
        <v>250.99445944026141</v>
      </c>
      <c r="Y79" s="8">
        <v>246.83631361760661</v>
      </c>
      <c r="Z79" s="8">
        <v>248.03149606299212</v>
      </c>
      <c r="AA79" s="8">
        <v>252.14936897771145</v>
      </c>
      <c r="AB79" s="8">
        <v>254.26621160409556</v>
      </c>
      <c r="AC79" s="8">
        <v>257.11028256247494</v>
      </c>
      <c r="AD79" s="8">
        <v>259.62434259954921</v>
      </c>
      <c r="AE79" s="8">
        <v>266.00451202718938</v>
      </c>
      <c r="AF79" s="8">
        <v>275.39542054473816</v>
      </c>
      <c r="AG79" s="8">
        <v>287.69675732799379</v>
      </c>
      <c r="AH79" s="8">
        <v>295.99241808827514</v>
      </c>
      <c r="AI79" s="8">
        <v>307.47134009750954</v>
      </c>
      <c r="AJ79" s="8">
        <v>321.12184992437255</v>
      </c>
      <c r="AK79" s="8">
        <v>333.27517012737746</v>
      </c>
      <c r="AL79" s="8">
        <v>347.07820525244693</v>
      </c>
      <c r="AM79" s="8">
        <v>362.34817813765181</v>
      </c>
    </row>
    <row r="80" spans="1:39">
      <c r="A80" s="21" t="s">
        <v>73</v>
      </c>
      <c r="B80" s="8">
        <v>288.30462375339982</v>
      </c>
      <c r="C80" s="8">
        <v>301.05633802816902</v>
      </c>
      <c r="D80" s="8">
        <v>304.45969125214413</v>
      </c>
      <c r="E80" s="8">
        <v>311.84596065299291</v>
      </c>
      <c r="F80" s="8">
        <v>311.6830065359477</v>
      </c>
      <c r="G80" s="8">
        <v>297.96569605105702</v>
      </c>
      <c r="H80" s="8">
        <v>311.37957911145753</v>
      </c>
      <c r="I80" s="8">
        <v>337.39064282997339</v>
      </c>
      <c r="J80" s="8">
        <v>311.36616068122919</v>
      </c>
      <c r="K80" s="8">
        <v>346.14003590664271</v>
      </c>
      <c r="L80" s="8">
        <v>323.49878514404725</v>
      </c>
      <c r="M80" s="8">
        <v>300.76948812311809</v>
      </c>
      <c r="N80" s="8">
        <v>273.75201288244767</v>
      </c>
      <c r="O80" s="8">
        <v>278.1395348837209</v>
      </c>
      <c r="P80" s="8">
        <v>283.10911808669653</v>
      </c>
      <c r="Q80" s="8">
        <v>277.63347763347764</v>
      </c>
      <c r="R80" s="8">
        <v>269.65978806469604</v>
      </c>
      <c r="S80" s="8">
        <v>278.27260458839407</v>
      </c>
      <c r="T80" s="8">
        <v>280.96360303744439</v>
      </c>
      <c r="U80" s="8">
        <v>272.79673968415688</v>
      </c>
      <c r="V80" s="8">
        <v>264.16500994035783</v>
      </c>
      <c r="W80" s="8">
        <v>248.05636540330417</v>
      </c>
      <c r="X80" s="8">
        <v>206.03612167300381</v>
      </c>
      <c r="Y80" s="8">
        <v>231.26884713523546</v>
      </c>
      <c r="Z80" s="8">
        <v>242.55415162454872</v>
      </c>
      <c r="AA80" s="8">
        <v>255.73770491803279</v>
      </c>
      <c r="AB80" s="8">
        <v>282.51689189189193</v>
      </c>
      <c r="AC80" s="8">
        <v>266.24567121613364</v>
      </c>
      <c r="AD80" s="8">
        <v>263.67571822117276</v>
      </c>
      <c r="AE80" s="8">
        <v>253.28759291023442</v>
      </c>
      <c r="AF80" s="8">
        <v>245.55884529977794</v>
      </c>
      <c r="AG80" s="8">
        <v>248.87448226184046</v>
      </c>
      <c r="AH80" s="8">
        <v>249.03474903474901</v>
      </c>
      <c r="AI80" s="8">
        <v>250.04278623994523</v>
      </c>
      <c r="AJ80" s="8">
        <v>246.82910547396529</v>
      </c>
      <c r="AK80" s="8">
        <v>250.12205044751832</v>
      </c>
      <c r="AL80" s="8">
        <v>248.57142857142858</v>
      </c>
      <c r="AM80" s="8">
        <v>245.08437838674718</v>
      </c>
    </row>
    <row r="81" spans="1:39">
      <c r="A81" s="19" t="s">
        <v>74</v>
      </c>
      <c r="B81" s="8">
        <v>899.00153609831023</v>
      </c>
      <c r="C81" s="8">
        <v>1041.3675859463544</v>
      </c>
      <c r="D81" s="8">
        <v>1016.3295602152532</v>
      </c>
      <c r="E81" s="8">
        <v>1077.3571168547508</v>
      </c>
      <c r="F81" s="8">
        <v>1130.4580288718589</v>
      </c>
      <c r="G81" s="8">
        <v>1191.7450365726229</v>
      </c>
      <c r="H81" s="8">
        <v>1201.358234295416</v>
      </c>
      <c r="I81" s="8">
        <v>1244.9586776859505</v>
      </c>
      <c r="J81" s="8">
        <v>1291.1840411840412</v>
      </c>
      <c r="K81" s="8">
        <v>1350.5639097744361</v>
      </c>
      <c r="L81" s="8">
        <v>1387.7955758962626</v>
      </c>
      <c r="M81" s="8">
        <v>1345.2221726853916</v>
      </c>
      <c r="N81" s="8">
        <v>1372.3388848660391</v>
      </c>
      <c r="O81" s="8">
        <v>1422.8311798949312</v>
      </c>
      <c r="P81" s="8">
        <v>1458.2644628099174</v>
      </c>
      <c r="Q81" s="8">
        <v>1392.4996663552649</v>
      </c>
      <c r="R81" s="8">
        <v>1448.6662329212752</v>
      </c>
      <c r="S81" s="8">
        <v>1417.7907864596591</v>
      </c>
      <c r="T81" s="8">
        <v>1424.299535117477</v>
      </c>
      <c r="U81" s="8">
        <v>1500.7358351729213</v>
      </c>
      <c r="V81" s="8">
        <v>1528.6126472709786</v>
      </c>
      <c r="W81" s="8">
        <v>1614.4876325088339</v>
      </c>
      <c r="X81" s="8">
        <v>1617.9969966501096</v>
      </c>
      <c r="Y81" s="8">
        <v>1639.4781622234827</v>
      </c>
      <c r="Z81" s="8">
        <v>1651.2614422862246</v>
      </c>
      <c r="AA81" s="8">
        <v>1743.7561887996478</v>
      </c>
      <c r="AB81" s="8">
        <v>1813.5648399348888</v>
      </c>
      <c r="AC81" s="8">
        <v>1876.2455801992928</v>
      </c>
      <c r="AD81" s="8">
        <v>1963.9382402707276</v>
      </c>
      <c r="AE81" s="8">
        <v>2032.9360100376412</v>
      </c>
      <c r="AF81" s="8">
        <v>2108.8484597891256</v>
      </c>
      <c r="AG81" s="8">
        <v>2120.0163565732978</v>
      </c>
      <c r="AH81" s="8">
        <v>2224.6951219512193</v>
      </c>
      <c r="AI81" s="8">
        <v>2337.1929118002417</v>
      </c>
      <c r="AJ81" s="8">
        <v>2406.6207996809253</v>
      </c>
      <c r="AK81" s="8">
        <v>2518.0687203791467</v>
      </c>
      <c r="AL81" s="8">
        <v>2652.1271393643033</v>
      </c>
      <c r="AM81" s="8">
        <v>2759.8528130144282</v>
      </c>
    </row>
    <row r="82" spans="1:39">
      <c r="A82" s="19" t="s">
        <v>75</v>
      </c>
      <c r="B82" s="8">
        <v>556.8022440392707</v>
      </c>
      <c r="C82" s="8">
        <v>588.02259887005653</v>
      </c>
      <c r="D82" s="8">
        <v>562.90956749672341</v>
      </c>
      <c r="E82" s="8">
        <v>578.96959459459458</v>
      </c>
      <c r="F82" s="8">
        <v>547.05041845274548</v>
      </c>
      <c r="G82" s="8">
        <v>562.0927936821322</v>
      </c>
      <c r="H82" s="8">
        <v>519.00668576886335</v>
      </c>
      <c r="I82" s="8">
        <v>505.08411906082455</v>
      </c>
      <c r="J82" s="8">
        <v>473.9667203435319</v>
      </c>
      <c r="K82" s="8">
        <v>472.80914444059579</v>
      </c>
      <c r="L82" s="8">
        <v>485.75259805564866</v>
      </c>
      <c r="M82" s="8">
        <v>457.08258964789871</v>
      </c>
      <c r="N82" s="8">
        <v>433.77847604084837</v>
      </c>
      <c r="O82" s="8">
        <v>418.68248897002888</v>
      </c>
      <c r="P82" s="8">
        <v>412.08548268238764</v>
      </c>
      <c r="Q82" s="8">
        <v>402.31362467866325</v>
      </c>
      <c r="R82" s="8">
        <v>400.27681660899657</v>
      </c>
      <c r="S82" s="8">
        <v>412.56207220507315</v>
      </c>
      <c r="T82" s="8">
        <v>396.09375</v>
      </c>
      <c r="U82" s="8">
        <v>382.80657395701644</v>
      </c>
      <c r="V82" s="8">
        <v>371.65315647261116</v>
      </c>
      <c r="W82" s="8">
        <v>355.14688320993548</v>
      </c>
      <c r="X82" s="8">
        <v>368.83056555568459</v>
      </c>
      <c r="Y82" s="8">
        <v>327.7244494635799</v>
      </c>
      <c r="Z82" s="8">
        <v>309.61791831357044</v>
      </c>
      <c r="AA82" s="8">
        <v>321.80964575330773</v>
      </c>
      <c r="AB82" s="8">
        <v>323.00196952420441</v>
      </c>
      <c r="AC82" s="8">
        <v>308.11083123425692</v>
      </c>
      <c r="AD82" s="8">
        <v>306.47058823529414</v>
      </c>
      <c r="AE82" s="8">
        <v>309.3532053119327</v>
      </c>
      <c r="AF82" s="8">
        <v>316.67288325251769</v>
      </c>
      <c r="AG82" s="8">
        <v>317.90010936930372</v>
      </c>
      <c r="AH82" s="8">
        <v>328.5497816204653</v>
      </c>
      <c r="AI82" s="8">
        <v>338.73779637377964</v>
      </c>
      <c r="AJ82" s="8">
        <v>348.35576759243486</v>
      </c>
      <c r="AK82" s="8">
        <v>361.26133621765536</v>
      </c>
      <c r="AL82" s="8">
        <v>374.45184343024198</v>
      </c>
      <c r="AM82" s="8">
        <v>387.32171156893821</v>
      </c>
    </row>
    <row r="83" spans="1:39">
      <c r="A83" s="19" t="s">
        <v>76</v>
      </c>
      <c r="B83" s="8">
        <v>650.00928850083596</v>
      </c>
      <c r="C83" s="8">
        <v>680.48824268533485</v>
      </c>
      <c r="D83" s="8">
        <v>674.64446756850498</v>
      </c>
      <c r="E83" s="8">
        <v>695.1055983908816</v>
      </c>
      <c r="F83" s="8">
        <v>659.37094682230872</v>
      </c>
      <c r="G83" s="8">
        <v>641.34358813373103</v>
      </c>
      <c r="H83" s="8">
        <v>578.68329025391517</v>
      </c>
      <c r="I83" s="8">
        <v>545.11997644634187</v>
      </c>
      <c r="J83" s="8">
        <v>544.4064901793339</v>
      </c>
      <c r="K83" s="8">
        <v>600.93380939302392</v>
      </c>
      <c r="L83" s="8">
        <v>651.19661509982814</v>
      </c>
      <c r="M83" s="8">
        <v>642.51207729468604</v>
      </c>
      <c r="N83" s="8">
        <v>627.24496029321926</v>
      </c>
      <c r="O83" s="8">
        <v>591.68330788206276</v>
      </c>
      <c r="P83" s="8">
        <v>608.93159977388348</v>
      </c>
      <c r="Q83" s="8">
        <v>599.21542987904547</v>
      </c>
      <c r="R83" s="8">
        <v>584.96319663512099</v>
      </c>
      <c r="S83" s="8">
        <v>608.15206342752595</v>
      </c>
      <c r="T83" s="8">
        <v>619.67116274490502</v>
      </c>
      <c r="U83" s="8">
        <v>643.72430933945122</v>
      </c>
      <c r="V83" s="8">
        <v>661.14625976925947</v>
      </c>
      <c r="W83" s="8">
        <v>586.91113733321231</v>
      </c>
      <c r="X83" s="8">
        <v>579.83491612674186</v>
      </c>
      <c r="Y83" s="8">
        <v>620.66266631881035</v>
      </c>
      <c r="Z83" s="8">
        <v>610.26210193801762</v>
      </c>
      <c r="AA83" s="8">
        <v>662.27333781061111</v>
      </c>
      <c r="AB83" s="8">
        <v>669.86437313926558</v>
      </c>
      <c r="AC83" s="8">
        <v>680.43762246897461</v>
      </c>
      <c r="AD83" s="8">
        <v>649.47453516572364</v>
      </c>
      <c r="AE83" s="8">
        <v>594.0586109995985</v>
      </c>
      <c r="AF83" s="8">
        <v>575.82786754119343</v>
      </c>
      <c r="AG83" s="8">
        <v>549.84821856526594</v>
      </c>
      <c r="AH83" s="8">
        <v>492.9656274980016</v>
      </c>
      <c r="AI83" s="8">
        <v>474.94396413704766</v>
      </c>
      <c r="AJ83" s="8">
        <v>450.34068136272549</v>
      </c>
      <c r="AK83" s="8">
        <v>429.32819648446906</v>
      </c>
      <c r="AL83" s="8">
        <v>403.48622379307574</v>
      </c>
      <c r="AM83" s="8">
        <v>378.48030169301131</v>
      </c>
    </row>
    <row r="84" spans="1:39">
      <c r="A84" s="19" t="s">
        <v>77</v>
      </c>
      <c r="B84" s="8">
        <v>349.95189364121404</v>
      </c>
      <c r="C84" s="8">
        <v>349.9921644608437</v>
      </c>
      <c r="D84" s="8">
        <v>342.9593342054722</v>
      </c>
      <c r="E84" s="8">
        <v>343.06073973532409</v>
      </c>
      <c r="F84" s="8">
        <v>343.38097376694054</v>
      </c>
      <c r="G84" s="8">
        <v>349.74681110185247</v>
      </c>
      <c r="H84" s="8">
        <v>353.68956743002548</v>
      </c>
      <c r="I84" s="8">
        <v>353.21111938684794</v>
      </c>
      <c r="J84" s="8">
        <v>350.45858745751667</v>
      </c>
      <c r="K84" s="8">
        <v>348.8824101068999</v>
      </c>
      <c r="L84" s="8">
        <v>334.64983033876621</v>
      </c>
      <c r="M84" s="8">
        <v>335.32622258873056</v>
      </c>
      <c r="N84" s="8">
        <v>332.44728732248188</v>
      </c>
      <c r="O84" s="8">
        <v>326.33970056788849</v>
      </c>
      <c r="P84" s="8">
        <v>327.2551915368154</v>
      </c>
      <c r="Q84" s="8">
        <v>329.15070149268286</v>
      </c>
      <c r="R84" s="8">
        <v>327.8078452485525</v>
      </c>
      <c r="S84" s="8">
        <v>331.20109814687714</v>
      </c>
      <c r="T84" s="8">
        <v>330.38547342037668</v>
      </c>
      <c r="U84" s="8">
        <v>327.74456286283686</v>
      </c>
      <c r="V84" s="8">
        <v>308.38873713686883</v>
      </c>
      <c r="W84" s="8">
        <v>306.48780899350373</v>
      </c>
      <c r="X84" s="8">
        <v>307.48113129302482</v>
      </c>
      <c r="Y84" s="8">
        <v>298.20235508573199</v>
      </c>
      <c r="Z84" s="8">
        <v>306.33203404661526</v>
      </c>
      <c r="AA84" s="8">
        <v>312.48112615856354</v>
      </c>
      <c r="AB84" s="8">
        <v>318.65886365514496</v>
      </c>
      <c r="AC84" s="8">
        <v>324.20044815644735</v>
      </c>
      <c r="AD84" s="8">
        <v>330.24078222522786</v>
      </c>
      <c r="AE84" s="8">
        <v>332.57764059981974</v>
      </c>
      <c r="AF84" s="8">
        <v>344.82987155866022</v>
      </c>
      <c r="AG84" s="8">
        <v>346.74314702512004</v>
      </c>
      <c r="AH84" s="8">
        <v>354.07111706221337</v>
      </c>
      <c r="AI84" s="8">
        <v>365.94207305947185</v>
      </c>
      <c r="AJ84" s="8">
        <v>373.53984393473633</v>
      </c>
      <c r="AK84" s="8">
        <v>381.76166755721027</v>
      </c>
      <c r="AL84" s="8">
        <v>392.77554007474737</v>
      </c>
      <c r="AM84" s="8">
        <v>404.772250768579</v>
      </c>
    </row>
    <row r="85" spans="1:39">
      <c r="A85" s="20" t="s">
        <v>78</v>
      </c>
      <c r="B85" s="8">
        <v>711.82483950524306</v>
      </c>
      <c r="C85" s="8">
        <v>711.0616930826111</v>
      </c>
      <c r="D85" s="8">
        <v>715.41161227134069</v>
      </c>
      <c r="E85" s="8">
        <v>721.02688879509401</v>
      </c>
      <c r="F85" s="8">
        <v>722.70716510150783</v>
      </c>
      <c r="G85" s="8">
        <v>754.76526753884013</v>
      </c>
      <c r="H85" s="8">
        <v>764.29593137770144</v>
      </c>
      <c r="I85" s="8">
        <v>763.62675172534807</v>
      </c>
      <c r="J85" s="8">
        <v>782.25980553012892</v>
      </c>
      <c r="K85" s="8">
        <v>790.80047413747889</v>
      </c>
      <c r="L85" s="8">
        <v>771.52677684973207</v>
      </c>
      <c r="M85" s="8">
        <v>762.75450572699788</v>
      </c>
      <c r="N85" s="8">
        <v>751.02837486934777</v>
      </c>
      <c r="O85" s="8">
        <v>755.2901962324712</v>
      </c>
      <c r="P85" s="8">
        <v>753.83905238557361</v>
      </c>
      <c r="Q85" s="8">
        <v>744.83344309416066</v>
      </c>
      <c r="R85" s="8">
        <v>735.58769536946488</v>
      </c>
      <c r="S85" s="8">
        <v>745.85923741928593</v>
      </c>
      <c r="T85" s="8">
        <v>747.82130570815468</v>
      </c>
      <c r="U85" s="8">
        <v>730.51196823202235</v>
      </c>
      <c r="V85" s="8">
        <v>724.74847981461187</v>
      </c>
      <c r="W85" s="8">
        <v>707.37351677187291</v>
      </c>
      <c r="X85" s="8">
        <v>694.30854462230548</v>
      </c>
      <c r="Y85" s="8">
        <v>691.64195062858835</v>
      </c>
      <c r="Z85" s="8">
        <v>690.89059173172461</v>
      </c>
      <c r="AA85" s="8">
        <v>709.51897591297802</v>
      </c>
      <c r="AB85" s="8">
        <v>715.09069124642633</v>
      </c>
      <c r="AC85" s="8">
        <v>719.22122100759418</v>
      </c>
      <c r="AD85" s="8">
        <v>722.9624482977448</v>
      </c>
      <c r="AE85" s="8">
        <v>729.99143416544291</v>
      </c>
      <c r="AF85" s="8">
        <v>740.70330867595624</v>
      </c>
      <c r="AG85" s="8">
        <v>746.9301490753686</v>
      </c>
      <c r="AH85" s="8">
        <v>764.67382505649266</v>
      </c>
      <c r="AI85" s="8">
        <v>788.58168913206453</v>
      </c>
      <c r="AJ85" s="8">
        <v>808.93538708002802</v>
      </c>
      <c r="AK85" s="8">
        <v>836.38316425274888</v>
      </c>
      <c r="AL85" s="8">
        <v>865.50793465965796</v>
      </c>
      <c r="AM85" s="8">
        <v>890.26297100440638</v>
      </c>
    </row>
    <row r="86" spans="1:39">
      <c r="A86" s="19" t="s">
        <v>79</v>
      </c>
      <c r="B86" s="8">
        <v>5780.7017543859647</v>
      </c>
      <c r="C86" s="8">
        <v>5670.8860759493673</v>
      </c>
      <c r="D86" s="8">
        <v>5254.0322580645161</v>
      </c>
      <c r="E86" s="8">
        <v>8594.594594594595</v>
      </c>
      <c r="F86" s="8">
        <v>8977.9411764705874</v>
      </c>
      <c r="G86" s="8">
        <v>10566.433566433567</v>
      </c>
      <c r="H86" s="8">
        <v>11514.950166112958</v>
      </c>
      <c r="I86" s="8">
        <v>11820.18927444795</v>
      </c>
      <c r="J86" s="8">
        <v>11159.638554216866</v>
      </c>
      <c r="K86" s="8">
        <v>11478.386167146975</v>
      </c>
      <c r="L86" s="8">
        <v>10448.753462603878</v>
      </c>
      <c r="M86" s="8">
        <v>9323.5294117647063</v>
      </c>
      <c r="N86" s="8">
        <v>9583.9793281653747</v>
      </c>
      <c r="O86" s="8">
        <v>9735</v>
      </c>
      <c r="P86" s="8">
        <v>8980.6295399515748</v>
      </c>
      <c r="Q86" s="8">
        <v>8768.6915887850464</v>
      </c>
      <c r="R86" s="8">
        <v>9331.0810810810817</v>
      </c>
      <c r="S86" s="8">
        <v>9636.95652173913</v>
      </c>
      <c r="T86" s="8">
        <v>9346.6386554621859</v>
      </c>
      <c r="U86" s="8">
        <v>9425.963488843814</v>
      </c>
      <c r="V86" s="8">
        <v>10135.294117647059</v>
      </c>
      <c r="W86" s="8">
        <v>10464.895635673623</v>
      </c>
      <c r="X86" s="8">
        <v>11420.183486238531</v>
      </c>
      <c r="Y86" s="8">
        <v>11048.042704626334</v>
      </c>
      <c r="Z86" s="8">
        <v>11164.359861591696</v>
      </c>
      <c r="AA86" s="8">
        <v>11328.836424957843</v>
      </c>
      <c r="AB86" s="8">
        <v>11391.447368421053</v>
      </c>
      <c r="AC86" s="8">
        <v>11667.202572347267</v>
      </c>
      <c r="AD86" s="8">
        <v>11902.515723270441</v>
      </c>
      <c r="AE86" s="8">
        <v>12263.076923076922</v>
      </c>
      <c r="AF86" s="8">
        <v>12536.842105263157</v>
      </c>
      <c r="AG86" s="8">
        <v>12905.882352941175</v>
      </c>
      <c r="AH86" s="8">
        <v>13536.690647482015</v>
      </c>
      <c r="AI86" s="8">
        <v>13992.957746478874</v>
      </c>
      <c r="AJ86" s="8">
        <v>14771.034482758621</v>
      </c>
      <c r="AK86" s="8">
        <v>15607.577807848444</v>
      </c>
      <c r="AL86" s="8">
        <v>16333.333333333334</v>
      </c>
      <c r="AM86" s="8">
        <v>17015.645371577575</v>
      </c>
    </row>
    <row r="87" spans="1:39">
      <c r="A87" s="19" t="s">
        <v>80</v>
      </c>
      <c r="B87" s="8">
        <v>1586.7743254292723</v>
      </c>
      <c r="C87" s="8">
        <v>1789.3554461660447</v>
      </c>
      <c r="D87" s="8">
        <v>1831.9018011665919</v>
      </c>
      <c r="E87" s="8">
        <v>1943.2771803319451</v>
      </c>
      <c r="F87" s="8">
        <v>1991.2365235198456</v>
      </c>
      <c r="G87" s="8">
        <v>2270.5635281764089</v>
      </c>
      <c r="H87" s="8">
        <v>2170.8860759493668</v>
      </c>
      <c r="I87" s="8">
        <v>1944.657219456147</v>
      </c>
      <c r="J87" s="8">
        <v>1747.0494839904736</v>
      </c>
      <c r="K87" s="8">
        <v>1464.2418975564869</v>
      </c>
      <c r="L87" s="8">
        <v>1339.639861864825</v>
      </c>
      <c r="M87" s="8">
        <v>1459.7958260952335</v>
      </c>
      <c r="N87" s="8">
        <v>1584.5126958276944</v>
      </c>
      <c r="O87" s="8">
        <v>1501.5790287316977</v>
      </c>
      <c r="P87" s="8">
        <v>1473.3970276008492</v>
      </c>
      <c r="Q87" s="8">
        <v>1291.1571314447244</v>
      </c>
      <c r="R87" s="8">
        <v>1232.5083293669682</v>
      </c>
      <c r="S87" s="8">
        <v>1122.0663609387643</v>
      </c>
      <c r="T87" s="8">
        <v>1161.6254602840611</v>
      </c>
      <c r="U87" s="8">
        <v>1292.1691176470588</v>
      </c>
      <c r="V87" s="8">
        <v>1431.6956694765024</v>
      </c>
      <c r="W87" s="8">
        <v>1468.7422122539074</v>
      </c>
      <c r="X87" s="8">
        <v>1422.5581558295964</v>
      </c>
      <c r="Y87" s="8">
        <v>1394.9563898369358</v>
      </c>
      <c r="Z87" s="8">
        <v>1409.1155816399225</v>
      </c>
      <c r="AA87" s="8">
        <v>1485.8631573673576</v>
      </c>
      <c r="AB87" s="8">
        <v>1512.8698541142414</v>
      </c>
      <c r="AC87" s="8">
        <v>1527.9794337822764</v>
      </c>
      <c r="AD87" s="8">
        <v>1531.6320852214008</v>
      </c>
      <c r="AE87" s="8">
        <v>1584.1192386493376</v>
      </c>
      <c r="AF87" s="8">
        <v>1615.9777155344887</v>
      </c>
      <c r="AG87" s="8">
        <v>1710.1675402187416</v>
      </c>
      <c r="AH87" s="8">
        <v>1803.6960801861464</v>
      </c>
      <c r="AI87" s="8">
        <v>1866.8556905492956</v>
      </c>
      <c r="AJ87" s="8">
        <v>1924.3851954781651</v>
      </c>
      <c r="AK87" s="8">
        <v>2008.4167879254758</v>
      </c>
      <c r="AL87" s="8">
        <v>2137.4382224975711</v>
      </c>
      <c r="AM87" s="8">
        <v>2227.8058813719495</v>
      </c>
    </row>
    <row r="88" spans="1:39">
      <c r="A88" s="19" t="s">
        <v>81</v>
      </c>
      <c r="B88" s="8">
        <v>5189.6835182901768</v>
      </c>
      <c r="C88" s="8">
        <v>4747.3663287616782</v>
      </c>
      <c r="D88" s="8">
        <v>5351.759277062104</v>
      </c>
      <c r="E88" s="8">
        <v>5402.9198437790592</v>
      </c>
      <c r="F88" s="8">
        <v>5774.1500269832704</v>
      </c>
      <c r="G88" s="8">
        <v>6352.7057595267097</v>
      </c>
      <c r="H88" s="8">
        <v>6542.8763780190193</v>
      </c>
      <c r="I88" s="8">
        <v>6974.6691564504345</v>
      </c>
      <c r="J88" s="8">
        <v>9217.8884711779447</v>
      </c>
      <c r="K88" s="8">
        <v>7297.4382226252546</v>
      </c>
      <c r="L88" s="8">
        <v>4253.0832664380068</v>
      </c>
      <c r="M88" s="8">
        <v>3591.9000917236999</v>
      </c>
      <c r="N88" s="8">
        <v>4921.6489216489217</v>
      </c>
      <c r="O88" s="8">
        <v>4757.733658729635</v>
      </c>
      <c r="P88" s="8">
        <v>3937.6831910284182</v>
      </c>
      <c r="Q88" s="8">
        <v>3071.4593463408628</v>
      </c>
      <c r="R88" s="8">
        <v>2971.8914344435716</v>
      </c>
      <c r="S88" s="8">
        <v>2596.9597370583401</v>
      </c>
      <c r="T88" s="8">
        <v>2707.5364298724953</v>
      </c>
      <c r="U88" s="8">
        <v>1817.6454370002755</v>
      </c>
      <c r="V88" s="8">
        <v>932.00549450549431</v>
      </c>
      <c r="W88" s="8">
        <v>1046.3553913335575</v>
      </c>
      <c r="X88" s="8">
        <v>707.85112741102955</v>
      </c>
      <c r="Y88" s="8">
        <v>692.77807063784928</v>
      </c>
      <c r="Z88" s="8">
        <v>645.13984762489144</v>
      </c>
      <c r="AA88" s="8">
        <v>638.92470985021328</v>
      </c>
      <c r="AB88" s="8">
        <v>774.93261455525612</v>
      </c>
      <c r="AC88" s="8">
        <v>1009.440134592018</v>
      </c>
      <c r="AD88" s="8">
        <v>1225.5458217965595</v>
      </c>
      <c r="AE88" s="8">
        <v>1142.1767507496913</v>
      </c>
      <c r="AF88" s="8">
        <v>1037.202125835762</v>
      </c>
      <c r="AG88" s="8">
        <v>929.0892425631198</v>
      </c>
      <c r="AH88" s="8">
        <v>530.72965198719771</v>
      </c>
      <c r="AI88" s="8">
        <v>752.70935960591135</v>
      </c>
      <c r="AJ88" s="8">
        <v>759.61649089165871</v>
      </c>
      <c r="AK88" s="8">
        <v>741.7391629018407</v>
      </c>
      <c r="AL88" s="8">
        <v>758.5090909090909</v>
      </c>
      <c r="AM88" s="8">
        <v>811.38159526593677</v>
      </c>
    </row>
    <row r="89" spans="1:39">
      <c r="A89" s="19" t="s">
        <v>82</v>
      </c>
      <c r="B89" s="8">
        <v>10470.265029088559</v>
      </c>
      <c r="C89" s="8">
        <v>11449.732114717932</v>
      </c>
      <c r="D89" s="8">
        <v>11620.720993638291</v>
      </c>
      <c r="E89" s="8">
        <v>12012.941176470589</v>
      </c>
      <c r="F89" s="8">
        <v>12127.983894161634</v>
      </c>
      <c r="G89" s="8">
        <v>11900.14064697609</v>
      </c>
      <c r="H89" s="8">
        <v>11761.970280682444</v>
      </c>
      <c r="I89" s="8">
        <v>12157.639450282943</v>
      </c>
      <c r="J89" s="8">
        <v>12590.120861797162</v>
      </c>
      <c r="K89" s="8">
        <v>12498.204207285788</v>
      </c>
      <c r="L89" s="8">
        <v>12910.691823899371</v>
      </c>
      <c r="M89" s="8">
        <v>12935.555555555557</v>
      </c>
      <c r="N89" s="8">
        <v>13129.970902036859</v>
      </c>
      <c r="O89" s="8">
        <v>13081.378650071805</v>
      </c>
      <c r="P89" s="8">
        <v>13375.676311456127</v>
      </c>
      <c r="Q89" s="8">
        <v>13723.187398656473</v>
      </c>
      <c r="R89" s="8">
        <v>14468.201504444953</v>
      </c>
      <c r="S89" s="8">
        <v>14645.515695067264</v>
      </c>
      <c r="T89" s="8">
        <v>14486.218302094818</v>
      </c>
      <c r="U89" s="8">
        <v>15077.202737382378</v>
      </c>
      <c r="V89" s="8">
        <v>15321.363728061327</v>
      </c>
      <c r="W89" s="8">
        <v>15959.633385335414</v>
      </c>
      <c r="X89" s="8">
        <v>16187.310030395136</v>
      </c>
      <c r="Y89" s="8">
        <v>16948.528050361045</v>
      </c>
      <c r="Z89" s="8">
        <v>17602.524797114518</v>
      </c>
      <c r="AA89" s="8">
        <v>18135.62005277045</v>
      </c>
      <c r="AB89" s="8">
        <v>18194.372962772344</v>
      </c>
      <c r="AC89" s="8">
        <v>18521.353207167977</v>
      </c>
      <c r="AD89" s="8">
        <v>18651.591836734693</v>
      </c>
      <c r="AE89" s="8">
        <v>19835.744951502624</v>
      </c>
      <c r="AF89" s="8">
        <v>19365.740021742506</v>
      </c>
      <c r="AG89" s="8">
        <v>18853.272450532724</v>
      </c>
      <c r="AH89" s="8">
        <v>18794.917787742899</v>
      </c>
      <c r="AI89" s="8">
        <v>19389.484505801145</v>
      </c>
      <c r="AJ89" s="8">
        <v>20022.510822510823</v>
      </c>
      <c r="AK89" s="8">
        <v>20709.668273320101</v>
      </c>
      <c r="AL89" s="8">
        <v>21404.874651810587</v>
      </c>
      <c r="AM89" s="8">
        <v>21865.389876880985</v>
      </c>
    </row>
    <row r="90" spans="1:39">
      <c r="A90" s="19" t="s">
        <v>83</v>
      </c>
      <c r="B90" s="8">
        <v>1313.8500635324015</v>
      </c>
      <c r="C90" s="8">
        <v>1338.4332925336598</v>
      </c>
      <c r="D90" s="8">
        <v>1208.2840236686391</v>
      </c>
      <c r="E90" s="8">
        <v>1168.1922196796338</v>
      </c>
      <c r="F90" s="8">
        <v>1118.7845303867402</v>
      </c>
      <c r="G90" s="8">
        <v>1341.6844349680171</v>
      </c>
      <c r="H90" s="8">
        <v>1376.990241397021</v>
      </c>
      <c r="I90" s="8">
        <v>1605.1459673428997</v>
      </c>
      <c r="J90" s="8">
        <v>1686.5173892329678</v>
      </c>
      <c r="K90" s="8">
        <v>1931.6827143512151</v>
      </c>
      <c r="L90" s="8">
        <v>1945.7432730480812</v>
      </c>
      <c r="M90" s="8">
        <v>2007.2033898305085</v>
      </c>
      <c r="N90" s="8">
        <v>1967.0195439739414</v>
      </c>
      <c r="O90" s="8">
        <v>2057.624460995688</v>
      </c>
      <c r="P90" s="8">
        <v>2053.7065052950074</v>
      </c>
      <c r="Q90" s="8">
        <v>2117.7113702623906</v>
      </c>
      <c r="R90" s="8">
        <v>2100.8432888264228</v>
      </c>
      <c r="S90" s="8">
        <v>1990.8412483039349</v>
      </c>
      <c r="T90" s="8">
        <v>1661.9764397905758</v>
      </c>
      <c r="U90" s="8">
        <v>1617.9810725552052</v>
      </c>
      <c r="V90" s="8">
        <v>1473.0606488011283</v>
      </c>
      <c r="W90" s="8">
        <v>1660.058933833378</v>
      </c>
      <c r="X90" s="8">
        <v>1660.010240655402</v>
      </c>
      <c r="Y90" s="8">
        <v>1676.1881310022163</v>
      </c>
      <c r="Z90" s="8">
        <v>1723.0035756853397</v>
      </c>
      <c r="AA90" s="8">
        <v>1706.1271676300578</v>
      </c>
      <c r="AB90" s="8">
        <v>1709.5761381475668</v>
      </c>
      <c r="AC90" s="8">
        <v>1708.2880139221229</v>
      </c>
      <c r="AD90" s="8">
        <v>1734.4584490493485</v>
      </c>
      <c r="AE90" s="8">
        <v>1764.0683618174239</v>
      </c>
      <c r="AF90" s="8">
        <v>1811.7120780805205</v>
      </c>
      <c r="AG90" s="8">
        <v>1870.7820563715759</v>
      </c>
      <c r="AH90" s="8">
        <v>1901.4329976762201</v>
      </c>
      <c r="AI90" s="8">
        <v>2015.1228733459357</v>
      </c>
      <c r="AJ90" s="8">
        <v>2109.0169992609017</v>
      </c>
      <c r="AK90" s="8">
        <v>2247.0205850487541</v>
      </c>
      <c r="AL90" s="8">
        <v>2319.1117328204232</v>
      </c>
      <c r="AM90" s="8">
        <v>2371.655943108703</v>
      </c>
    </row>
    <row r="91" spans="1:39">
      <c r="A91" s="19" t="s">
        <v>84</v>
      </c>
      <c r="B91" s="8">
        <v>40048.994974874367</v>
      </c>
      <c r="C91" s="8">
        <v>39386.982248520711</v>
      </c>
      <c r="D91" s="8">
        <v>35437.360178970914</v>
      </c>
      <c r="E91" s="8">
        <v>30257.65575501584</v>
      </c>
      <c r="F91" s="8">
        <v>26178.74875868918</v>
      </c>
      <c r="G91" s="8">
        <v>26803.355079217148</v>
      </c>
      <c r="H91" s="8">
        <v>25114.510489510492</v>
      </c>
      <c r="I91" s="8">
        <v>25324.302134646961</v>
      </c>
      <c r="J91" s="8">
        <v>27111.882716049382</v>
      </c>
      <c r="K91" s="8">
        <v>20285.81818181818</v>
      </c>
      <c r="L91" s="8">
        <v>15565.12749827705</v>
      </c>
      <c r="M91" s="8">
        <v>12994.750656167978</v>
      </c>
      <c r="N91" s="8">
        <v>13726.302573760202</v>
      </c>
      <c r="O91" s="8">
        <v>13904.53172205438</v>
      </c>
      <c r="P91" s="8">
        <v>12869.158878504673</v>
      </c>
      <c r="Q91" s="8">
        <v>13355.108877721943</v>
      </c>
      <c r="R91" s="8">
        <v>13810.464495461825</v>
      </c>
      <c r="S91" s="8">
        <v>11883.554647599592</v>
      </c>
      <c r="T91" s="8">
        <v>14303.22265625</v>
      </c>
      <c r="U91" s="8">
        <v>11924.705882352941</v>
      </c>
      <c r="V91" s="8">
        <v>10968.451944240645</v>
      </c>
      <c r="W91" s="8">
        <v>15410.396716826266</v>
      </c>
      <c r="X91" s="8">
        <v>19264.837268666241</v>
      </c>
      <c r="Y91" s="8">
        <v>19473.527662105887</v>
      </c>
      <c r="Z91" s="8">
        <v>19048.279689234183</v>
      </c>
      <c r="AA91" s="8">
        <v>18232.840549102431</v>
      </c>
      <c r="AB91" s="8">
        <v>17872.222222222223</v>
      </c>
      <c r="AC91" s="8">
        <v>18097.187962506167</v>
      </c>
      <c r="AD91" s="8">
        <v>17098.718557190317</v>
      </c>
      <c r="AE91" s="8">
        <v>17222.831050228309</v>
      </c>
      <c r="AF91" s="8">
        <v>16700.219780219781</v>
      </c>
      <c r="AG91" s="8">
        <v>16759.314775160601</v>
      </c>
      <c r="AH91" s="8">
        <v>19161.519198664442</v>
      </c>
      <c r="AI91" s="8">
        <v>20657.723577235774</v>
      </c>
      <c r="AJ91" s="8">
        <v>22330.177514792897</v>
      </c>
      <c r="AK91" s="8">
        <v>23145.825317429779</v>
      </c>
      <c r="AL91" s="8">
        <v>23622.60608336463</v>
      </c>
      <c r="AM91" s="8">
        <v>24518.3284457478</v>
      </c>
    </row>
    <row r="92" spans="1:39">
      <c r="A92" s="19" t="s">
        <v>85</v>
      </c>
      <c r="B92" s="8">
        <v>5055.0898203592815</v>
      </c>
      <c r="C92" s="8">
        <v>5522.5505443234833</v>
      </c>
      <c r="D92" s="8">
        <v>5637.6042456406367</v>
      </c>
      <c r="E92" s="8">
        <v>5703.1539888682746</v>
      </c>
      <c r="F92" s="8">
        <v>4535.2575812933865</v>
      </c>
      <c r="G92" s="8">
        <v>1932.6818675352879</v>
      </c>
      <c r="H92" s="8">
        <v>3527.7577505407353</v>
      </c>
      <c r="I92" s="8">
        <v>3417.8674351585018</v>
      </c>
      <c r="J92" s="8">
        <v>3738.5667987036368</v>
      </c>
      <c r="K92" s="8">
        <v>3783.4829443447034</v>
      </c>
      <c r="L92" s="8">
        <v>3780.7925740806854</v>
      </c>
      <c r="M92" s="8">
        <v>2370.0424929178471</v>
      </c>
      <c r="N92" s="8">
        <v>2880.3928446159243</v>
      </c>
      <c r="O92" s="8">
        <v>4128.7404314544192</v>
      </c>
      <c r="P92" s="8">
        <v>5102.0408163265301</v>
      </c>
      <c r="Q92" s="8">
        <v>4743.6162870945482</v>
      </c>
      <c r="R92" s="8">
        <v>5533.9772335288026</v>
      </c>
      <c r="S92" s="8">
        <v>3966.2534435261709</v>
      </c>
      <c r="T92" s="8">
        <v>2265.5502392344497</v>
      </c>
      <c r="U92" s="8">
        <v>2820.4438466711499</v>
      </c>
      <c r="V92" s="8">
        <v>3796.9210612512284</v>
      </c>
      <c r="W92" s="8">
        <v>3835.6554781507284</v>
      </c>
      <c r="X92" s="8">
        <v>3955.1418980775097</v>
      </c>
      <c r="Y92" s="8">
        <v>4126.7688679245284</v>
      </c>
      <c r="Z92" s="8">
        <v>4271.841879117731</v>
      </c>
      <c r="AA92" s="8">
        <v>4393.107312972822</v>
      </c>
      <c r="AB92" s="8">
        <v>4498.4852657670062</v>
      </c>
      <c r="AC92" s="8">
        <v>4567.5088291225211</v>
      </c>
      <c r="AD92" s="8">
        <v>4451.1540526033277</v>
      </c>
      <c r="AE92" s="8">
        <v>4459.7030752916226</v>
      </c>
      <c r="AF92" s="8">
        <v>4610.5731483904738</v>
      </c>
      <c r="AG92" s="8">
        <v>4697.0793486689063</v>
      </c>
      <c r="AH92" s="8">
        <v>4826.9525267993877</v>
      </c>
      <c r="AI92" s="8">
        <v>5125.3467843631779</v>
      </c>
      <c r="AJ92" s="8">
        <v>5118.9229618548989</v>
      </c>
      <c r="AK92" s="8">
        <v>5034.5252774352657</v>
      </c>
      <c r="AL92" s="8">
        <v>5356.6023919941417</v>
      </c>
      <c r="AM92" s="8">
        <v>5726.5039864701612</v>
      </c>
    </row>
    <row r="93" spans="1:39">
      <c r="A93" s="21" t="s">
        <v>86</v>
      </c>
      <c r="B93" s="8">
        <v>4083.9793281653747</v>
      </c>
      <c r="C93" s="8">
        <v>4318.4079601990043</v>
      </c>
      <c r="D93" s="8">
        <v>3552.5059665871122</v>
      </c>
      <c r="E93" s="8">
        <v>3793.1428571428573</v>
      </c>
      <c r="F93" s="8">
        <v>4504.9073064340237</v>
      </c>
      <c r="G93" s="8">
        <v>5170.3011422637592</v>
      </c>
      <c r="H93" s="8">
        <v>4964.4619940769999</v>
      </c>
      <c r="I93" s="8">
        <v>4534.6441947565545</v>
      </c>
      <c r="J93" s="8">
        <v>4487.5666074600358</v>
      </c>
      <c r="K93" s="8">
        <v>4513.9005897219877</v>
      </c>
      <c r="L93" s="8">
        <v>5009.584664536741</v>
      </c>
      <c r="M93" s="8">
        <v>5296.7448902346705</v>
      </c>
      <c r="N93" s="8">
        <v>5872.6618705035971</v>
      </c>
      <c r="O93" s="8">
        <v>6526.0273972602745</v>
      </c>
      <c r="P93" s="8">
        <v>7113.2940406024891</v>
      </c>
      <c r="Q93" s="8">
        <v>6959.7989949748744</v>
      </c>
      <c r="R93" s="8">
        <v>6464.0483383685796</v>
      </c>
      <c r="S93" s="8">
        <v>6606.060606060606</v>
      </c>
      <c r="T93" s="8">
        <v>7121.4165261382805</v>
      </c>
      <c r="U93" s="8">
        <v>6865.4367878459034</v>
      </c>
      <c r="V93" s="8">
        <v>7026.7015706806287</v>
      </c>
      <c r="W93" s="8">
        <v>7352.198079838302</v>
      </c>
      <c r="X93" s="8">
        <v>7537.8602833414743</v>
      </c>
      <c r="Y93" s="8">
        <v>7589.0151515151501</v>
      </c>
      <c r="Z93" s="8">
        <v>7748.1583793738482</v>
      </c>
      <c r="AA93" s="8">
        <v>7793.7078651685388</v>
      </c>
      <c r="AB93" s="8">
        <v>8085.7519788918207</v>
      </c>
      <c r="AC93" s="8">
        <v>8141.9327006039684</v>
      </c>
      <c r="AD93" s="8">
        <v>7983.9051249470558</v>
      </c>
      <c r="AE93" s="8">
        <v>8271.4404662781017</v>
      </c>
      <c r="AF93" s="8">
        <v>8740.8923454768719</v>
      </c>
      <c r="AG93" s="8">
        <v>8817.6328502415454</v>
      </c>
      <c r="AH93" s="8">
        <v>8844.813935075219</v>
      </c>
      <c r="AI93" s="8">
        <v>9158.7548638132303</v>
      </c>
      <c r="AJ93" s="8">
        <v>9529.0297937356772</v>
      </c>
      <c r="AK93" s="8">
        <v>10055.430711610486</v>
      </c>
      <c r="AL93" s="8">
        <v>10545.854732208363</v>
      </c>
      <c r="AM93" s="8">
        <v>11065.709156193896</v>
      </c>
    </row>
    <row r="94" spans="1:39">
      <c r="A94" s="19" t="s">
        <v>87</v>
      </c>
      <c r="B94" s="8">
        <v>73901.639344262294</v>
      </c>
      <c r="C94" s="8">
        <v>75400</v>
      </c>
      <c r="D94" s="8">
        <v>81687.074829931982</v>
      </c>
      <c r="E94" s="8">
        <v>67806.25</v>
      </c>
      <c r="F94" s="8">
        <v>53421.052631578947</v>
      </c>
      <c r="G94" s="8">
        <v>58331.491712707182</v>
      </c>
      <c r="H94" s="8">
        <v>49557.894736842107</v>
      </c>
      <c r="I94" s="8">
        <v>51535</v>
      </c>
      <c r="J94" s="8">
        <v>50366.197183098593</v>
      </c>
      <c r="K94" s="8">
        <v>46379.912663755458</v>
      </c>
      <c r="L94" s="8">
        <v>40665.338645418327</v>
      </c>
      <c r="M94" s="8">
        <v>33826.714801444039</v>
      </c>
      <c r="N94" s="8">
        <v>29091.803278688527</v>
      </c>
      <c r="O94" s="8">
        <v>30817.365269461076</v>
      </c>
      <c r="P94" s="8">
        <v>24806.094182825487</v>
      </c>
      <c r="Q94" s="8">
        <v>24056.994818652849</v>
      </c>
      <c r="R94" s="8">
        <v>22853.658536585368</v>
      </c>
      <c r="S94" s="8">
        <v>22761.020881670534</v>
      </c>
      <c r="T94" s="8">
        <v>22904.656319290465</v>
      </c>
      <c r="U94" s="8">
        <v>18890.792291220554</v>
      </c>
      <c r="V94" s="8">
        <v>18045.643153526973</v>
      </c>
      <c r="W94" s="8">
        <v>19633.603238866395</v>
      </c>
      <c r="X94" s="8">
        <v>18936.633663366338</v>
      </c>
      <c r="Y94" s="8">
        <v>18735.922330097088</v>
      </c>
      <c r="Z94" s="8">
        <v>19353.61216730038</v>
      </c>
      <c r="AA94" s="8">
        <v>19773.234200743493</v>
      </c>
      <c r="AB94" s="8">
        <v>25310.344827586207</v>
      </c>
      <c r="AC94" s="8">
        <v>27426.056338028171</v>
      </c>
      <c r="AD94" s="8">
        <v>27591.525423728814</v>
      </c>
      <c r="AE94" s="8">
        <v>28784.440842787684</v>
      </c>
      <c r="AF94" s="8">
        <v>28311.728395061727</v>
      </c>
      <c r="AG94" s="8">
        <v>28684.671532846714</v>
      </c>
      <c r="AH94" s="8">
        <v>27781.420765027324</v>
      </c>
      <c r="AI94" s="8">
        <v>30823.086574654953</v>
      </c>
      <c r="AJ94" s="8">
        <v>29451.977401129941</v>
      </c>
      <c r="AK94" s="8">
        <v>28330.669330669334</v>
      </c>
      <c r="AL94" s="8">
        <v>28466.60808435853</v>
      </c>
      <c r="AM94" s="8">
        <v>29434.816549570649</v>
      </c>
    </row>
    <row r="95" spans="1:39">
      <c r="A95" s="19" t="s">
        <v>88</v>
      </c>
      <c r="B95" s="8">
        <v>8823.9025204473382</v>
      </c>
      <c r="C95" s="8">
        <v>10425.263494091345</v>
      </c>
      <c r="D95" s="8">
        <v>12501.067073170732</v>
      </c>
      <c r="E95" s="8">
        <v>15176.803599941935</v>
      </c>
      <c r="F95" s="8">
        <v>15172.941663218866</v>
      </c>
      <c r="G95" s="8">
        <v>16217.078592912252</v>
      </c>
      <c r="H95" s="8">
        <v>16428.995914324627</v>
      </c>
      <c r="I95" s="8">
        <v>15379.681647940073</v>
      </c>
      <c r="J95" s="8">
        <v>15941.124489119627</v>
      </c>
      <c r="K95" s="8">
        <v>16006.247396917952</v>
      </c>
      <c r="L95" s="8">
        <v>15782.5831126802</v>
      </c>
      <c r="M95" s="8">
        <v>13215.776833548864</v>
      </c>
      <c r="N95" s="8">
        <v>11431.87951597458</v>
      </c>
      <c r="O95" s="8">
        <v>10452.813141683777</v>
      </c>
      <c r="P95" s="8">
        <v>9453.4161490683218</v>
      </c>
      <c r="Q95" s="8">
        <v>9403.0717225161661</v>
      </c>
      <c r="R95" s="8">
        <v>8561.6724738675966</v>
      </c>
      <c r="S95" s="8">
        <v>8817.2413793103442</v>
      </c>
      <c r="T95" s="8">
        <v>8439.9264146155801</v>
      </c>
      <c r="U95" s="8">
        <v>8799.5604127236093</v>
      </c>
      <c r="V95" s="8">
        <v>9438.1489706500197</v>
      </c>
      <c r="W95" s="8">
        <v>9707.7531272126507</v>
      </c>
      <c r="X95" s="8">
        <v>9402.3881620293669</v>
      </c>
      <c r="Y95" s="8">
        <v>9190.8460471567269</v>
      </c>
      <c r="Z95" s="8">
        <v>8968.5018099303034</v>
      </c>
      <c r="AA95" s="8">
        <v>9042.8390768257977</v>
      </c>
      <c r="AB95" s="8">
        <v>9054.9783995062753</v>
      </c>
      <c r="AC95" s="8">
        <v>9093.2148058861931</v>
      </c>
      <c r="AD95" s="8">
        <v>8896.9204871769489</v>
      </c>
      <c r="AE95" s="8">
        <v>9120.6621170320886</v>
      </c>
      <c r="AF95" s="8">
        <v>8969.9853240543471</v>
      </c>
      <c r="AG95" s="8">
        <v>8787.6233266941508</v>
      </c>
      <c r="AH95" s="8">
        <v>9261.222453976603</v>
      </c>
      <c r="AI95" s="8">
        <v>9543.4329086954585</v>
      </c>
      <c r="AJ95" s="8">
        <v>9816.3847917297462</v>
      </c>
      <c r="AK95" s="8">
        <v>9886.8617762574431</v>
      </c>
      <c r="AL95" s="8">
        <v>10018.876516123692</v>
      </c>
      <c r="AM95" s="8">
        <v>10227.947739998377</v>
      </c>
    </row>
    <row r="96" spans="1:39">
      <c r="A96" s="19" t="s">
        <v>89</v>
      </c>
      <c r="B96" s="8">
        <v>613.78472749354796</v>
      </c>
      <c r="C96" s="8">
        <v>742.1817647922478</v>
      </c>
      <c r="D96" s="8">
        <v>656.30323679727428</v>
      </c>
      <c r="E96" s="8">
        <v>787.6749931375241</v>
      </c>
      <c r="F96" s="8">
        <v>910.04378399893858</v>
      </c>
      <c r="G96" s="8">
        <v>976.14467102731828</v>
      </c>
      <c r="H96" s="8">
        <v>931.44911367298869</v>
      </c>
      <c r="I96" s="8">
        <v>978.44311377245515</v>
      </c>
      <c r="J96" s="8">
        <v>978.73078256848919</v>
      </c>
      <c r="K96" s="8">
        <v>1056.8498495151043</v>
      </c>
      <c r="L96" s="8">
        <v>1114.7734593085677</v>
      </c>
      <c r="M96" s="8">
        <v>1095.9173126614987</v>
      </c>
      <c r="N96" s="8">
        <v>1070.1492537313432</v>
      </c>
      <c r="O96" s="8">
        <v>988.976226993865</v>
      </c>
      <c r="P96" s="8">
        <v>1012.2977346278318</v>
      </c>
      <c r="Q96" s="8">
        <v>929.35607752076453</v>
      </c>
      <c r="R96" s="8">
        <v>915.88220053545206</v>
      </c>
      <c r="S96" s="8">
        <v>1004.3478260869565</v>
      </c>
      <c r="T96" s="8">
        <v>886.1518515517381</v>
      </c>
      <c r="U96" s="8">
        <v>925.32033645153683</v>
      </c>
      <c r="V96" s="8">
        <v>969.39398565104557</v>
      </c>
      <c r="W96" s="8">
        <v>1068.8223079204984</v>
      </c>
      <c r="X96" s="8">
        <v>1093.3285250631086</v>
      </c>
      <c r="Y96" s="8">
        <v>1145.9167193315075</v>
      </c>
      <c r="Z96" s="8">
        <v>1181.1772758384668</v>
      </c>
      <c r="AA96" s="8">
        <v>1203.2324851399185</v>
      </c>
      <c r="AB96" s="8">
        <v>1196.1001695578454</v>
      </c>
      <c r="AC96" s="8">
        <v>1242.071073748567</v>
      </c>
      <c r="AD96" s="8">
        <v>1168.9764464607545</v>
      </c>
      <c r="AE96" s="8">
        <v>1170.4923990067227</v>
      </c>
      <c r="AF96" s="8">
        <v>1198.6911149106775</v>
      </c>
      <c r="AG96" s="8">
        <v>1212.0082578277327</v>
      </c>
      <c r="AH96" s="8">
        <v>1196.6354723707664</v>
      </c>
      <c r="AI96" s="8">
        <v>1228.0142610198789</v>
      </c>
      <c r="AJ96" s="8">
        <v>1242.4559384969407</v>
      </c>
      <c r="AK96" s="8">
        <v>1261.71105159432</v>
      </c>
      <c r="AL96" s="8">
        <v>1268.8743659773702</v>
      </c>
      <c r="AM96" s="8">
        <v>1289.3955810995431</v>
      </c>
    </row>
    <row r="97" spans="1:39">
      <c r="A97" s="19" t="s">
        <v>90</v>
      </c>
      <c r="B97" s="8">
        <v>33172.932330827069</v>
      </c>
      <c r="C97" s="8">
        <v>32223.974763406939</v>
      </c>
      <c r="D97" s="8">
        <v>49274.406332453822</v>
      </c>
      <c r="E97" s="8">
        <v>47515.555555555555</v>
      </c>
      <c r="F97" s="8">
        <v>42856.603773584902</v>
      </c>
      <c r="G97" s="8">
        <v>42145.161290322583</v>
      </c>
      <c r="H97" s="8">
        <v>42739.554317548747</v>
      </c>
      <c r="I97" s="8">
        <v>36501.827040194883</v>
      </c>
      <c r="J97" s="8">
        <v>40636.264929424535</v>
      </c>
      <c r="K97" s="8">
        <v>46614.778325123159</v>
      </c>
      <c r="L97" s="8">
        <v>44195.277020890098</v>
      </c>
      <c r="M97" s="8">
        <v>37833.898305084746</v>
      </c>
      <c r="N97" s="8">
        <v>33628.184713375798</v>
      </c>
      <c r="O97" s="8">
        <v>33196.093163035315</v>
      </c>
      <c r="P97" s="8">
        <v>29276.595744680853</v>
      </c>
      <c r="Q97" s="8">
        <v>22440.428380187415</v>
      </c>
      <c r="R97" s="8">
        <v>22518.331226295828</v>
      </c>
      <c r="S97" s="8">
        <v>20770.609318996416</v>
      </c>
      <c r="T97" s="8">
        <v>22315.9977388355</v>
      </c>
      <c r="U97" s="8">
        <v>24851.098018211032</v>
      </c>
      <c r="V97" s="8">
        <v>23637.519064565327</v>
      </c>
      <c r="W97" s="8">
        <v>23065.70048309179</v>
      </c>
      <c r="X97" s="8">
        <v>21704.587155963301</v>
      </c>
      <c r="Y97" s="8">
        <v>22090.909090909092</v>
      </c>
      <c r="Z97" s="8">
        <v>22541.940789473683</v>
      </c>
      <c r="AA97" s="8">
        <v>22585.952658129609</v>
      </c>
      <c r="AB97" s="8">
        <v>22705.925384052669</v>
      </c>
      <c r="AC97" s="8">
        <v>22319.999999999996</v>
      </c>
      <c r="AD97" s="8">
        <v>21888.020833333332</v>
      </c>
      <c r="AE97" s="8">
        <v>21740.375731444412</v>
      </c>
      <c r="AF97" s="8">
        <v>20966.997663551403</v>
      </c>
      <c r="AG97" s="8">
        <v>20443.519289480988</v>
      </c>
      <c r="AH97" s="8">
        <v>21810.796507012437</v>
      </c>
      <c r="AI97" s="8">
        <v>22908.03141626552</v>
      </c>
      <c r="AJ97" s="8">
        <v>23838.450292397662</v>
      </c>
      <c r="AK97" s="8">
        <v>25195.150659133709</v>
      </c>
      <c r="AL97" s="8">
        <v>26328.751431844215</v>
      </c>
      <c r="AM97" s="8">
        <v>27529.661016949154</v>
      </c>
    </row>
    <row r="98" spans="1:39">
      <c r="A98" s="19" t="s">
        <v>91</v>
      </c>
      <c r="B98" s="8">
        <v>202.45775729646698</v>
      </c>
      <c r="C98" s="8">
        <v>215.62123039806997</v>
      </c>
      <c r="D98" s="8">
        <v>234.03311649911294</v>
      </c>
      <c r="E98" s="8">
        <v>244.54085321764279</v>
      </c>
      <c r="F98" s="8">
        <v>262.79430424362045</v>
      </c>
      <c r="G98" s="8">
        <v>291.32995480071224</v>
      </c>
      <c r="H98" s="8">
        <v>310.60103489452035</v>
      </c>
      <c r="I98" s="8">
        <v>377.86895755866135</v>
      </c>
      <c r="J98" s="8">
        <v>387.4041078940856</v>
      </c>
      <c r="K98" s="8">
        <v>389.92960267271206</v>
      </c>
      <c r="L98" s="8">
        <v>455.79951718588342</v>
      </c>
      <c r="M98" s="8">
        <v>470.28881265906824</v>
      </c>
      <c r="N98" s="8">
        <v>467.57533808966031</v>
      </c>
      <c r="O98" s="8">
        <v>463.0047140807543</v>
      </c>
      <c r="P98" s="8">
        <v>460.88586366775178</v>
      </c>
      <c r="Q98" s="8">
        <v>458.60659633114722</v>
      </c>
      <c r="R98" s="8">
        <v>458.444057546046</v>
      </c>
      <c r="S98" s="8">
        <v>465.0895930797069</v>
      </c>
      <c r="T98" s="8">
        <v>461.11440929522513</v>
      </c>
      <c r="U98" s="8">
        <v>447.29576092252722</v>
      </c>
      <c r="V98" s="8">
        <v>435.29138251704899</v>
      </c>
      <c r="W98" s="8">
        <v>448.90430163063525</v>
      </c>
      <c r="X98" s="8">
        <v>444.97540407589599</v>
      </c>
      <c r="Y98" s="8">
        <v>434.24850641068673</v>
      </c>
      <c r="Z98" s="8">
        <v>465.24512014430201</v>
      </c>
      <c r="AA98" s="8">
        <v>475.68171936145103</v>
      </c>
      <c r="AB98" s="8">
        <v>496.96423204087762</v>
      </c>
      <c r="AC98" s="8">
        <v>513.38582677165357</v>
      </c>
      <c r="AD98" s="8">
        <v>512.26281506655334</v>
      </c>
      <c r="AE98" s="8">
        <v>519.24980750192503</v>
      </c>
      <c r="AF98" s="8">
        <v>527.28243459690339</v>
      </c>
      <c r="AG98" s="8">
        <v>531.79580202124896</v>
      </c>
      <c r="AH98" s="8">
        <v>532.22317251094228</v>
      </c>
      <c r="AI98" s="8">
        <v>537.11299931633948</v>
      </c>
      <c r="AJ98" s="8">
        <v>550.53090633295415</v>
      </c>
      <c r="AK98" s="8">
        <v>551.53690410454635</v>
      </c>
      <c r="AL98" s="8">
        <v>553.14301032033245</v>
      </c>
      <c r="AM98" s="8">
        <v>558.01847915672579</v>
      </c>
    </row>
    <row r="99" spans="1:39">
      <c r="A99" s="20" t="s">
        <v>92</v>
      </c>
      <c r="B99" s="8">
        <v>3800.1806577719858</v>
      </c>
      <c r="C99" s="8">
        <v>4084.5698392900663</v>
      </c>
      <c r="D99" s="8">
        <v>4478.8855450927094</v>
      </c>
      <c r="E99" s="8">
        <v>4792.560897091962</v>
      </c>
      <c r="F99" s="8">
        <v>4803.1921790317137</v>
      </c>
      <c r="G99" s="8">
        <v>5113.0135270541077</v>
      </c>
      <c r="H99" s="8">
        <v>5196.995536848216</v>
      </c>
      <c r="I99" s="8">
        <v>5100.2613890963403</v>
      </c>
      <c r="J99" s="8">
        <v>5550.4982342488247</v>
      </c>
      <c r="K99" s="8">
        <v>5187.5230152713093</v>
      </c>
      <c r="L99" s="8">
        <v>4646.8429393610804</v>
      </c>
      <c r="M99" s="8">
        <v>4197.9547187989238</v>
      </c>
      <c r="N99" s="8">
        <v>4246.6606785848808</v>
      </c>
      <c r="O99" s="8">
        <v>4135.1705548842829</v>
      </c>
      <c r="P99" s="8">
        <v>3866.884249117003</v>
      </c>
      <c r="Q99" s="8">
        <v>3589.1142862067181</v>
      </c>
      <c r="R99" s="8">
        <v>3510.9128059713939</v>
      </c>
      <c r="S99" s="8">
        <v>3383.3484045988894</v>
      </c>
      <c r="T99" s="8">
        <v>3385.5102871637491</v>
      </c>
      <c r="U99" s="8">
        <v>3394.0971694384484</v>
      </c>
      <c r="V99" s="8">
        <v>3396.8905771425138</v>
      </c>
      <c r="W99" s="8">
        <v>3561.496895501406</v>
      </c>
      <c r="X99" s="8">
        <v>3516.6616802723993</v>
      </c>
      <c r="Y99" s="8">
        <v>3539.39099673996</v>
      </c>
      <c r="Z99" s="8">
        <v>3573.660865214275</v>
      </c>
      <c r="AA99" s="8">
        <v>3648.4946896638212</v>
      </c>
      <c r="AB99" s="8">
        <v>3724.4156949747185</v>
      </c>
      <c r="AC99" s="8">
        <v>3805.1786828324584</v>
      </c>
      <c r="AD99" s="8">
        <v>3797.2781313206056</v>
      </c>
      <c r="AE99" s="8">
        <v>3907.1980425952488</v>
      </c>
      <c r="AF99" s="8">
        <v>3875.6987929805546</v>
      </c>
      <c r="AG99" s="8">
        <v>3864.5292104929667</v>
      </c>
      <c r="AH99" s="8">
        <v>3972.8691341332883</v>
      </c>
      <c r="AI99" s="8">
        <v>4171.5984155230262</v>
      </c>
      <c r="AJ99" s="8">
        <v>4318.0305624656739</v>
      </c>
      <c r="AK99" s="8">
        <v>4445.5509645498323</v>
      </c>
      <c r="AL99" s="8">
        <v>4599.5283358907554</v>
      </c>
      <c r="AM99" s="8">
        <v>4760.4469453862166</v>
      </c>
    </row>
    <row r="100" spans="1:39">
      <c r="A100" s="19" t="s">
        <v>93</v>
      </c>
      <c r="B100" s="8">
        <v>782.54910918227495</v>
      </c>
      <c r="C100" s="8">
        <v>832.29259589652099</v>
      </c>
      <c r="D100" s="8">
        <v>901.96078431372553</v>
      </c>
      <c r="E100" s="8">
        <v>863.28790459965944</v>
      </c>
      <c r="F100" s="8">
        <v>894.21074552269897</v>
      </c>
      <c r="G100" s="8">
        <v>937.24531377343101</v>
      </c>
      <c r="H100" s="8">
        <v>975.27910685805421</v>
      </c>
      <c r="I100" s="8">
        <v>1017.9547228727557</v>
      </c>
      <c r="J100" s="8">
        <v>1054.2606037447458</v>
      </c>
      <c r="K100" s="8">
        <v>1060.6514414077126</v>
      </c>
      <c r="L100" s="8">
        <v>1099.4495412844037</v>
      </c>
      <c r="M100" s="8">
        <v>1110.5111591072714</v>
      </c>
      <c r="N100" s="8">
        <v>1101.3418079096045</v>
      </c>
      <c r="O100" s="8">
        <v>1065.3753026634383</v>
      </c>
      <c r="P100" s="8">
        <v>1059.8579641528577</v>
      </c>
      <c r="Q100" s="8">
        <v>1091.2986156888596</v>
      </c>
      <c r="R100" s="8">
        <v>1053.8979788257941</v>
      </c>
      <c r="S100" s="8">
        <v>1013.1414267834793</v>
      </c>
      <c r="T100" s="8">
        <v>1092.4447174447175</v>
      </c>
      <c r="U100" s="8">
        <v>977.80480389176034</v>
      </c>
      <c r="V100" s="8">
        <v>708.81458966565344</v>
      </c>
      <c r="W100" s="8">
        <v>663.29656862745105</v>
      </c>
      <c r="X100" s="8">
        <v>736.6459627329192</v>
      </c>
      <c r="Y100" s="8">
        <v>817.83800819413807</v>
      </c>
      <c r="Z100" s="8">
        <v>901.72303765156357</v>
      </c>
      <c r="AA100" s="8">
        <v>992.9169349645847</v>
      </c>
      <c r="AB100" s="8">
        <v>896.98736637512138</v>
      </c>
      <c r="AC100" s="8">
        <v>1014.629388816645</v>
      </c>
      <c r="AD100" s="8">
        <v>1119.2182410423454</v>
      </c>
      <c r="AE100" s="8">
        <v>1201.7601043024772</v>
      </c>
      <c r="AF100" s="8">
        <v>1285.4349951124145</v>
      </c>
      <c r="AG100" s="8">
        <v>1319.5708712613784</v>
      </c>
      <c r="AH100" s="8">
        <v>1389.698736637512</v>
      </c>
      <c r="AI100" s="8">
        <v>1466.2794449822522</v>
      </c>
      <c r="AJ100" s="8">
        <v>1540.983606557377</v>
      </c>
      <c r="AK100" s="8">
        <v>1612.1076233183858</v>
      </c>
      <c r="AL100" s="8">
        <v>1703.3844189016602</v>
      </c>
      <c r="AM100" s="8">
        <v>1799.2363983455298</v>
      </c>
    </row>
    <row r="101" spans="1:39">
      <c r="A101" s="19" t="s">
        <v>94</v>
      </c>
      <c r="B101" s="8" t="e">
        <v>#VALUE!</v>
      </c>
      <c r="C101" s="8" t="e">
        <v>#VALUE!</v>
      </c>
      <c r="D101" s="8" t="e">
        <v>#VALUE!</v>
      </c>
      <c r="E101" s="8" t="e">
        <v>#VALUE!</v>
      </c>
      <c r="F101" s="8" t="e">
        <v>#VALUE!</v>
      </c>
      <c r="G101" s="8" t="e">
        <v>#VALUE!</v>
      </c>
      <c r="H101" s="8" t="e">
        <v>#VALUE!</v>
      </c>
      <c r="I101" s="8" t="e">
        <v>#VALUE!</v>
      </c>
      <c r="J101" s="8" t="e">
        <v>#VALUE!</v>
      </c>
      <c r="K101" s="8" t="e">
        <v>#VALUE!</v>
      </c>
      <c r="L101" s="8" t="e">
        <v>#VALUE!</v>
      </c>
      <c r="M101" s="8" t="e">
        <v>#VALUE!</v>
      </c>
      <c r="N101" s="8" t="e">
        <v>#VALUE!</v>
      </c>
      <c r="O101" s="8" t="e">
        <v>#VALUE!</v>
      </c>
      <c r="P101" s="8" t="e">
        <v>#VALUE!</v>
      </c>
      <c r="Q101" s="8" t="e">
        <v>#VALUE!</v>
      </c>
      <c r="R101" s="8" t="e">
        <v>#VALUE!</v>
      </c>
      <c r="S101" s="8" t="e">
        <v>#VALUE!</v>
      </c>
      <c r="T101" s="8" t="e">
        <v>#VALUE!</v>
      </c>
      <c r="U101" s="8">
        <v>348.65366759517178</v>
      </c>
      <c r="V101" s="8">
        <v>317.53668510945391</v>
      </c>
      <c r="W101" s="8">
        <v>314.16942253879421</v>
      </c>
      <c r="X101" s="8">
        <v>328.80065270601034</v>
      </c>
      <c r="Y101" s="8">
        <v>387.92605430387056</v>
      </c>
      <c r="Z101" s="8">
        <v>486.79471788715489</v>
      </c>
      <c r="AA101" s="8">
        <v>927.10223835450699</v>
      </c>
      <c r="AB101" s="8">
        <v>1223.7076648841355</v>
      </c>
      <c r="AC101" s="8">
        <v>1368.3908045977012</v>
      </c>
      <c r="AD101" s="8">
        <v>1449.3196334351569</v>
      </c>
      <c r="AE101" s="8">
        <v>1490.5251759610178</v>
      </c>
      <c r="AF101" s="8">
        <v>1533.6179295624331</v>
      </c>
      <c r="AG101" s="8">
        <v>1603.0190677966102</v>
      </c>
      <c r="AH101" s="8">
        <v>1664.0232619614064</v>
      </c>
      <c r="AI101" s="8">
        <v>1765.9968270756212</v>
      </c>
      <c r="AJ101" s="8">
        <v>1854.8003173763555</v>
      </c>
      <c r="AK101" s="8">
        <v>1969.8492462311558</v>
      </c>
      <c r="AL101" s="8">
        <v>2106.1408152461618</v>
      </c>
      <c r="AM101" s="8">
        <v>2235.6215213358068</v>
      </c>
    </row>
    <row r="102" spans="1:39">
      <c r="A102" s="19" t="s">
        <v>95</v>
      </c>
      <c r="B102" s="8">
        <v>752.46016869728214</v>
      </c>
      <c r="C102" s="8">
        <v>808.06902985074623</v>
      </c>
      <c r="D102" s="8">
        <v>868.22874376522441</v>
      </c>
      <c r="E102" s="8">
        <v>927.7566539923954</v>
      </c>
      <c r="F102" s="8">
        <v>1004.4719642242862</v>
      </c>
      <c r="G102" s="8">
        <v>1066.2176047494006</v>
      </c>
      <c r="H102" s="8">
        <v>1126.3062244434348</v>
      </c>
      <c r="I102" s="8">
        <v>1188.1098252779668</v>
      </c>
      <c r="J102" s="8">
        <v>1265.4656696125085</v>
      </c>
      <c r="K102" s="8">
        <v>1332.0920785375761</v>
      </c>
      <c r="L102" s="8">
        <v>1394.9087632349629</v>
      </c>
      <c r="M102" s="8">
        <v>1424.8931864178098</v>
      </c>
      <c r="N102" s="8">
        <v>1471.3211359299582</v>
      </c>
      <c r="O102" s="8">
        <v>1518.5434173669466</v>
      </c>
      <c r="P102" s="8">
        <v>1556.4254557655743</v>
      </c>
      <c r="Q102" s="8">
        <v>1619.0688846712067</v>
      </c>
      <c r="R102" s="8">
        <v>1714.4131089064765</v>
      </c>
      <c r="S102" s="8">
        <v>1899.899788442267</v>
      </c>
      <c r="T102" s="8">
        <v>1858.9613608200968</v>
      </c>
      <c r="U102" s="8">
        <v>1720.2339986235374</v>
      </c>
      <c r="V102" s="8">
        <v>1590.7089898053755</v>
      </c>
      <c r="W102" s="8">
        <v>1490.8665105386419</v>
      </c>
      <c r="X102" s="8">
        <v>1480.6421152030218</v>
      </c>
      <c r="Y102" s="8">
        <v>1514.1671606401896</v>
      </c>
      <c r="Z102" s="8">
        <v>1563.9285714285713</v>
      </c>
      <c r="AA102" s="8">
        <v>1424.3657252273815</v>
      </c>
      <c r="AB102" s="8">
        <v>1351.7805582290664</v>
      </c>
      <c r="AC102" s="8">
        <v>1415.1628920915587</v>
      </c>
      <c r="AD102" s="8">
        <v>1456.3840155945418</v>
      </c>
      <c r="AE102" s="8">
        <v>1563.1513647642678</v>
      </c>
      <c r="AF102" s="8">
        <v>1658.1542351453857</v>
      </c>
      <c r="AG102" s="8">
        <v>1741.7715084508832</v>
      </c>
      <c r="AH102" s="8">
        <v>1839.7034385785503</v>
      </c>
      <c r="AI102" s="8">
        <v>1972.4971083408302</v>
      </c>
      <c r="AJ102" s="8">
        <v>2106.8475452196381</v>
      </c>
      <c r="AK102" s="8">
        <v>2260.9429796077411</v>
      </c>
      <c r="AL102" s="8">
        <v>2412.6631853785902</v>
      </c>
      <c r="AM102" s="8">
        <v>2570.1167519349337</v>
      </c>
    </row>
    <row r="103" spans="1:39">
      <c r="A103" s="19" t="s">
        <v>96</v>
      </c>
      <c r="B103" s="8" t="e">
        <v>#VALUE!</v>
      </c>
      <c r="C103" s="8" t="e">
        <v>#VALUE!</v>
      </c>
      <c r="D103" s="8" t="e">
        <v>#VALUE!</v>
      </c>
      <c r="E103" s="8" t="e">
        <v>#VALUE!</v>
      </c>
      <c r="F103" s="8" t="e">
        <v>#VALUE!</v>
      </c>
      <c r="G103" s="8" t="e">
        <v>#VALUE!</v>
      </c>
      <c r="H103" s="8" t="e">
        <v>#VALUE!</v>
      </c>
      <c r="I103" s="8" t="e">
        <v>#VALUE!</v>
      </c>
      <c r="J103" s="8" t="e">
        <v>#VALUE!</v>
      </c>
      <c r="K103" s="8" t="e">
        <v>#VALUE!</v>
      </c>
      <c r="L103" s="8" t="e">
        <v>#VALUE!</v>
      </c>
      <c r="M103" s="8" t="e">
        <v>#VALUE!</v>
      </c>
      <c r="N103" s="8" t="e">
        <v>#VALUE!</v>
      </c>
      <c r="O103" s="8" t="e">
        <v>#VALUE!</v>
      </c>
      <c r="P103" s="8" t="e">
        <v>#VALUE!</v>
      </c>
      <c r="Q103" s="8" t="e">
        <v>#VALUE!</v>
      </c>
      <c r="R103" s="8" t="e">
        <v>#VALUE!</v>
      </c>
      <c r="S103" s="8" t="e">
        <v>#VALUE!</v>
      </c>
      <c r="T103" s="8" t="e">
        <v>#VALUE!</v>
      </c>
      <c r="U103" s="8">
        <v>5261.7154811715482</v>
      </c>
      <c r="V103" s="8">
        <v>4400.6651884700668</v>
      </c>
      <c r="W103" s="8">
        <v>3919.9105145413873</v>
      </c>
      <c r="X103" s="8">
        <v>3473.2758620689656</v>
      </c>
      <c r="Y103" s="8">
        <v>3669.2473118279568</v>
      </c>
      <c r="Z103" s="8">
        <v>3902.5695931477517</v>
      </c>
      <c r="AA103" s="8">
        <v>4295.9910913140311</v>
      </c>
      <c r="AB103" s="8">
        <v>4507.0021881838074</v>
      </c>
      <c r="AC103" s="8">
        <v>4674.4444444444443</v>
      </c>
      <c r="AD103" s="8">
        <v>4553.6263736263736</v>
      </c>
      <c r="AE103" s="8">
        <v>4823.3167645729773</v>
      </c>
      <c r="AF103" s="8">
        <v>4992.3423423423419</v>
      </c>
      <c r="AG103" s="8">
        <v>5263.9639639639636</v>
      </c>
      <c r="AH103" s="8">
        <v>5524.9999999999991</v>
      </c>
      <c r="AI103" s="8">
        <v>5761.2074791619734</v>
      </c>
      <c r="AJ103" s="8">
        <v>5999.5497523637996</v>
      </c>
      <c r="AK103" s="8">
        <v>6286.7117117117114</v>
      </c>
      <c r="AL103" s="8">
        <v>6636.609558160505</v>
      </c>
      <c r="AM103" s="8">
        <v>6796.3464140730712</v>
      </c>
    </row>
    <row r="104" spans="1:39">
      <c r="A104" s="19" t="s">
        <v>97</v>
      </c>
      <c r="B104" s="8">
        <v>3456.4516129032259</v>
      </c>
      <c r="C104" s="8">
        <v>3649.1228070175439</v>
      </c>
      <c r="D104" s="8">
        <v>3696.0629921259842</v>
      </c>
      <c r="E104" s="8">
        <v>3457.4468085106387</v>
      </c>
      <c r="F104" s="8">
        <v>3906.8825910931173</v>
      </c>
      <c r="G104" s="8">
        <v>4653.306613226453</v>
      </c>
      <c r="H104" s="8">
        <v>5380.4780876494024</v>
      </c>
      <c r="I104" s="8">
        <v>5766.3366336633662</v>
      </c>
      <c r="J104" s="8">
        <v>6299.212598425197</v>
      </c>
      <c r="K104" s="8">
        <v>6596.4912280701756</v>
      </c>
      <c r="L104" s="8">
        <v>6684.0077071290943</v>
      </c>
      <c r="M104" s="8">
        <v>7019.0839694656488</v>
      </c>
      <c r="N104" s="8">
        <v>7356.060606060606</v>
      </c>
      <c r="O104" s="8">
        <v>7895.3271028037379</v>
      </c>
      <c r="P104" s="8">
        <v>8173.4317343173425</v>
      </c>
      <c r="Q104" s="8">
        <v>8383.2116788321164</v>
      </c>
      <c r="R104" s="8">
        <v>8879.0613718411551</v>
      </c>
      <c r="S104" s="8">
        <v>9542.8571428571413</v>
      </c>
      <c r="T104" s="8">
        <v>10156.690140845072</v>
      </c>
      <c r="U104" s="8">
        <v>10682.758620689656</v>
      </c>
      <c r="V104" s="8">
        <v>10489.075630252102</v>
      </c>
      <c r="W104" s="8">
        <v>11175.122749590835</v>
      </c>
      <c r="X104" s="8">
        <v>10984.025559105432</v>
      </c>
      <c r="Y104" s="8">
        <v>11395.931142410016</v>
      </c>
      <c r="Z104" s="8">
        <v>11867.895545314899</v>
      </c>
      <c r="AA104" s="8">
        <v>11904.689863842663</v>
      </c>
      <c r="AB104" s="8">
        <v>12001.490312965723</v>
      </c>
      <c r="AC104" s="8">
        <v>12459.499263622974</v>
      </c>
      <c r="AD104" s="8">
        <v>12911.208151382823</v>
      </c>
      <c r="AE104" s="8">
        <v>13425.072046109512</v>
      </c>
      <c r="AF104" s="8">
        <v>13800.569800569801</v>
      </c>
      <c r="AG104" s="8">
        <v>13932.394366197184</v>
      </c>
      <c r="AH104" s="8">
        <v>13943.2918395574</v>
      </c>
      <c r="AI104" s="8">
        <v>14194.594594594595</v>
      </c>
      <c r="AJ104" s="8">
        <v>14405.013192612138</v>
      </c>
      <c r="AK104" s="8">
        <v>14695.989650711514</v>
      </c>
      <c r="AL104" s="8">
        <v>15064.803049555272</v>
      </c>
      <c r="AM104" s="8">
        <v>15398.496240601504</v>
      </c>
    </row>
    <row r="105" spans="1:39">
      <c r="A105" s="19" t="s">
        <v>98</v>
      </c>
      <c r="B105" s="8">
        <v>13500</v>
      </c>
      <c r="C105" s="8">
        <v>13482.758620689654</v>
      </c>
      <c r="D105" s="8">
        <v>14448.275862068966</v>
      </c>
      <c r="E105" s="8">
        <v>14241.379310344826</v>
      </c>
      <c r="F105" s="8">
        <v>14172.413793103447</v>
      </c>
      <c r="G105" s="8">
        <v>14033.333333333334</v>
      </c>
      <c r="H105" s="8">
        <v>14862.068965517241</v>
      </c>
      <c r="I105" s="8">
        <v>15344.827586206895</v>
      </c>
      <c r="J105" s="8">
        <v>15758.620689655172</v>
      </c>
      <c r="K105" s="8">
        <v>15448.275862068966</v>
      </c>
      <c r="L105" s="8">
        <v>14700</v>
      </c>
      <c r="M105" s="8">
        <v>15482.758620689654</v>
      </c>
      <c r="N105" s="8">
        <v>16034.482758620688</v>
      </c>
      <c r="O105" s="8">
        <v>17035.714285714286</v>
      </c>
      <c r="P105" s="8">
        <v>17642.857142857141</v>
      </c>
      <c r="Q105" s="8">
        <v>18321.428571428572</v>
      </c>
      <c r="R105" s="8">
        <v>19178.571428571428</v>
      </c>
      <c r="S105" s="8">
        <v>19413.793103448275</v>
      </c>
      <c r="T105" s="8">
        <v>19827.586206896551</v>
      </c>
      <c r="U105" s="8">
        <v>19965.517241379308</v>
      </c>
      <c r="V105" s="8">
        <v>19724.137931034482</v>
      </c>
      <c r="W105" s="8">
        <v>20464.285714285714</v>
      </c>
      <c r="X105" s="8">
        <v>20928.571428571428</v>
      </c>
      <c r="Y105" s="8">
        <v>21821.428571428572</v>
      </c>
      <c r="Z105" s="8">
        <v>23296.296296296296</v>
      </c>
      <c r="AA105" s="8">
        <v>23925.925925925927</v>
      </c>
      <c r="AB105" s="8">
        <v>24666.666666666668</v>
      </c>
      <c r="AC105" s="8">
        <v>25481.481481481482</v>
      </c>
      <c r="AD105" s="8">
        <v>25321.428571428572</v>
      </c>
      <c r="AE105" s="8">
        <v>26285.714285714286</v>
      </c>
      <c r="AF105" s="8">
        <v>26892.857142857141</v>
      </c>
      <c r="AG105" s="8">
        <v>27464.285714285714</v>
      </c>
      <c r="AH105" s="8">
        <v>28178.571428571428</v>
      </c>
      <c r="AI105" s="8">
        <v>29107.142857142855</v>
      </c>
      <c r="AJ105" s="8">
        <v>29678.571428571428</v>
      </c>
      <c r="AK105" s="8">
        <v>30500</v>
      </c>
      <c r="AL105" s="8">
        <v>31428.571428571428</v>
      </c>
      <c r="AM105" s="8">
        <v>32107.142857142855</v>
      </c>
    </row>
    <row r="106" spans="1:39">
      <c r="A106" s="19" t="s">
        <v>99</v>
      </c>
      <c r="B106" s="8" t="e">
        <v>#VALUE!</v>
      </c>
      <c r="C106" s="8" t="e">
        <v>#VALUE!</v>
      </c>
      <c r="D106" s="8" t="e">
        <v>#VALUE!</v>
      </c>
      <c r="E106" s="8" t="e">
        <v>#VALUE!</v>
      </c>
      <c r="F106" s="8" t="e">
        <v>#VALUE!</v>
      </c>
      <c r="G106" s="8" t="e">
        <v>#VALUE!</v>
      </c>
      <c r="H106" s="8" t="e">
        <v>#VALUE!</v>
      </c>
      <c r="I106" s="8" t="e">
        <v>#VALUE!</v>
      </c>
      <c r="J106" s="8" t="e">
        <v>#VALUE!</v>
      </c>
      <c r="K106" s="8" t="e">
        <v>#VALUE!</v>
      </c>
      <c r="L106" s="8" t="e">
        <v>#VALUE!</v>
      </c>
      <c r="M106" s="8" t="e">
        <v>#VALUE!</v>
      </c>
      <c r="N106" s="8" t="e">
        <v>#VALUE!</v>
      </c>
      <c r="O106" s="8" t="e">
        <v>#VALUE!</v>
      </c>
      <c r="P106" s="8" t="e">
        <v>#VALUE!</v>
      </c>
      <c r="Q106" s="8" t="e">
        <v>#VALUE!</v>
      </c>
      <c r="R106" s="8" t="e">
        <v>#VALUE!</v>
      </c>
      <c r="S106" s="8" t="e">
        <v>#VALUE!</v>
      </c>
      <c r="T106" s="8" t="e">
        <v>#VALUE!</v>
      </c>
      <c r="U106" s="8">
        <v>2059.7171293871138</v>
      </c>
      <c r="V106" s="8">
        <v>1918.8767550702028</v>
      </c>
      <c r="W106" s="8">
        <v>1782.316442605998</v>
      </c>
      <c r="X106" s="8">
        <v>1640.9465020576133</v>
      </c>
      <c r="Y106" s="8">
        <v>1603.8894575230297</v>
      </c>
      <c r="Z106" s="8">
        <v>1578.7060621497708</v>
      </c>
      <c r="AA106" s="8">
        <v>1589.4576786619361</v>
      </c>
      <c r="AB106" s="8">
        <v>1604.1351487644981</v>
      </c>
      <c r="AC106" s="8">
        <v>1649.7742097340692</v>
      </c>
      <c r="AD106" s="8">
        <v>1713.7862137862139</v>
      </c>
      <c r="AE106" s="8">
        <v>1785.465405674465</v>
      </c>
      <c r="AF106" s="8">
        <v>1698.9087301587301</v>
      </c>
      <c r="AG106" s="8">
        <v>1708.2096933728983</v>
      </c>
      <c r="AH106" s="8">
        <v>1752.714708785785</v>
      </c>
      <c r="AI106" s="8">
        <v>1820.6896551724139</v>
      </c>
      <c r="AJ106" s="8">
        <v>1891.8387413962637</v>
      </c>
      <c r="AK106" s="8">
        <v>1964.6365422396857</v>
      </c>
      <c r="AL106" s="8">
        <v>2078.5468826705942</v>
      </c>
      <c r="AM106" s="8">
        <v>2181.5505397448483</v>
      </c>
    </row>
    <row r="107" spans="1:39">
      <c r="A107" s="19" t="s">
        <v>100</v>
      </c>
      <c r="B107" s="8">
        <v>1910.4938271604938</v>
      </c>
      <c r="C107" s="8">
        <v>2034.1614906832297</v>
      </c>
      <c r="D107" s="8">
        <v>2232.9192546583849</v>
      </c>
      <c r="E107" s="8">
        <v>2438.2716049382716</v>
      </c>
      <c r="F107" s="8">
        <v>2881.0975609756097</v>
      </c>
      <c r="G107" s="8">
        <v>3311.377245508982</v>
      </c>
      <c r="H107" s="8">
        <v>3618.0758017492708</v>
      </c>
      <c r="I107" s="8">
        <v>3906.5155807365441</v>
      </c>
      <c r="J107" s="8">
        <v>4221.6066481994458</v>
      </c>
      <c r="K107" s="8">
        <v>4480.7692307692305</v>
      </c>
      <c r="L107" s="8">
        <v>4629.1208791208792</v>
      </c>
      <c r="M107" s="8">
        <v>4762.4309392265195</v>
      </c>
      <c r="N107" s="8">
        <v>4798.3193277310929</v>
      </c>
      <c r="O107" s="8">
        <v>4925.9259259259261</v>
      </c>
      <c r="P107" s="8">
        <v>5156.9767441860467</v>
      </c>
      <c r="Q107" s="8">
        <v>5295.977011494253</v>
      </c>
      <c r="R107" s="8">
        <v>5467.2364672364674</v>
      </c>
      <c r="S107" s="8">
        <v>5875.7062146892658</v>
      </c>
      <c r="T107" s="8">
        <v>6302.5210084033615</v>
      </c>
      <c r="U107" s="8">
        <v>6641.666666666667</v>
      </c>
      <c r="V107" s="8">
        <v>7002.7548209366396</v>
      </c>
      <c r="W107" s="8">
        <v>7250.6811989100815</v>
      </c>
      <c r="X107" s="8">
        <v>7513.5135135135133</v>
      </c>
      <c r="Y107" s="8">
        <v>7863.636363636364</v>
      </c>
      <c r="Z107" s="8">
        <v>8259.2592592592591</v>
      </c>
      <c r="AA107" s="8">
        <v>8544.7368421052633</v>
      </c>
      <c r="AB107" s="8">
        <v>8885.1174934725841</v>
      </c>
      <c r="AC107" s="8">
        <v>9145.454545454546</v>
      </c>
      <c r="AD107" s="8">
        <v>9438.1443298969061</v>
      </c>
      <c r="AE107" s="8">
        <v>9982.0512820512813</v>
      </c>
      <c r="AF107" s="8">
        <v>9745.5470737913474</v>
      </c>
      <c r="AG107" s="8">
        <v>9924.242424242424</v>
      </c>
      <c r="AH107" s="8">
        <v>9819.5488721804504</v>
      </c>
      <c r="AI107" s="8">
        <v>9790.5236907730668</v>
      </c>
      <c r="AJ107" s="8">
        <v>10029.702970297029</v>
      </c>
      <c r="AK107" s="8">
        <v>10320.197044334975</v>
      </c>
      <c r="AL107" s="8">
        <v>10630.806845965772</v>
      </c>
      <c r="AM107" s="8">
        <v>10744.525547445257</v>
      </c>
    </row>
    <row r="108" spans="1:39">
      <c r="A108" s="21" t="s">
        <v>101</v>
      </c>
      <c r="B108" s="8">
        <v>917.04934049829023</v>
      </c>
      <c r="C108" s="8">
        <v>1004.7427769442966</v>
      </c>
      <c r="D108" s="8">
        <v>1100.6337622431342</v>
      </c>
      <c r="E108" s="8">
        <v>1224.2141804175187</v>
      </c>
      <c r="F108" s="8">
        <v>1337.1146152035772</v>
      </c>
      <c r="G108" s="8">
        <v>1469.4115452765084</v>
      </c>
      <c r="H108" s="8">
        <v>1615.3846153846152</v>
      </c>
      <c r="I108" s="8">
        <v>1725.7835735529627</v>
      </c>
      <c r="J108" s="8">
        <v>1797.7594339622642</v>
      </c>
      <c r="K108" s="8">
        <v>1844.2862934102068</v>
      </c>
      <c r="L108" s="8">
        <v>1845.7925110723393</v>
      </c>
      <c r="M108" s="8">
        <v>1908.9331791084614</v>
      </c>
      <c r="N108" s="8">
        <v>2018.6671396266572</v>
      </c>
      <c r="O108" s="8">
        <v>2130.9613259668508</v>
      </c>
      <c r="P108" s="8">
        <v>2119.4719471947192</v>
      </c>
      <c r="Q108" s="8">
        <v>2161.0217762783159</v>
      </c>
      <c r="R108" s="8">
        <v>2167.2188317349605</v>
      </c>
      <c r="S108" s="8">
        <v>2145.7447731413204</v>
      </c>
      <c r="T108" s="8">
        <v>2012.7418797512094</v>
      </c>
      <c r="U108" s="8">
        <v>1895.5487568406083</v>
      </c>
      <c r="V108" s="8">
        <v>1652.5770972611604</v>
      </c>
      <c r="W108" s="8">
        <v>1532.6692702619684</v>
      </c>
      <c r="X108" s="8">
        <v>1558.1630410898704</v>
      </c>
      <c r="Y108" s="8">
        <v>1621.7060402094055</v>
      </c>
      <c r="Z108" s="8">
        <v>1741.6780565230808</v>
      </c>
      <c r="AA108" s="8">
        <v>1817.3213021939137</v>
      </c>
      <c r="AB108" s="8">
        <v>1710.5169814667022</v>
      </c>
      <c r="AC108" s="8">
        <v>1632.2712527218594</v>
      </c>
      <c r="AD108" s="8">
        <v>1615.949772909431</v>
      </c>
      <c r="AE108" s="8">
        <v>1650.9824889720624</v>
      </c>
      <c r="AF108" s="8">
        <v>1769.6096150370504</v>
      </c>
      <c r="AG108" s="8">
        <v>1887.9053341283309</v>
      </c>
      <c r="AH108" s="8">
        <v>1991.6291049581455</v>
      </c>
      <c r="AI108" s="8">
        <v>2164.6299285220198</v>
      </c>
      <c r="AJ108" s="8">
        <v>2260.2385134510491</v>
      </c>
      <c r="AK108" s="8">
        <v>2443.9966648137852</v>
      </c>
      <c r="AL108" s="8">
        <v>2595.5817515199333</v>
      </c>
      <c r="AM108" s="8">
        <v>2839.6318505089944</v>
      </c>
    </row>
    <row r="109" spans="1:39">
      <c r="A109" s="19" t="s">
        <v>102</v>
      </c>
      <c r="B109" s="8" t="e">
        <v>#VALUE!</v>
      </c>
      <c r="C109" s="8" t="e">
        <v>#VALUE!</v>
      </c>
      <c r="D109" s="8" t="e">
        <v>#VALUE!</v>
      </c>
      <c r="E109" s="8" t="e">
        <v>#VALUE!</v>
      </c>
      <c r="F109" s="8" t="e">
        <v>#VALUE!</v>
      </c>
      <c r="G109" s="8" t="e">
        <v>#VALUE!</v>
      </c>
      <c r="H109" s="8" t="e">
        <v>#VALUE!</v>
      </c>
      <c r="I109" s="8" t="e">
        <v>#VALUE!</v>
      </c>
      <c r="J109" s="8" t="e">
        <v>#VALUE!</v>
      </c>
      <c r="K109" s="8" t="e">
        <v>#VALUE!</v>
      </c>
      <c r="L109" s="8" t="e">
        <v>#VALUE!</v>
      </c>
      <c r="M109" s="8" t="e">
        <v>#VALUE!</v>
      </c>
      <c r="N109" s="8" t="e">
        <v>#VALUE!</v>
      </c>
      <c r="O109" s="8" t="e">
        <v>#VALUE!</v>
      </c>
      <c r="P109" s="8" t="e">
        <v>#VALUE!</v>
      </c>
      <c r="Q109" s="8" t="e">
        <v>#VALUE!</v>
      </c>
      <c r="R109" s="8" t="e">
        <v>#VALUE!</v>
      </c>
      <c r="S109" s="8" t="e">
        <v>#VALUE!</v>
      </c>
      <c r="T109" s="8" t="e">
        <v>#VALUE!</v>
      </c>
      <c r="U109" s="8">
        <v>996.4812823770892</v>
      </c>
      <c r="V109" s="8">
        <v>879.8828125</v>
      </c>
      <c r="W109" s="8">
        <v>858.36742645626339</v>
      </c>
      <c r="X109" s="8">
        <v>890.75385660230904</v>
      </c>
      <c r="Y109" s="8">
        <v>908.31803690464687</v>
      </c>
      <c r="Z109" s="8">
        <v>960.8314887883746</v>
      </c>
      <c r="AA109" s="8">
        <v>1011.0037317003157</v>
      </c>
      <c r="AB109" s="8">
        <v>1083.3572042394728</v>
      </c>
      <c r="AC109" s="8">
        <v>1123.9485642463501</v>
      </c>
      <c r="AD109" s="8">
        <v>937.99212598425197</v>
      </c>
      <c r="AE109" s="8">
        <v>1216.5830989360402</v>
      </c>
      <c r="AF109" s="8">
        <v>1273.4958951108933</v>
      </c>
      <c r="AG109" s="8">
        <v>1326.2576687116564</v>
      </c>
      <c r="AH109" s="8">
        <v>1364.1177194926731</v>
      </c>
      <c r="AI109" s="8">
        <v>1479.1203360513962</v>
      </c>
      <c r="AJ109" s="8">
        <v>1553.6890202929715</v>
      </c>
      <c r="AK109" s="8">
        <v>1648.5429033998921</v>
      </c>
      <c r="AL109" s="8">
        <v>1779.8699539420213</v>
      </c>
      <c r="AM109" s="8">
        <v>1887.7551020408164</v>
      </c>
    </row>
    <row r="110" spans="1:39">
      <c r="A110" s="19" t="s">
        <v>103</v>
      </c>
      <c r="B110" s="8" t="e">
        <v>#VALUE!</v>
      </c>
      <c r="C110" s="8" t="e">
        <v>#VALUE!</v>
      </c>
      <c r="D110" s="8" t="e">
        <v>#VALUE!</v>
      </c>
      <c r="E110" s="8" t="e">
        <v>#VALUE!</v>
      </c>
      <c r="F110" s="8" t="e">
        <v>#VALUE!</v>
      </c>
      <c r="G110" s="8" t="e">
        <v>#VALUE!</v>
      </c>
      <c r="H110" s="8" t="e">
        <v>#VALUE!</v>
      </c>
      <c r="I110" s="8" t="e">
        <v>#VALUE!</v>
      </c>
      <c r="J110" s="8" t="e">
        <v>#VALUE!</v>
      </c>
      <c r="K110" s="8" t="e">
        <v>#VALUE!</v>
      </c>
      <c r="L110" s="8" t="e">
        <v>#VALUE!</v>
      </c>
      <c r="M110" s="8" t="e">
        <v>#VALUE!</v>
      </c>
      <c r="N110" s="8" t="e">
        <v>#VALUE!</v>
      </c>
      <c r="O110" s="8" t="e">
        <v>#VALUE!</v>
      </c>
      <c r="P110" s="8" t="e">
        <v>#VALUE!</v>
      </c>
      <c r="Q110" s="8" t="e">
        <v>#VALUE!</v>
      </c>
      <c r="R110" s="8" t="e">
        <v>#VALUE!</v>
      </c>
      <c r="S110" s="8" t="e">
        <v>#VALUE!</v>
      </c>
      <c r="T110" s="8" t="e">
        <v>#VALUE!</v>
      </c>
      <c r="U110" s="8">
        <v>8322.9844767150717</v>
      </c>
      <c r="V110" s="8">
        <v>7566.7166416791606</v>
      </c>
      <c r="W110" s="8">
        <v>7171.3426853707415</v>
      </c>
      <c r="X110" s="8">
        <v>7487.7924720244155</v>
      </c>
      <c r="Y110" s="8">
        <v>7799.2957746478878</v>
      </c>
      <c r="Z110" s="8">
        <v>8079.4369029663139</v>
      </c>
      <c r="AA110" s="8">
        <v>8363.8190954773872</v>
      </c>
      <c r="AB110" s="8">
        <v>8792.044310171199</v>
      </c>
      <c r="AC110" s="8">
        <v>9124.1170534813318</v>
      </c>
      <c r="AD110" s="8">
        <v>9603.8306451612898</v>
      </c>
      <c r="AE110" s="8">
        <v>10000</v>
      </c>
      <c r="AF110" s="8">
        <v>10269.578313253012</v>
      </c>
      <c r="AG110" s="8">
        <v>10661.654135338345</v>
      </c>
      <c r="AH110" s="8">
        <v>10958.416833667336</v>
      </c>
      <c r="AI110" s="8">
        <v>11422.633950926389</v>
      </c>
      <c r="AJ110" s="8">
        <v>11911.544227886057</v>
      </c>
      <c r="AK110" s="8">
        <v>12559.760956175298</v>
      </c>
      <c r="AL110" s="8">
        <v>13340.267459138186</v>
      </c>
      <c r="AM110" s="8">
        <v>13785.855588526212</v>
      </c>
    </row>
    <row r="111" spans="1:39">
      <c r="A111" s="19" t="s">
        <v>104</v>
      </c>
      <c r="B111" s="8">
        <v>1655.4200275427897</v>
      </c>
      <c r="C111" s="8">
        <v>1700</v>
      </c>
      <c r="D111" s="8">
        <v>1730.7971540583708</v>
      </c>
      <c r="E111" s="8">
        <v>1971.2378757322576</v>
      </c>
      <c r="F111" s="8">
        <v>1968.651738923297</v>
      </c>
      <c r="G111" s="8">
        <v>2055.2486187845302</v>
      </c>
      <c r="H111" s="8">
        <v>2207.2742592332538</v>
      </c>
      <c r="I111" s="8">
        <v>2390.0287809859806</v>
      </c>
      <c r="J111" s="8">
        <v>2495.6261510128916</v>
      </c>
      <c r="K111" s="8">
        <v>2554.2744269373884</v>
      </c>
      <c r="L111" s="8">
        <v>2569.3677242638664</v>
      </c>
      <c r="M111" s="8">
        <v>2567.3360228457459</v>
      </c>
      <c r="N111" s="8">
        <v>2522.2757781882065</v>
      </c>
      <c r="O111" s="8">
        <v>2551.5727215700331</v>
      </c>
      <c r="P111" s="8">
        <v>2521.2647517256737</v>
      </c>
      <c r="Q111" s="8">
        <v>2845.410862495753</v>
      </c>
      <c r="R111" s="8">
        <v>2803.8524669305784</v>
      </c>
      <c r="S111" s="8">
        <v>2716.1110577384952</v>
      </c>
      <c r="T111" s="8">
        <v>2716.8936678614095</v>
      </c>
      <c r="U111" s="8" t="e">
        <v>#VALUE!</v>
      </c>
      <c r="V111" s="8" t="e">
        <v>#VALUE!</v>
      </c>
      <c r="W111" s="8" t="e">
        <v>#VALUE!</v>
      </c>
      <c r="X111" s="8" t="e">
        <v>#VALUE!</v>
      </c>
      <c r="Y111" s="8" t="e">
        <v>#VALUE!</v>
      </c>
      <c r="Z111" s="8" t="e">
        <v>#VALUE!</v>
      </c>
      <c r="AA111" s="8" t="e">
        <v>#VALUE!</v>
      </c>
      <c r="AB111" s="8" t="e">
        <v>#VALUE!</v>
      </c>
      <c r="AC111" s="8" t="e">
        <v>#VALUE!</v>
      </c>
      <c r="AD111" s="8" t="e">
        <v>#VALUE!</v>
      </c>
      <c r="AE111" s="8" t="e">
        <v>#VALUE!</v>
      </c>
      <c r="AF111" s="8" t="e">
        <v>#VALUE!</v>
      </c>
      <c r="AG111" s="8" t="e">
        <v>#VALUE!</v>
      </c>
      <c r="AH111" s="8" t="e">
        <v>#VALUE!</v>
      </c>
      <c r="AI111" s="8" t="e">
        <v>#VALUE!</v>
      </c>
      <c r="AJ111" s="8" t="e">
        <v>#VALUE!</v>
      </c>
      <c r="AK111" s="8" t="e">
        <v>#VALUE!</v>
      </c>
      <c r="AL111" s="8" t="e">
        <v>#VALUE!</v>
      </c>
      <c r="AM111" s="8" t="e">
        <v>#VALUE!</v>
      </c>
    </row>
    <row r="112" spans="1:39">
      <c r="A112" s="20" t="s">
        <v>105</v>
      </c>
      <c r="B112" s="8">
        <v>1213.4707327758624</v>
      </c>
      <c r="C112" s="8">
        <v>1279.1215846220659</v>
      </c>
      <c r="D112" s="8">
        <v>1343.3724785076138</v>
      </c>
      <c r="E112" s="8">
        <v>1487.5555307719474</v>
      </c>
      <c r="F112" s="8">
        <v>1548.1478748524203</v>
      </c>
      <c r="G112" s="8">
        <v>1654.9662699500905</v>
      </c>
      <c r="H112" s="8">
        <v>1790.9866502436284</v>
      </c>
      <c r="I112" s="8">
        <v>1922.7272727272727</v>
      </c>
      <c r="J112" s="8">
        <v>2013.0638578481171</v>
      </c>
      <c r="K112" s="8">
        <v>2067.9324221312204</v>
      </c>
      <c r="L112" s="8">
        <v>2087.5048437665127</v>
      </c>
      <c r="M112" s="8">
        <v>2120.8556524174633</v>
      </c>
      <c r="N112" s="8">
        <v>2156.6707892765694</v>
      </c>
      <c r="O112" s="8">
        <v>2223.2587172507069</v>
      </c>
      <c r="P112" s="8">
        <v>2216.3056973375637</v>
      </c>
      <c r="Q112" s="8">
        <v>2275.4363704948387</v>
      </c>
      <c r="R112" s="8">
        <v>2281.3432199778404</v>
      </c>
      <c r="S112" s="8">
        <v>2276.5798752373203</v>
      </c>
      <c r="T112" s="8">
        <v>2232.8651353041596</v>
      </c>
      <c r="U112" s="8">
        <v>2167.5531914893618</v>
      </c>
      <c r="V112" s="8">
        <v>1913.2965634280868</v>
      </c>
      <c r="W112" s="8">
        <v>1807.9764932297753</v>
      </c>
      <c r="X112" s="8">
        <v>1810.7232135160762</v>
      </c>
      <c r="Y112" s="8">
        <v>1895.1284935536905</v>
      </c>
      <c r="Z112" s="8">
        <v>2012.340322132741</v>
      </c>
      <c r="AA112" s="8">
        <v>2101.7995396526471</v>
      </c>
      <c r="AB112" s="8">
        <v>2114.7146937922384</v>
      </c>
      <c r="AC112" s="8">
        <v>2149.4102228047182</v>
      </c>
      <c r="AD112" s="8">
        <v>2150.5705684682162</v>
      </c>
      <c r="AE112" s="8">
        <v>2320.2735639710427</v>
      </c>
      <c r="AF112" s="8">
        <v>2430.5471597882433</v>
      </c>
      <c r="AG112" s="8">
        <v>2551.8474154611627</v>
      </c>
      <c r="AH112" s="8">
        <v>2660.2422094225371</v>
      </c>
      <c r="AI112" s="8">
        <v>2825.8192173977363</v>
      </c>
      <c r="AJ112" s="8">
        <v>2973.5077003784613</v>
      </c>
      <c r="AK112" s="8">
        <v>3159.9834875124311</v>
      </c>
      <c r="AL112" s="8">
        <v>3354.8999342290704</v>
      </c>
      <c r="AM112" s="8">
        <v>3551.5592946003426</v>
      </c>
    </row>
    <row r="113" spans="1:39">
      <c r="A113" s="19" t="s">
        <v>106</v>
      </c>
      <c r="B113" s="8" t="e">
        <v>#VALUE!</v>
      </c>
      <c r="C113" s="8" t="e">
        <v>#VALUE!</v>
      </c>
      <c r="D113" s="8" t="e">
        <v>#VALUE!</v>
      </c>
      <c r="E113" s="8" t="e">
        <v>#VALUE!</v>
      </c>
      <c r="F113" s="8" t="e">
        <v>#VALUE!</v>
      </c>
      <c r="G113" s="8" t="e">
        <v>#VALUE!</v>
      </c>
      <c r="H113" s="8" t="e">
        <v>#VALUE!</v>
      </c>
      <c r="I113" s="8" t="e">
        <v>#VALUE!</v>
      </c>
      <c r="J113" s="8" t="e">
        <v>#VALUE!</v>
      </c>
      <c r="K113" s="8" t="e">
        <v>#VALUE!</v>
      </c>
      <c r="L113" s="8" t="e">
        <v>#VALUE!</v>
      </c>
      <c r="M113" s="8" t="e">
        <v>#VALUE!</v>
      </c>
      <c r="N113" s="8" t="e">
        <v>#VALUE!</v>
      </c>
      <c r="O113" s="8" t="e">
        <v>#VALUE!</v>
      </c>
      <c r="P113" s="8" t="e">
        <v>#VALUE!</v>
      </c>
      <c r="Q113" s="8" t="e">
        <v>#VALUE!</v>
      </c>
      <c r="R113" s="8" t="e">
        <v>#VALUE!</v>
      </c>
      <c r="S113" s="8" t="e">
        <v>#VALUE!</v>
      </c>
      <c r="T113" s="8" t="e">
        <v>#VALUE!</v>
      </c>
      <c r="U113" s="8">
        <v>795.20451339915371</v>
      </c>
      <c r="V113" s="8">
        <v>708.99772209567197</v>
      </c>
      <c r="W113" s="8">
        <v>420</v>
      </c>
      <c r="X113" s="8">
        <v>391.98813056379822</v>
      </c>
      <c r="Y113" s="8">
        <v>423.27560012154362</v>
      </c>
      <c r="Z113" s="8">
        <v>461.99193298169411</v>
      </c>
      <c r="AA113" s="8">
        <v>496.84741488020177</v>
      </c>
      <c r="AB113" s="8">
        <v>519.61722488038276</v>
      </c>
      <c r="AC113" s="8">
        <v>561.91701511740109</v>
      </c>
      <c r="AD113" s="8">
        <v>584.14239482200651</v>
      </c>
      <c r="AE113" s="8">
        <v>621.58647594278284</v>
      </c>
      <c r="AF113" s="8">
        <v>683.52365415986947</v>
      </c>
      <c r="AG113" s="8">
        <v>774.58346945442668</v>
      </c>
      <c r="AH113" s="8">
        <v>883.33333333333337</v>
      </c>
      <c r="AI113" s="8">
        <v>975.50620509470934</v>
      </c>
      <c r="AJ113" s="8">
        <v>1109.9510603588908</v>
      </c>
      <c r="AK113" s="8">
        <v>1255.541069100391</v>
      </c>
      <c r="AL113" s="8">
        <v>1425.4557291666667</v>
      </c>
      <c r="AM113" s="8">
        <v>1519.9870003249919</v>
      </c>
    </row>
    <row r="114" spans="1:39">
      <c r="A114" s="19" t="s">
        <v>107</v>
      </c>
      <c r="B114" s="8" t="e">
        <v>#VALUE!</v>
      </c>
      <c r="C114" s="8" t="e">
        <v>#VALUE!</v>
      </c>
      <c r="D114" s="8" t="e">
        <v>#VALUE!</v>
      </c>
      <c r="E114" s="8" t="e">
        <v>#VALUE!</v>
      </c>
      <c r="F114" s="8" t="e">
        <v>#VALUE!</v>
      </c>
      <c r="G114" s="8" t="e">
        <v>#VALUE!</v>
      </c>
      <c r="H114" s="8" t="e">
        <v>#VALUE!</v>
      </c>
      <c r="I114" s="8" t="e">
        <v>#VALUE!</v>
      </c>
      <c r="J114" s="8" t="e">
        <v>#VALUE!</v>
      </c>
      <c r="K114" s="8" t="e">
        <v>#VALUE!</v>
      </c>
      <c r="L114" s="8" t="e">
        <v>#VALUE!</v>
      </c>
      <c r="M114" s="8" t="e">
        <v>#VALUE!</v>
      </c>
      <c r="N114" s="8" t="e">
        <v>#VALUE!</v>
      </c>
      <c r="O114" s="8" t="e">
        <v>#VALUE!</v>
      </c>
      <c r="P114" s="8" t="e">
        <v>#VALUE!</v>
      </c>
      <c r="Q114" s="8" t="e">
        <v>#VALUE!</v>
      </c>
      <c r="R114" s="8" t="e">
        <v>#VALUE!</v>
      </c>
      <c r="S114" s="8" t="e">
        <v>#VALUE!</v>
      </c>
      <c r="T114" s="8" t="e">
        <v>#VALUE!</v>
      </c>
      <c r="U114" s="8">
        <v>1250.733342645621</v>
      </c>
      <c r="V114" s="8">
        <v>1222.802915692477</v>
      </c>
      <c r="W114" s="8">
        <v>932.26767813600657</v>
      </c>
      <c r="X114" s="8">
        <v>706.07071380920615</v>
      </c>
      <c r="Y114" s="8">
        <v>559.43135448203236</v>
      </c>
      <c r="Z114" s="8">
        <v>487.70331815224466</v>
      </c>
      <c r="AA114" s="8">
        <v>489.11503284812574</v>
      </c>
      <c r="AB114" s="8">
        <v>512.50318958918092</v>
      </c>
      <c r="AC114" s="8">
        <v>558.44812334133701</v>
      </c>
      <c r="AD114" s="8">
        <v>594.51334084930477</v>
      </c>
      <c r="AE114" s="8">
        <v>655.11243632749415</v>
      </c>
      <c r="AF114" s="8">
        <v>714.46184194304021</v>
      </c>
      <c r="AG114" s="8">
        <v>784.2633382280959</v>
      </c>
      <c r="AH114" s="8">
        <v>865.55744474131654</v>
      </c>
      <c r="AI114" s="8">
        <v>945.58150734408866</v>
      </c>
      <c r="AJ114" s="8">
        <v>1182.9122974261202</v>
      </c>
      <c r="AK114" s="8">
        <v>1573.6004714201533</v>
      </c>
      <c r="AL114" s="8">
        <v>1945.6939750611818</v>
      </c>
      <c r="AM114" s="8">
        <v>2131.4667588431848</v>
      </c>
    </row>
    <row r="115" spans="1:39">
      <c r="A115" s="19" t="s">
        <v>108</v>
      </c>
      <c r="B115" s="8" t="e">
        <v>#VALUE!</v>
      </c>
      <c r="C115" s="8" t="e">
        <v>#VALUE!</v>
      </c>
      <c r="D115" s="8" t="e">
        <v>#VALUE!</v>
      </c>
      <c r="E115" s="8" t="e">
        <v>#VALUE!</v>
      </c>
      <c r="F115" s="8" t="e">
        <v>#VALUE!</v>
      </c>
      <c r="G115" s="8" t="e">
        <v>#VALUE!</v>
      </c>
      <c r="H115" s="8" t="e">
        <v>#VALUE!</v>
      </c>
      <c r="I115" s="8" t="e">
        <v>#VALUE!</v>
      </c>
      <c r="J115" s="8" t="e">
        <v>#VALUE!</v>
      </c>
      <c r="K115" s="8" t="e">
        <v>#VALUE!</v>
      </c>
      <c r="L115" s="8" t="e">
        <v>#VALUE!</v>
      </c>
      <c r="M115" s="8" t="e">
        <v>#VALUE!</v>
      </c>
      <c r="N115" s="8" t="e">
        <v>#VALUE!</v>
      </c>
      <c r="O115" s="8" t="e">
        <v>#VALUE!</v>
      </c>
      <c r="P115" s="8" t="e">
        <v>#VALUE!</v>
      </c>
      <c r="Q115" s="8" t="e">
        <v>#VALUE!</v>
      </c>
      <c r="R115" s="8" t="e">
        <v>#VALUE!</v>
      </c>
      <c r="S115" s="8" t="e">
        <v>#VALUE!</v>
      </c>
      <c r="T115" s="8" t="e">
        <v>#VALUE!</v>
      </c>
      <c r="U115" s="8">
        <v>1409.7556188045933</v>
      </c>
      <c r="V115" s="8">
        <v>1392.1914851873651</v>
      </c>
      <c r="W115" s="8">
        <v>1255.7752545027408</v>
      </c>
      <c r="X115" s="8">
        <v>1157.7302470944428</v>
      </c>
      <c r="Y115" s="8">
        <v>1023.4672924611323</v>
      </c>
      <c r="Z115" s="8">
        <v>920.05101039827343</v>
      </c>
      <c r="AA115" s="8">
        <v>948.91732283464569</v>
      </c>
      <c r="AB115" s="8">
        <v>1061.6783631511316</v>
      </c>
      <c r="AC115" s="8">
        <v>1156.3213824610189</v>
      </c>
      <c r="AD115" s="8">
        <v>1199.7010463378176</v>
      </c>
      <c r="AE115" s="8">
        <v>1273.063468265867</v>
      </c>
      <c r="AF115" s="8">
        <v>1337.913741223671</v>
      </c>
      <c r="AG115" s="8">
        <v>1411.7884130982368</v>
      </c>
      <c r="AH115" s="8">
        <v>1519.0399027749645</v>
      </c>
      <c r="AI115" s="8">
        <v>1701.5472312703582</v>
      </c>
      <c r="AJ115" s="8">
        <v>1871.3175122749592</v>
      </c>
      <c r="AK115" s="8">
        <v>2067.5023117230039</v>
      </c>
      <c r="AL115" s="8">
        <v>2252.5252525252527</v>
      </c>
      <c r="AM115" s="8">
        <v>2483.1112488379304</v>
      </c>
    </row>
    <row r="116" spans="1:39">
      <c r="A116" s="19" t="s">
        <v>109</v>
      </c>
      <c r="B116" s="8" t="e">
        <v>#VALUE!</v>
      </c>
      <c r="C116" s="8" t="e">
        <v>#VALUE!</v>
      </c>
      <c r="D116" s="8" t="e">
        <v>#VALUE!</v>
      </c>
      <c r="E116" s="8" t="e">
        <v>#VALUE!</v>
      </c>
      <c r="F116" s="8" t="e">
        <v>#VALUE!</v>
      </c>
      <c r="G116" s="8" t="e">
        <v>#VALUE!</v>
      </c>
      <c r="H116" s="8" t="e">
        <v>#VALUE!</v>
      </c>
      <c r="I116" s="8" t="e">
        <v>#VALUE!</v>
      </c>
      <c r="J116" s="8" t="e">
        <v>#VALUE!</v>
      </c>
      <c r="K116" s="8" t="e">
        <v>#VALUE!</v>
      </c>
      <c r="L116" s="8" t="e">
        <v>#VALUE!</v>
      </c>
      <c r="M116" s="8" t="e">
        <v>#VALUE!</v>
      </c>
      <c r="N116" s="8" t="e">
        <v>#VALUE!</v>
      </c>
      <c r="O116" s="8" t="e">
        <v>#VALUE!</v>
      </c>
      <c r="P116" s="8" t="e">
        <v>#VALUE!</v>
      </c>
      <c r="Q116" s="8" t="e">
        <v>#VALUE!</v>
      </c>
      <c r="R116" s="8" t="e">
        <v>#VALUE!</v>
      </c>
      <c r="S116" s="8" t="e">
        <v>#VALUE!</v>
      </c>
      <c r="T116" s="8" t="e">
        <v>#VALUE!</v>
      </c>
      <c r="U116" s="8">
        <v>3740.5541561712844</v>
      </c>
      <c r="V116" s="8">
        <v>3462.0253164556962</v>
      </c>
      <c r="W116" s="8">
        <v>2778.8523533204384</v>
      </c>
      <c r="X116" s="8">
        <v>2686.962276637988</v>
      </c>
      <c r="Y116" s="8">
        <v>2708.1922816519973</v>
      </c>
      <c r="Z116" s="8">
        <v>2838.3977900552486</v>
      </c>
      <c r="AA116" s="8">
        <v>3048.4210526315787</v>
      </c>
      <c r="AB116" s="8">
        <v>3452.3470839260317</v>
      </c>
      <c r="AC116" s="8">
        <v>3718.5929648241204</v>
      </c>
      <c r="AD116" s="8">
        <v>3745.4677302393038</v>
      </c>
      <c r="AE116" s="8">
        <v>4139.9416909620986</v>
      </c>
      <c r="AF116" s="8">
        <v>4467.4469641550841</v>
      </c>
      <c r="AG116" s="8">
        <v>4843.4974283614993</v>
      </c>
      <c r="AH116" s="8">
        <v>5228.6135693215338</v>
      </c>
      <c r="AI116" s="8">
        <v>5626.943005181347</v>
      </c>
      <c r="AJ116" s="8">
        <v>6171.3649851632044</v>
      </c>
      <c r="AK116" s="8">
        <v>6801.4869888475841</v>
      </c>
      <c r="AL116" s="8">
        <v>7307.7496274217583</v>
      </c>
      <c r="AM116" s="8">
        <v>7051.454138702461</v>
      </c>
    </row>
    <row r="117" spans="1:39">
      <c r="A117" s="19" t="s">
        <v>110</v>
      </c>
      <c r="B117" s="8" t="e">
        <v>#VALUE!</v>
      </c>
      <c r="C117" s="8" t="e">
        <v>#VALUE!</v>
      </c>
      <c r="D117" s="8" t="e">
        <v>#VALUE!</v>
      </c>
      <c r="E117" s="8" t="e">
        <v>#VALUE!</v>
      </c>
      <c r="F117" s="8" t="e">
        <v>#VALUE!</v>
      </c>
      <c r="G117" s="8" t="e">
        <v>#VALUE!</v>
      </c>
      <c r="H117" s="8" t="e">
        <v>#VALUE!</v>
      </c>
      <c r="I117" s="8" t="e">
        <v>#VALUE!</v>
      </c>
      <c r="J117" s="8" t="e">
        <v>#VALUE!</v>
      </c>
      <c r="K117" s="8" t="e">
        <v>#VALUE!</v>
      </c>
      <c r="L117" s="8" t="e">
        <v>#VALUE!</v>
      </c>
      <c r="M117" s="8" t="e">
        <v>#VALUE!</v>
      </c>
      <c r="N117" s="8" t="e">
        <v>#VALUE!</v>
      </c>
      <c r="O117" s="8" t="e">
        <v>#VALUE!</v>
      </c>
      <c r="P117" s="8" t="e">
        <v>#VALUE!</v>
      </c>
      <c r="Q117" s="8" t="e">
        <v>#VALUE!</v>
      </c>
      <c r="R117" s="8" t="e">
        <v>#VALUE!</v>
      </c>
      <c r="S117" s="8" t="e">
        <v>#VALUE!</v>
      </c>
      <c r="T117" s="8" t="e">
        <v>#VALUE!</v>
      </c>
      <c r="U117" s="8">
        <v>1493.0402930402929</v>
      </c>
      <c r="V117" s="8">
        <v>1188.2505080362091</v>
      </c>
      <c r="W117" s="8">
        <v>664.66616654163545</v>
      </c>
      <c r="X117" s="8">
        <v>478.96749521988522</v>
      </c>
      <c r="Y117" s="8">
        <v>437.96332422941862</v>
      </c>
      <c r="Z117" s="8">
        <v>457.57997218358827</v>
      </c>
      <c r="AA117" s="8">
        <v>516.95599515542995</v>
      </c>
      <c r="AB117" s="8">
        <v>579.29199918150198</v>
      </c>
      <c r="AC117" s="8">
        <v>604.47297577138124</v>
      </c>
      <c r="AD117" s="8">
        <v>628.82279011311266</v>
      </c>
      <c r="AE117" s="8">
        <v>647.66949152542372</v>
      </c>
      <c r="AF117" s="8">
        <v>686.66952421774533</v>
      </c>
      <c r="AG117" s="8">
        <v>732.55309926311224</v>
      </c>
      <c r="AH117" s="8">
        <v>822.52410166520599</v>
      </c>
      <c r="AI117" s="8">
        <v>879.56608368386094</v>
      </c>
      <c r="AJ117" s="8">
        <v>973.61949474625533</v>
      </c>
      <c r="AK117" s="8">
        <v>1074.4416873449131</v>
      </c>
      <c r="AL117" s="8">
        <v>1217.5494430552399</v>
      </c>
      <c r="AM117" s="8">
        <v>1251.833180568286</v>
      </c>
    </row>
    <row r="118" spans="1:39">
      <c r="A118" s="19" t="s">
        <v>111</v>
      </c>
      <c r="B118" s="8" t="e">
        <v>#VALUE!</v>
      </c>
      <c r="C118" s="8" t="e">
        <v>#VALUE!</v>
      </c>
      <c r="D118" s="8" t="e">
        <v>#VALUE!</v>
      </c>
      <c r="E118" s="8" t="e">
        <v>#VALUE!</v>
      </c>
      <c r="F118" s="8" t="e">
        <v>#VALUE!</v>
      </c>
      <c r="G118" s="8" t="e">
        <v>#VALUE!</v>
      </c>
      <c r="H118" s="8" t="e">
        <v>#VALUE!</v>
      </c>
      <c r="I118" s="8" t="e">
        <v>#VALUE!</v>
      </c>
      <c r="J118" s="8" t="e">
        <v>#VALUE!</v>
      </c>
      <c r="K118" s="8" t="e">
        <v>#VALUE!</v>
      </c>
      <c r="L118" s="8" t="e">
        <v>#VALUE!</v>
      </c>
      <c r="M118" s="8" t="e">
        <v>#VALUE!</v>
      </c>
      <c r="N118" s="8" t="e">
        <v>#VALUE!</v>
      </c>
      <c r="O118" s="8" t="e">
        <v>#VALUE!</v>
      </c>
      <c r="P118" s="8" t="e">
        <v>#VALUE!</v>
      </c>
      <c r="Q118" s="8" t="e">
        <v>#VALUE!</v>
      </c>
      <c r="R118" s="8" t="e">
        <v>#VALUE!</v>
      </c>
      <c r="S118" s="8" t="e">
        <v>#VALUE!</v>
      </c>
      <c r="T118" s="8" t="e">
        <v>#VALUE!</v>
      </c>
      <c r="U118" s="8">
        <v>1611.695620259359</v>
      </c>
      <c r="V118" s="8">
        <v>1425.4452616862197</v>
      </c>
      <c r="W118" s="8">
        <v>1350.8729241438043</v>
      </c>
      <c r="X118" s="8">
        <v>1234.7826086956522</v>
      </c>
      <c r="Y118" s="8">
        <v>1094.9363156259708</v>
      </c>
      <c r="Z118" s="8">
        <v>1022.8882144663631</v>
      </c>
      <c r="AA118" s="8">
        <v>1043.7154962126076</v>
      </c>
      <c r="AB118" s="8">
        <v>1078.3878961784271</v>
      </c>
      <c r="AC118" s="8">
        <v>1076.3054873598301</v>
      </c>
      <c r="AD118" s="8">
        <v>1115.9565916398712</v>
      </c>
      <c r="AE118" s="8">
        <v>1228.9707067992474</v>
      </c>
      <c r="AF118" s="8">
        <v>1397.2943868622963</v>
      </c>
      <c r="AG118" s="8">
        <v>1534.1543845480853</v>
      </c>
      <c r="AH118" s="8">
        <v>1671.2053122275136</v>
      </c>
      <c r="AI118" s="8">
        <v>1818.956904016519</v>
      </c>
      <c r="AJ118" s="8">
        <v>1977.7513699082326</v>
      </c>
      <c r="AK118" s="8">
        <v>2166.3182649594983</v>
      </c>
      <c r="AL118" s="8">
        <v>2332.3430638078016</v>
      </c>
      <c r="AM118" s="8">
        <v>2377.6076555023924</v>
      </c>
    </row>
    <row r="119" spans="1:39">
      <c r="A119" s="19" t="s">
        <v>112</v>
      </c>
      <c r="B119" s="8" t="e">
        <v>#VALUE!</v>
      </c>
      <c r="C119" s="8" t="e">
        <v>#VALUE!</v>
      </c>
      <c r="D119" s="8" t="e">
        <v>#VALUE!</v>
      </c>
      <c r="E119" s="8" t="e">
        <v>#VALUE!</v>
      </c>
      <c r="F119" s="8" t="e">
        <v>#VALUE!</v>
      </c>
      <c r="G119" s="8" t="e">
        <v>#VALUE!</v>
      </c>
      <c r="H119" s="8" t="e">
        <v>#VALUE!</v>
      </c>
      <c r="I119" s="8" t="e">
        <v>#VALUE!</v>
      </c>
      <c r="J119" s="8" t="e">
        <v>#VALUE!</v>
      </c>
      <c r="K119" s="8" t="e">
        <v>#VALUE!</v>
      </c>
      <c r="L119" s="8" t="e">
        <v>#VALUE!</v>
      </c>
      <c r="M119" s="8" t="e">
        <v>#VALUE!</v>
      </c>
      <c r="N119" s="8" t="e">
        <v>#VALUE!</v>
      </c>
      <c r="O119" s="8" t="e">
        <v>#VALUE!</v>
      </c>
      <c r="P119" s="8" t="e">
        <v>#VALUE!</v>
      </c>
      <c r="Q119" s="8" t="e">
        <v>#VALUE!</v>
      </c>
      <c r="R119" s="8" t="e">
        <v>#VALUE!</v>
      </c>
      <c r="S119" s="8" t="e">
        <v>#VALUE!</v>
      </c>
      <c r="T119" s="8" t="e">
        <v>#VALUE!</v>
      </c>
      <c r="U119" s="8">
        <v>464.84286683246665</v>
      </c>
      <c r="V119" s="8">
        <v>421.57953281423801</v>
      </c>
      <c r="W119" s="8">
        <v>358.99692036955565</v>
      </c>
      <c r="X119" s="8">
        <v>303.54391371340523</v>
      </c>
      <c r="Y119" s="8">
        <v>242.73127753303964</v>
      </c>
      <c r="Z119" s="8">
        <v>227.23311546840958</v>
      </c>
      <c r="AA119" s="8">
        <v>239.63925273781405</v>
      </c>
      <c r="AB119" s="8">
        <v>259.6825396825397</v>
      </c>
      <c r="AC119" s="8">
        <v>261.20491974150514</v>
      </c>
      <c r="AD119" s="8">
        <v>267.0092497430627</v>
      </c>
      <c r="AE119" s="8">
        <v>278.73855544252291</v>
      </c>
      <c r="AF119" s="8">
        <v>291.22098890010091</v>
      </c>
      <c r="AG119" s="8">
        <v>288.80432605647906</v>
      </c>
      <c r="AH119" s="8">
        <v>306.41000198452076</v>
      </c>
      <c r="AI119" s="8">
        <v>324.36677793049284</v>
      </c>
      <c r="AJ119" s="8">
        <v>320.56765163297047</v>
      </c>
      <c r="AK119" s="8">
        <v>327.61941448382123</v>
      </c>
      <c r="AL119" s="8">
        <v>351.48042024832853</v>
      </c>
      <c r="AM119" s="8">
        <v>375.33156498673742</v>
      </c>
    </row>
    <row r="120" spans="1:39">
      <c r="A120" s="19" t="s">
        <v>113</v>
      </c>
      <c r="B120" s="8" t="e">
        <v>#VALUE!</v>
      </c>
      <c r="C120" s="8" t="e">
        <v>#VALUE!</v>
      </c>
      <c r="D120" s="8" t="e">
        <v>#VALUE!</v>
      </c>
      <c r="E120" s="8" t="e">
        <v>#VALUE!</v>
      </c>
      <c r="F120" s="8" t="e">
        <v>#VALUE!</v>
      </c>
      <c r="G120" s="8" t="e">
        <v>#VALUE!</v>
      </c>
      <c r="H120" s="8" t="e">
        <v>#VALUE!</v>
      </c>
      <c r="I120" s="8" t="e">
        <v>#VALUE!</v>
      </c>
      <c r="J120" s="8" t="e">
        <v>#VALUE!</v>
      </c>
      <c r="K120" s="8" t="e">
        <v>#VALUE!</v>
      </c>
      <c r="L120" s="8" t="e">
        <v>#VALUE!</v>
      </c>
      <c r="M120" s="8" t="e">
        <v>#VALUE!</v>
      </c>
      <c r="N120" s="8" t="e">
        <v>#VALUE!</v>
      </c>
      <c r="O120" s="8" t="e">
        <v>#VALUE!</v>
      </c>
      <c r="P120" s="8" t="e">
        <v>#VALUE!</v>
      </c>
      <c r="Q120" s="8" t="e">
        <v>#VALUE!</v>
      </c>
      <c r="R120" s="8" t="e">
        <v>#VALUE!</v>
      </c>
      <c r="S120" s="8" t="e">
        <v>#VALUE!</v>
      </c>
      <c r="T120" s="8" t="e">
        <v>#VALUE!</v>
      </c>
      <c r="U120" s="8">
        <v>3900.7862223886186</v>
      </c>
      <c r="V120" s="8">
        <v>3421.1119459053343</v>
      </c>
      <c r="W120" s="8">
        <v>2348.7841945288751</v>
      </c>
      <c r="X120" s="8">
        <v>2271.461716937355</v>
      </c>
      <c r="Y120" s="8">
        <v>2355.5729984301411</v>
      </c>
      <c r="Z120" s="8">
        <v>2364.2147117296222</v>
      </c>
      <c r="AA120" s="8">
        <v>2477.3183460457644</v>
      </c>
      <c r="AB120" s="8">
        <v>2727.3469387755099</v>
      </c>
      <c r="AC120" s="8">
        <v>2903.7344398340247</v>
      </c>
      <c r="AD120" s="8">
        <v>3065.6903765690377</v>
      </c>
      <c r="AE120" s="8">
        <v>3302.2765598650931</v>
      </c>
      <c r="AF120" s="8">
        <v>3587.5370919881307</v>
      </c>
      <c r="AG120" s="8">
        <v>3854.1488451668092</v>
      </c>
      <c r="AH120" s="8">
        <v>4154.4086021505373</v>
      </c>
      <c r="AI120" s="8">
        <v>4538.6943363597056</v>
      </c>
      <c r="AJ120" s="8">
        <v>5045.6323337679269</v>
      </c>
      <c r="AK120" s="8">
        <v>5695.3671328671335</v>
      </c>
      <c r="AL120" s="8">
        <v>6296.5729349736384</v>
      </c>
      <c r="AM120" s="8">
        <v>6034.421888790821</v>
      </c>
    </row>
    <row r="121" spans="1:39">
      <c r="A121" s="19" t="s">
        <v>114</v>
      </c>
      <c r="B121" s="8" t="e">
        <v>#VALUE!</v>
      </c>
      <c r="C121" s="8" t="e">
        <v>#VALUE!</v>
      </c>
      <c r="D121" s="8" t="e">
        <v>#VALUE!</v>
      </c>
      <c r="E121" s="8" t="e">
        <v>#VALUE!</v>
      </c>
      <c r="F121" s="8" t="e">
        <v>#VALUE!</v>
      </c>
      <c r="G121" s="8" t="e">
        <v>#VALUE!</v>
      </c>
      <c r="H121" s="8" t="e">
        <v>#VALUE!</v>
      </c>
      <c r="I121" s="8" t="e">
        <v>#VALUE!</v>
      </c>
      <c r="J121" s="8" t="e">
        <v>#VALUE!</v>
      </c>
      <c r="K121" s="8" t="e">
        <v>#VALUE!</v>
      </c>
      <c r="L121" s="8" t="e">
        <v>#VALUE!</v>
      </c>
      <c r="M121" s="8" t="e">
        <v>#VALUE!</v>
      </c>
      <c r="N121" s="8" t="e">
        <v>#VALUE!</v>
      </c>
      <c r="O121" s="8" t="e">
        <v>#VALUE!</v>
      </c>
      <c r="P121" s="8" t="e">
        <v>#VALUE!</v>
      </c>
      <c r="Q121" s="8" t="e">
        <v>#VALUE!</v>
      </c>
      <c r="R121" s="8" t="e">
        <v>#VALUE!</v>
      </c>
      <c r="S121" s="8" t="e">
        <v>#VALUE!</v>
      </c>
      <c r="T121" s="8" t="e">
        <v>#VALUE!</v>
      </c>
      <c r="U121" s="8">
        <v>4343.4288804759335</v>
      </c>
      <c r="V121" s="8">
        <v>4090.1727861771055</v>
      </c>
      <c r="W121" s="8">
        <v>3224.3243243243242</v>
      </c>
      <c r="X121" s="8">
        <v>2713.5487374423028</v>
      </c>
      <c r="Y121" s="8">
        <v>2465.2815746309461</v>
      </c>
      <c r="Z121" s="8">
        <v>2564.7026431718059</v>
      </c>
      <c r="AA121" s="8">
        <v>2704.5769764216366</v>
      </c>
      <c r="AB121" s="8">
        <v>2914.2458100558661</v>
      </c>
      <c r="AC121" s="8">
        <v>3148.5232067510547</v>
      </c>
      <c r="AD121" s="8">
        <v>3116.1144151798358</v>
      </c>
      <c r="AE121" s="8">
        <v>3266.8571428571427</v>
      </c>
      <c r="AF121" s="8">
        <v>3505.8891123240451</v>
      </c>
      <c r="AG121" s="8">
        <v>3759.5848947823583</v>
      </c>
      <c r="AH121" s="8">
        <v>4162.7099015634049</v>
      </c>
      <c r="AI121" s="8">
        <v>4492.142025611176</v>
      </c>
      <c r="AJ121" s="8">
        <v>4874.0480374926774</v>
      </c>
      <c r="AK121" s="8">
        <v>5287.2716558632883</v>
      </c>
      <c r="AL121" s="8">
        <v>5789.9881516587684</v>
      </c>
      <c r="AM121" s="8">
        <v>5996.4264443120901</v>
      </c>
    </row>
    <row r="122" spans="1:39">
      <c r="A122" s="19" t="s">
        <v>115</v>
      </c>
      <c r="B122" s="8" t="e">
        <v>#VALUE!</v>
      </c>
      <c r="C122" s="8" t="e">
        <v>#VALUE!</v>
      </c>
      <c r="D122" s="8" t="e">
        <v>#VALUE!</v>
      </c>
      <c r="E122" s="8" t="e">
        <v>#VALUE!</v>
      </c>
      <c r="F122" s="8" t="e">
        <v>#VALUE!</v>
      </c>
      <c r="G122" s="8" t="e">
        <v>#VALUE!</v>
      </c>
      <c r="H122" s="8" t="e">
        <v>#VALUE!</v>
      </c>
      <c r="I122" s="8" t="e">
        <v>#VALUE!</v>
      </c>
      <c r="J122" s="8" t="e">
        <v>#VALUE!</v>
      </c>
      <c r="K122" s="8" t="e">
        <v>#VALUE!</v>
      </c>
      <c r="L122" s="8" t="e">
        <v>#VALUE!</v>
      </c>
      <c r="M122" s="8" t="e">
        <v>#VALUE!</v>
      </c>
      <c r="N122" s="8" t="e">
        <v>#VALUE!</v>
      </c>
      <c r="O122" s="8" t="e">
        <v>#VALUE!</v>
      </c>
      <c r="P122" s="8" t="e">
        <v>#VALUE!</v>
      </c>
      <c r="Q122" s="8" t="e">
        <v>#VALUE!</v>
      </c>
      <c r="R122" s="8" t="e">
        <v>#VALUE!</v>
      </c>
      <c r="S122" s="8" t="e">
        <v>#VALUE!</v>
      </c>
      <c r="T122" s="8" t="e">
        <v>#VALUE!</v>
      </c>
      <c r="U122" s="8">
        <v>829.05591200733272</v>
      </c>
      <c r="V122" s="8">
        <v>694.62857142857138</v>
      </c>
      <c r="W122" s="8">
        <v>492.12148892441201</v>
      </c>
      <c r="X122" s="8">
        <v>486.62857142857143</v>
      </c>
      <c r="Y122" s="8">
        <v>337.23062815222374</v>
      </c>
      <c r="Z122" s="8">
        <v>334.40884996542979</v>
      </c>
      <c r="AA122" s="8">
        <v>319.24773624332477</v>
      </c>
      <c r="AB122" s="8">
        <v>327.4730426629161</v>
      </c>
      <c r="AC122" s="8">
        <v>309.69883803651885</v>
      </c>
      <c r="AD122" s="8">
        <v>303.2196059586737</v>
      </c>
      <c r="AE122" s="8">
        <v>314.14634146341467</v>
      </c>
      <c r="AF122" s="8">
        <v>338.95363253161418</v>
      </c>
      <c r="AG122" s="8">
        <v>372.12825044180767</v>
      </c>
      <c r="AH122" s="8">
        <v>404.06378600823047</v>
      </c>
      <c r="AI122" s="8">
        <v>441.62303664921467</v>
      </c>
      <c r="AJ122" s="8">
        <v>482.57515296621443</v>
      </c>
      <c r="AK122" s="8">
        <v>512.53707198705854</v>
      </c>
      <c r="AL122" s="8">
        <v>533.67875647668393</v>
      </c>
      <c r="AM122" s="8">
        <v>577.48417285989535</v>
      </c>
    </row>
    <row r="123" spans="1:39">
      <c r="A123" s="19" t="s">
        <v>116</v>
      </c>
      <c r="B123" s="8" t="e">
        <v>#VALUE!</v>
      </c>
      <c r="C123" s="8" t="e">
        <v>#VALUE!</v>
      </c>
      <c r="D123" s="8" t="e">
        <v>#VALUE!</v>
      </c>
      <c r="E123" s="8" t="e">
        <v>#VALUE!</v>
      </c>
      <c r="F123" s="8" t="e">
        <v>#VALUE!</v>
      </c>
      <c r="G123" s="8" t="e">
        <v>#VALUE!</v>
      </c>
      <c r="H123" s="8" t="e">
        <v>#VALUE!</v>
      </c>
      <c r="I123" s="8" t="e">
        <v>#VALUE!</v>
      </c>
      <c r="J123" s="8" t="e">
        <v>#VALUE!</v>
      </c>
      <c r="K123" s="8" t="e">
        <v>#VALUE!</v>
      </c>
      <c r="L123" s="8" t="e">
        <v>#VALUE!</v>
      </c>
      <c r="M123" s="8" t="e">
        <v>#VALUE!</v>
      </c>
      <c r="N123" s="8" t="e">
        <v>#VALUE!</v>
      </c>
      <c r="O123" s="8" t="e">
        <v>#VALUE!</v>
      </c>
      <c r="P123" s="8" t="e">
        <v>#VALUE!</v>
      </c>
      <c r="Q123" s="8" t="e">
        <v>#VALUE!</v>
      </c>
      <c r="R123" s="8" t="e">
        <v>#VALUE!</v>
      </c>
      <c r="S123" s="8" t="e">
        <v>#VALUE!</v>
      </c>
      <c r="T123" s="8" t="e">
        <v>#VALUE!</v>
      </c>
      <c r="U123" s="8">
        <v>2610.0669734876901</v>
      </c>
      <c r="V123" s="8">
        <v>2471.2387293286788</v>
      </c>
      <c r="W123" s="8">
        <v>2110.0930401648061</v>
      </c>
      <c r="X123" s="8">
        <v>1928.2023993156358</v>
      </c>
      <c r="Y123" s="8">
        <v>1686.4117837313354</v>
      </c>
      <c r="Z123" s="8">
        <v>1616.8854801315576</v>
      </c>
      <c r="AA123" s="8">
        <v>1560.8261339092874</v>
      </c>
      <c r="AB123" s="8">
        <v>1585.0049014636786</v>
      </c>
      <c r="AC123" s="8">
        <v>1502.7662845108384</v>
      </c>
      <c r="AD123" s="8">
        <v>1603.1586455184593</v>
      </c>
      <c r="AE123" s="8">
        <v>1771.6460773412828</v>
      </c>
      <c r="AF123" s="8">
        <v>1869.7466039170554</v>
      </c>
      <c r="AG123" s="8">
        <v>1967.4757582222469</v>
      </c>
      <c r="AH123" s="8">
        <v>2120.9897209579017</v>
      </c>
      <c r="AI123" s="8">
        <v>2284.443857294832</v>
      </c>
      <c r="AJ123" s="8">
        <v>2442.3746104504103</v>
      </c>
      <c r="AK123" s="8">
        <v>2641.4129008260402</v>
      </c>
      <c r="AL123" s="8">
        <v>2862.3730531294209</v>
      </c>
      <c r="AM123" s="8">
        <v>3029.5586306123314</v>
      </c>
    </row>
    <row r="124" spans="1:39">
      <c r="A124" s="19" t="s">
        <v>117</v>
      </c>
      <c r="B124" s="8" t="e">
        <v>#VALUE!</v>
      </c>
      <c r="C124" s="8" t="e">
        <v>#VALUE!</v>
      </c>
      <c r="D124" s="8" t="e">
        <v>#VALUE!</v>
      </c>
      <c r="E124" s="8" t="e">
        <v>#VALUE!</v>
      </c>
      <c r="F124" s="8" t="e">
        <v>#VALUE!</v>
      </c>
      <c r="G124" s="8" t="e">
        <v>#VALUE!</v>
      </c>
      <c r="H124" s="8" t="e">
        <v>#VALUE!</v>
      </c>
      <c r="I124" s="8" t="e">
        <v>#VALUE!</v>
      </c>
      <c r="J124" s="8" t="e">
        <v>#VALUE!</v>
      </c>
      <c r="K124" s="8" t="e">
        <v>#VALUE!</v>
      </c>
      <c r="L124" s="8" t="e">
        <v>#VALUE!</v>
      </c>
      <c r="M124" s="8" t="e">
        <v>#VALUE!</v>
      </c>
      <c r="N124" s="8" t="e">
        <v>#VALUE!</v>
      </c>
      <c r="O124" s="8" t="e">
        <v>#VALUE!</v>
      </c>
      <c r="P124" s="8" t="e">
        <v>#VALUE!</v>
      </c>
      <c r="Q124" s="8" t="e">
        <v>#VALUE!</v>
      </c>
      <c r="R124" s="8" t="e">
        <v>#VALUE!</v>
      </c>
      <c r="S124" s="8" t="e">
        <v>#VALUE!</v>
      </c>
      <c r="T124" s="8" t="e">
        <v>#VALUE!</v>
      </c>
      <c r="U124" s="8">
        <v>426.1738638506506</v>
      </c>
      <c r="V124" s="8">
        <v>387.34083779295077</v>
      </c>
      <c r="W124" s="8">
        <v>269.92753623188406</v>
      </c>
      <c r="X124" s="8">
        <v>222.14298448921377</v>
      </c>
      <c r="Y124" s="8">
        <v>172.31688037941333</v>
      </c>
      <c r="Z124" s="8">
        <v>148.74458874458873</v>
      </c>
      <c r="AA124" s="8">
        <v>122.22601570501878</v>
      </c>
      <c r="AB124" s="8">
        <v>122.53829321663019</v>
      </c>
      <c r="AC124" s="8">
        <v>127.22139179538283</v>
      </c>
      <c r="AD124" s="8">
        <v>130.34923757993113</v>
      </c>
      <c r="AE124" s="8">
        <v>139.47837356228737</v>
      </c>
      <c r="AF124" s="8">
        <v>151.8500720807304</v>
      </c>
      <c r="AG124" s="8">
        <v>163.99936618602442</v>
      </c>
      <c r="AH124" s="8">
        <v>178.71139677065372</v>
      </c>
      <c r="AI124" s="8">
        <v>195.41298620796528</v>
      </c>
      <c r="AJ124" s="8">
        <v>205.93635250917993</v>
      </c>
      <c r="AK124" s="8">
        <v>217.29289271163424</v>
      </c>
      <c r="AL124" s="8">
        <v>230.71205589415786</v>
      </c>
      <c r="AM124" s="8">
        <v>245.02633118782913</v>
      </c>
    </row>
    <row r="125" spans="1:39">
      <c r="A125" s="19" t="s">
        <v>118</v>
      </c>
      <c r="B125" s="8" t="e">
        <v>#VALUE!</v>
      </c>
      <c r="C125" s="8" t="e">
        <v>#VALUE!</v>
      </c>
      <c r="D125" s="8" t="e">
        <v>#VALUE!</v>
      </c>
      <c r="E125" s="8" t="e">
        <v>#VALUE!</v>
      </c>
      <c r="F125" s="8" t="e">
        <v>#VALUE!</v>
      </c>
      <c r="G125" s="8" t="e">
        <v>#VALUE!</v>
      </c>
      <c r="H125" s="8" t="e">
        <v>#VALUE!</v>
      </c>
      <c r="I125" s="8" t="e">
        <v>#VALUE!</v>
      </c>
      <c r="J125" s="8" t="e">
        <v>#VALUE!</v>
      </c>
      <c r="K125" s="8" t="e">
        <v>#VALUE!</v>
      </c>
      <c r="L125" s="8" t="e">
        <v>#VALUE!</v>
      </c>
      <c r="M125" s="8" t="e">
        <v>#VALUE!</v>
      </c>
      <c r="N125" s="8" t="e">
        <v>#VALUE!</v>
      </c>
      <c r="O125" s="8" t="e">
        <v>#VALUE!</v>
      </c>
      <c r="P125" s="8" t="e">
        <v>#VALUE!</v>
      </c>
      <c r="Q125" s="8" t="e">
        <v>#VALUE!</v>
      </c>
      <c r="R125" s="8" t="e">
        <v>#VALUE!</v>
      </c>
      <c r="S125" s="8" t="e">
        <v>#VALUE!</v>
      </c>
      <c r="T125" s="8" t="e">
        <v>#VALUE!</v>
      </c>
      <c r="U125" s="8">
        <v>1041.7121046892039</v>
      </c>
      <c r="V125" s="8">
        <v>965.01457725947523</v>
      </c>
      <c r="W125" s="8">
        <v>887.51608751608751</v>
      </c>
      <c r="X125" s="8">
        <v>776.58243682762077</v>
      </c>
      <c r="Y125" s="8">
        <v>625.94489148988055</v>
      </c>
      <c r="Z125" s="8">
        <v>568.08967326496543</v>
      </c>
      <c r="AA125" s="8">
        <v>520.3747072599532</v>
      </c>
      <c r="AB125" s="8">
        <v>454.77618827872641</v>
      </c>
      <c r="AC125" s="8">
        <v>479.04328018223237</v>
      </c>
      <c r="AD125" s="8">
        <v>550.95613048368955</v>
      </c>
      <c r="AE125" s="8">
        <v>645.26876943580635</v>
      </c>
      <c r="AF125" s="8">
        <v>766.43295354951795</v>
      </c>
      <c r="AG125" s="8">
        <v>874.94600431965443</v>
      </c>
      <c r="AH125" s="8">
        <v>1009.5785440613026</v>
      </c>
      <c r="AI125" s="8">
        <v>1166.3869072597565</v>
      </c>
      <c r="AJ125" s="8">
        <v>1299.8137802607075</v>
      </c>
      <c r="AK125" s="8">
        <v>1428.4547866911614</v>
      </c>
      <c r="AL125" s="8">
        <v>1573.6449727987103</v>
      </c>
      <c r="AM125" s="8">
        <v>1705.4494828957838</v>
      </c>
    </row>
    <row r="126" spans="1:39">
      <c r="A126" s="22" t="s">
        <v>119</v>
      </c>
      <c r="B126" s="8" t="e">
        <v>#VALUE!</v>
      </c>
      <c r="C126" s="8" t="e">
        <v>#VALUE!</v>
      </c>
      <c r="D126" s="8" t="e">
        <v>#VALUE!</v>
      </c>
      <c r="E126" s="8" t="e">
        <v>#VALUE!</v>
      </c>
      <c r="F126" s="8" t="e">
        <v>#VALUE!</v>
      </c>
      <c r="G126" s="8" t="e">
        <v>#VALUE!</v>
      </c>
      <c r="H126" s="8" t="e">
        <v>#VALUE!</v>
      </c>
      <c r="I126" s="8" t="e">
        <v>#VALUE!</v>
      </c>
      <c r="J126" s="8" t="e">
        <v>#VALUE!</v>
      </c>
      <c r="K126" s="8" t="e">
        <v>#VALUE!</v>
      </c>
      <c r="L126" s="8" t="e">
        <v>#VALUE!</v>
      </c>
      <c r="M126" s="8" t="e">
        <v>#VALUE!</v>
      </c>
      <c r="N126" s="8" t="e">
        <v>#VALUE!</v>
      </c>
      <c r="O126" s="8" t="e">
        <v>#VALUE!</v>
      </c>
      <c r="P126" s="8" t="e">
        <v>#VALUE!</v>
      </c>
      <c r="Q126" s="8" t="e">
        <v>#VALUE!</v>
      </c>
      <c r="R126" s="8" t="e">
        <v>#VALUE!</v>
      </c>
      <c r="S126" s="8" t="e">
        <v>#VALUE!</v>
      </c>
      <c r="T126" s="8" t="e">
        <v>#VALUE!</v>
      </c>
      <c r="U126" s="8">
        <v>1386.5913821012873</v>
      </c>
      <c r="V126" s="8">
        <v>1267.3461538461538</v>
      </c>
      <c r="W126" s="8">
        <v>1141.131351869607</v>
      </c>
      <c r="X126" s="8">
        <v>978.24795415780295</v>
      </c>
      <c r="Y126" s="8">
        <v>757.6317867529516</v>
      </c>
      <c r="Z126" s="8">
        <v>670.48454728995182</v>
      </c>
      <c r="AA126" s="8">
        <v>608.80976163895252</v>
      </c>
      <c r="AB126" s="8">
        <v>595.95999525635455</v>
      </c>
      <c r="AC126" s="8">
        <v>589.88114231014674</v>
      </c>
      <c r="AD126" s="8">
        <v>594.28663459022005</v>
      </c>
      <c r="AE126" s="8">
        <v>635.71660972832274</v>
      </c>
      <c r="AF126" s="8">
        <v>701.2160052584012</v>
      </c>
      <c r="AG126" s="8">
        <v>745.03661597825862</v>
      </c>
      <c r="AH126" s="8">
        <v>821.72212578169115</v>
      </c>
      <c r="AI126" s="8">
        <v>928.13790778049406</v>
      </c>
      <c r="AJ126" s="8">
        <v>960.2377666914341</v>
      </c>
      <c r="AK126" s="8">
        <v>1037.3172608361119</v>
      </c>
      <c r="AL126" s="8">
        <v>1125.9756176223957</v>
      </c>
      <c r="AM126" s="8">
        <v>1155.8433135890007</v>
      </c>
    </row>
    <row r="127" spans="1:39">
      <c r="A127" s="22" t="s">
        <v>120</v>
      </c>
      <c r="B127" s="8" t="e">
        <v>#VALUE!</v>
      </c>
      <c r="C127" s="8" t="e">
        <v>#VALUE!</v>
      </c>
      <c r="D127" s="8" t="e">
        <v>#VALUE!</v>
      </c>
      <c r="E127" s="8" t="e">
        <v>#VALUE!</v>
      </c>
      <c r="F127" s="8" t="e">
        <v>#VALUE!</v>
      </c>
      <c r="G127" s="8" t="e">
        <v>#VALUE!</v>
      </c>
      <c r="H127" s="8" t="e">
        <v>#VALUE!</v>
      </c>
      <c r="I127" s="8" t="e">
        <v>#VALUE!</v>
      </c>
      <c r="J127" s="8" t="e">
        <v>#VALUE!</v>
      </c>
      <c r="K127" s="8" t="e">
        <v>#VALUE!</v>
      </c>
      <c r="L127" s="8" t="e">
        <v>#VALUE!</v>
      </c>
      <c r="M127" s="8" t="e">
        <v>#VALUE!</v>
      </c>
      <c r="N127" s="8" t="e">
        <v>#VALUE!</v>
      </c>
      <c r="O127" s="8" t="e">
        <v>#VALUE!</v>
      </c>
      <c r="P127" s="8" t="e">
        <v>#VALUE!</v>
      </c>
      <c r="Q127" s="8" t="e">
        <v>#VALUE!</v>
      </c>
      <c r="R127" s="8" t="e">
        <v>#VALUE!</v>
      </c>
      <c r="S127" s="8" t="e">
        <v>#VALUE!</v>
      </c>
      <c r="T127" s="8" t="e">
        <v>#VALUE!</v>
      </c>
      <c r="U127" s="8">
        <v>684.73915163334948</v>
      </c>
      <c r="V127" s="8">
        <v>667.00076365024813</v>
      </c>
      <c r="W127" s="8">
        <v>578.53512984288307</v>
      </c>
      <c r="X127" s="8">
        <v>552.54762555829006</v>
      </c>
      <c r="Y127" s="8">
        <v>513.65241095767976</v>
      </c>
      <c r="Z127" s="8">
        <v>499.89027869212202</v>
      </c>
      <c r="AA127" s="8">
        <v>498.772874058127</v>
      </c>
      <c r="AB127" s="8">
        <v>514.89415642033202</v>
      </c>
      <c r="AC127" s="8">
        <v>528.46035507879094</v>
      </c>
      <c r="AD127" s="8">
        <v>543.31967213114763</v>
      </c>
      <c r="AE127" s="8">
        <v>558.21501014198782</v>
      </c>
      <c r="AF127" s="8">
        <v>574.27804702206913</v>
      </c>
      <c r="AG127" s="8">
        <v>590.06014561570123</v>
      </c>
      <c r="AH127" s="8">
        <v>607.71276595744678</v>
      </c>
      <c r="AI127" s="8">
        <v>647.03835446953292</v>
      </c>
      <c r="AJ127" s="8">
        <v>684.29701532464549</v>
      </c>
      <c r="AK127" s="8">
        <v>725.40209922223062</v>
      </c>
      <c r="AL127" s="8">
        <v>783.01324996278106</v>
      </c>
      <c r="AM127" s="8">
        <v>839.56945156330085</v>
      </c>
    </row>
    <row r="128" spans="1:39">
      <c r="A128" s="22" t="s">
        <v>121</v>
      </c>
      <c r="B128" s="8">
        <v>1651.4188176587568</v>
      </c>
      <c r="C128" s="8">
        <v>1711.8535798466098</v>
      </c>
      <c r="D128" s="8">
        <v>1847.2720574101365</v>
      </c>
      <c r="E128" s="8">
        <v>1930.0189202375145</v>
      </c>
      <c r="F128" s="8">
        <v>1986.4253749228938</v>
      </c>
      <c r="G128" s="8">
        <v>2091.0842679352081</v>
      </c>
      <c r="H128" s="8">
        <v>2169.7637187771238</v>
      </c>
      <c r="I128" s="8">
        <v>2246.8712360195013</v>
      </c>
      <c r="J128" s="8">
        <v>2299.9609480153631</v>
      </c>
      <c r="K128" s="8">
        <v>2319.9660050691555</v>
      </c>
      <c r="L128" s="8">
        <v>2349.3178274912912</v>
      </c>
      <c r="M128" s="8">
        <v>2397.0078594544616</v>
      </c>
      <c r="N128" s="8">
        <v>2451.7461702291444</v>
      </c>
      <c r="O128" s="8">
        <v>2463.4295179147416</v>
      </c>
      <c r="P128" s="8">
        <v>2468.318567504617</v>
      </c>
      <c r="Q128" s="8">
        <v>2549.2546153901048</v>
      </c>
      <c r="R128" s="8">
        <v>2560.3148492084547</v>
      </c>
      <c r="S128" s="8">
        <v>2577.7745805713562</v>
      </c>
      <c r="T128" s="8">
        <v>2639.2336779478155</v>
      </c>
      <c r="U128" s="8" t="e">
        <v>#VALUE!</v>
      </c>
      <c r="V128" s="8" t="e">
        <v>#VALUE!</v>
      </c>
      <c r="W128" s="8" t="e">
        <v>#VALUE!</v>
      </c>
      <c r="X128" s="8" t="e">
        <v>#VALUE!</v>
      </c>
      <c r="Y128" s="8" t="e">
        <v>#VALUE!</v>
      </c>
      <c r="Z128" s="8" t="e">
        <v>#VALUE!</v>
      </c>
      <c r="AA128" s="8" t="e">
        <v>#VALUE!</v>
      </c>
      <c r="AB128" s="8" t="e">
        <v>#VALUE!</v>
      </c>
      <c r="AC128" s="8" t="e">
        <v>#VALUE!</v>
      </c>
      <c r="AD128" s="8" t="e">
        <v>#VALUE!</v>
      </c>
      <c r="AE128" s="8" t="e">
        <v>#VALUE!</v>
      </c>
      <c r="AF128" s="8" t="e">
        <v>#VALUE!</v>
      </c>
      <c r="AG128" s="8" t="e">
        <v>#VALUE!</v>
      </c>
      <c r="AH128" s="8" t="e">
        <v>#VALUE!</v>
      </c>
      <c r="AI128" s="8" t="e">
        <v>#VALUE!</v>
      </c>
      <c r="AJ128" s="8" t="e">
        <v>#VALUE!</v>
      </c>
      <c r="AK128" s="8" t="e">
        <v>#VALUE!</v>
      </c>
      <c r="AL128" s="8" t="e">
        <v>#VALUE!</v>
      </c>
      <c r="AM128" s="8" t="e">
        <v>#VALUE!</v>
      </c>
    </row>
    <row r="129" spans="1:39">
      <c r="A129" s="20" t="s">
        <v>122</v>
      </c>
      <c r="B129" s="8">
        <v>1651.4188176587568</v>
      </c>
      <c r="C129" s="8">
        <v>1711.8535798466098</v>
      </c>
      <c r="D129" s="8">
        <v>1847.2720574101365</v>
      </c>
      <c r="E129" s="8">
        <v>1930.0189202375145</v>
      </c>
      <c r="F129" s="8">
        <v>1986.4253749228938</v>
      </c>
      <c r="G129" s="8">
        <v>2091.0842679352081</v>
      </c>
      <c r="H129" s="8">
        <v>2169.7637187771238</v>
      </c>
      <c r="I129" s="8">
        <v>2246.8712360195013</v>
      </c>
      <c r="J129" s="8">
        <v>2299.9609480153631</v>
      </c>
      <c r="K129" s="8">
        <v>2319.9660050691555</v>
      </c>
      <c r="L129" s="8">
        <v>2349.3178274912912</v>
      </c>
      <c r="M129" s="8">
        <v>2397.0078594544616</v>
      </c>
      <c r="N129" s="8">
        <v>2451.7461702291444</v>
      </c>
      <c r="O129" s="8">
        <v>2463.4295179147416</v>
      </c>
      <c r="P129" s="8">
        <v>2468.318567504617</v>
      </c>
      <c r="Q129" s="8">
        <v>2549.2546153901048</v>
      </c>
      <c r="R129" s="8">
        <v>2560.3148492084547</v>
      </c>
      <c r="S129" s="8">
        <v>2577.7745805713562</v>
      </c>
      <c r="T129" s="8">
        <v>2639.2336779478155</v>
      </c>
      <c r="U129" s="8">
        <v>1998.0781683386026</v>
      </c>
      <c r="V129" s="8">
        <v>1869.2603249539104</v>
      </c>
      <c r="W129" s="8">
        <v>1591.5361868880273</v>
      </c>
      <c r="X129" s="8">
        <v>1434.9232373399921</v>
      </c>
      <c r="Y129" s="8">
        <v>1242.9680771118074</v>
      </c>
      <c r="Z129" s="8">
        <v>1181.7900768078705</v>
      </c>
      <c r="AA129" s="8">
        <v>1147.1229728706971</v>
      </c>
      <c r="AB129" s="8">
        <v>1171.0643752864512</v>
      </c>
      <c r="AC129" s="8">
        <v>1139.1796713161166</v>
      </c>
      <c r="AD129" s="8">
        <v>1198.5264855399714</v>
      </c>
      <c r="AE129" s="8">
        <v>1309.9402619311259</v>
      </c>
      <c r="AF129" s="8">
        <v>1394.5005221023321</v>
      </c>
      <c r="AG129" s="8">
        <v>1474.2177355171114</v>
      </c>
      <c r="AH129" s="8">
        <v>1592.6881253784209</v>
      </c>
      <c r="AI129" s="8">
        <v>1725.2736845428301</v>
      </c>
      <c r="AJ129" s="8">
        <v>1849.3291727283588</v>
      </c>
      <c r="AK129" s="8">
        <v>2010.7162206851906</v>
      </c>
      <c r="AL129" s="8">
        <v>2185.6532811796487</v>
      </c>
      <c r="AM129" s="8">
        <v>2296.3798519892894</v>
      </c>
    </row>
    <row r="130" spans="1:39">
      <c r="A130" s="19" t="s">
        <v>123</v>
      </c>
      <c r="B130" s="8">
        <v>6879.2756539235406</v>
      </c>
      <c r="C130" s="8">
        <v>6874.1521317829456</v>
      </c>
      <c r="D130" s="8">
        <v>6947.3725988252099</v>
      </c>
      <c r="E130" s="8">
        <v>7208.8113634589863</v>
      </c>
      <c r="F130" s="8">
        <v>7089.7539252946372</v>
      </c>
      <c r="G130" s="8">
        <v>6838.2208449852624</v>
      </c>
      <c r="H130" s="8">
        <v>7202.1811143782334</v>
      </c>
      <c r="I130" s="8">
        <v>6776.2660896989255</v>
      </c>
      <c r="J130" s="8">
        <v>7359.1198150021683</v>
      </c>
      <c r="K130" s="8">
        <v>7550.6157898483661</v>
      </c>
      <c r="L130" s="8">
        <v>7014.1645045929463</v>
      </c>
      <c r="M130" s="8">
        <v>6565.6422651933699</v>
      </c>
      <c r="N130" s="8">
        <v>6716.8508757014115</v>
      </c>
      <c r="O130" s="8">
        <v>6762.1759228244127</v>
      </c>
      <c r="P130" s="8">
        <v>6156.1458505197161</v>
      </c>
      <c r="Q130" s="8">
        <v>6543.1757591520909</v>
      </c>
      <c r="R130" s="8">
        <v>6635.6529539920548</v>
      </c>
      <c r="S130" s="8">
        <v>6373.0697571604505</v>
      </c>
      <c r="T130" s="8">
        <v>5811.4493836384008</v>
      </c>
      <c r="U130" s="8">
        <v>5592.4925570117548</v>
      </c>
      <c r="V130" s="8">
        <v>6213.8749318966047</v>
      </c>
      <c r="W130" s="8">
        <v>6860.9643230332895</v>
      </c>
      <c r="X130" s="8">
        <v>7169.2883233180155</v>
      </c>
      <c r="Y130" s="8">
        <v>7488.8649843004996</v>
      </c>
      <c r="Z130" s="8">
        <v>7184.0964547150852</v>
      </c>
      <c r="AA130" s="8">
        <v>7488.4874950377134</v>
      </c>
      <c r="AB130" s="8">
        <v>7999.9159404858638</v>
      </c>
      <c r="AC130" s="8">
        <v>8212.8967924214739</v>
      </c>
      <c r="AD130" s="8">
        <v>7847.4687705456945</v>
      </c>
      <c r="AE130" s="8">
        <v>7702.8404163052901</v>
      </c>
      <c r="AF130" s="8">
        <v>7288.5657562912484</v>
      </c>
      <c r="AG130" s="8">
        <v>6431.0079166888045</v>
      </c>
      <c r="AH130" s="8">
        <v>6932.4825680831464</v>
      </c>
      <c r="AI130" s="8">
        <v>7486.1617846346298</v>
      </c>
      <c r="AJ130" s="8">
        <v>8094.2008413554595</v>
      </c>
      <c r="AK130" s="8">
        <v>8692.6457811621603</v>
      </c>
      <c r="AL130" s="8">
        <v>9356.6311419385875</v>
      </c>
      <c r="AM130" s="8">
        <v>9915.0616912428541</v>
      </c>
    </row>
    <row r="131" spans="1:39">
      <c r="A131" s="19" t="s">
        <v>124</v>
      </c>
      <c r="B131" s="8">
        <v>951.79606025492456</v>
      </c>
      <c r="C131" s="8">
        <v>1002.7137042062416</v>
      </c>
      <c r="D131" s="8">
        <v>1034.6425419240952</v>
      </c>
      <c r="E131" s="8">
        <v>1039.4056847545219</v>
      </c>
      <c r="F131" s="8">
        <v>1088.4639630174406</v>
      </c>
      <c r="G131" s="8">
        <v>1111.3617719442166</v>
      </c>
      <c r="H131" s="8">
        <v>1138.7387387387387</v>
      </c>
      <c r="I131" s="8">
        <v>1134.8973607038122</v>
      </c>
      <c r="J131" s="8">
        <v>1110.2196752626551</v>
      </c>
      <c r="K131" s="8">
        <v>1070.5882352941176</v>
      </c>
      <c r="L131" s="8">
        <v>1050.0548045305079</v>
      </c>
      <c r="M131" s="8">
        <v>987.12906685734708</v>
      </c>
      <c r="N131" s="8">
        <v>927.37136856842835</v>
      </c>
      <c r="O131" s="8">
        <v>905.94483467534701</v>
      </c>
      <c r="P131" s="8">
        <v>871.89805499664647</v>
      </c>
      <c r="Q131" s="8">
        <v>831.03674540682414</v>
      </c>
      <c r="R131" s="8">
        <v>832.95892169448007</v>
      </c>
      <c r="S131" s="8">
        <v>838.22375647261879</v>
      </c>
      <c r="T131" s="8">
        <v>850.56765879104023</v>
      </c>
      <c r="U131" s="8">
        <v>869.84555405608046</v>
      </c>
      <c r="V131" s="8">
        <v>894.92966002344667</v>
      </c>
      <c r="W131" s="8">
        <v>888.61846814602711</v>
      </c>
      <c r="X131" s="8">
        <v>905.30144076094564</v>
      </c>
      <c r="Y131" s="8">
        <v>926.04237867395761</v>
      </c>
      <c r="Z131" s="8">
        <v>947.74124565624163</v>
      </c>
      <c r="AA131" s="8">
        <v>967.57322175732224</v>
      </c>
      <c r="AB131" s="8">
        <v>994.11237680788429</v>
      </c>
      <c r="AC131" s="8">
        <v>1022.3057644110274</v>
      </c>
      <c r="AD131" s="8">
        <v>1005.5235055848779</v>
      </c>
      <c r="AE131" s="8">
        <v>1009.7390886136828</v>
      </c>
      <c r="AF131" s="8">
        <v>1006.0084825636193</v>
      </c>
      <c r="AG131" s="8">
        <v>1010.5068698764577</v>
      </c>
      <c r="AH131" s="8">
        <v>1017.430673457838</v>
      </c>
      <c r="AI131" s="8">
        <v>1039.4050394050394</v>
      </c>
      <c r="AJ131" s="8">
        <v>1115.9878022217381</v>
      </c>
      <c r="AK131" s="8">
        <v>1145.4992516570453</v>
      </c>
      <c r="AL131" s="8">
        <v>1125.761714645934</v>
      </c>
      <c r="AM131" s="8">
        <v>1174.4114002478316</v>
      </c>
    </row>
    <row r="132" spans="1:39">
      <c r="A132" s="19" t="s">
        <v>125</v>
      </c>
      <c r="B132" s="8">
        <v>2162.3303339942045</v>
      </c>
      <c r="C132" s="8">
        <v>2365.6885324015248</v>
      </c>
      <c r="D132" s="8">
        <v>2633.3485220122734</v>
      </c>
      <c r="E132" s="8">
        <v>2804.5773480924558</v>
      </c>
      <c r="F132" s="8">
        <v>2881.898138300332</v>
      </c>
      <c r="G132" s="8">
        <v>3090.2825450735268</v>
      </c>
      <c r="H132" s="8">
        <v>3157.3941735923631</v>
      </c>
      <c r="I132" s="8">
        <v>3183.6544758884561</v>
      </c>
      <c r="J132" s="8">
        <v>3320.1545428528138</v>
      </c>
      <c r="K132" s="8">
        <v>3538.7771546974955</v>
      </c>
      <c r="L132" s="8">
        <v>3305.1472360113739</v>
      </c>
      <c r="M132" s="8">
        <v>3248.0340297289235</v>
      </c>
      <c r="N132" s="8">
        <v>3066.4539241030679</v>
      </c>
      <c r="O132" s="8">
        <v>3157.3142458414927</v>
      </c>
      <c r="P132" s="8">
        <v>3336.3961542133984</v>
      </c>
      <c r="Q132" s="8">
        <v>3530.13184029477</v>
      </c>
      <c r="R132" s="8">
        <v>3586.2601884196038</v>
      </c>
      <c r="S132" s="8">
        <v>3515.9567837107838</v>
      </c>
      <c r="T132" s="8">
        <v>3566.5222330301817</v>
      </c>
      <c r="U132" s="8">
        <v>3354.7636558133318</v>
      </c>
      <c r="V132" s="8">
        <v>3349.7237932395105</v>
      </c>
      <c r="W132" s="8">
        <v>3281.7490371233448</v>
      </c>
      <c r="X132" s="8">
        <v>3382.5578652795575</v>
      </c>
      <c r="Y132" s="8">
        <v>3509.4621576482114</v>
      </c>
      <c r="Z132" s="8">
        <v>3609.4859362244265</v>
      </c>
      <c r="AA132" s="8">
        <v>3631.7245076359823</v>
      </c>
      <c r="AB132" s="8">
        <v>3698.1338133813379</v>
      </c>
      <c r="AC132" s="8">
        <v>3644.5951218358732</v>
      </c>
      <c r="AD132" s="8">
        <v>3600.2562982379495</v>
      </c>
      <c r="AE132" s="8">
        <v>3701.4824256203565</v>
      </c>
      <c r="AF132" s="8">
        <v>3697.2359177851117</v>
      </c>
      <c r="AG132" s="8">
        <v>3743.3104626429886</v>
      </c>
      <c r="AH132" s="8">
        <v>3735.8885516451192</v>
      </c>
      <c r="AI132" s="8">
        <v>3899.4528564591219</v>
      </c>
      <c r="AJ132" s="8">
        <v>3974.8166062071746</v>
      </c>
      <c r="AK132" s="8">
        <v>4086.8312800943891</v>
      </c>
      <c r="AL132" s="8">
        <v>4273.9690721649486</v>
      </c>
      <c r="AM132" s="8">
        <v>4447.6017335861479</v>
      </c>
    </row>
    <row r="133" spans="1:39">
      <c r="A133" s="19" t="s">
        <v>126</v>
      </c>
      <c r="B133" s="8">
        <v>2357.9248951192062</v>
      </c>
      <c r="C133" s="8">
        <v>2298.1397687280041</v>
      </c>
      <c r="D133" s="8">
        <v>2148.1115285742535</v>
      </c>
      <c r="E133" s="8">
        <v>2166.5693714730492</v>
      </c>
      <c r="F133" s="8">
        <v>1891.1564625850342</v>
      </c>
      <c r="G133" s="8">
        <v>1927.471904806875</v>
      </c>
      <c r="H133" s="8">
        <v>2066.219614417435</v>
      </c>
      <c r="I133" s="8">
        <v>2190.4630650496142</v>
      </c>
      <c r="J133" s="8">
        <v>2348.0743090167648</v>
      </c>
      <c r="K133" s="8">
        <v>2503.3053421475788</v>
      </c>
      <c r="L133" s="8">
        <v>2582.9446449001143</v>
      </c>
      <c r="M133" s="8">
        <v>2280.5649423793429</v>
      </c>
      <c r="N133" s="8">
        <v>2159.5599522428788</v>
      </c>
      <c r="O133" s="8">
        <v>2293.9843946639817</v>
      </c>
      <c r="P133" s="8">
        <v>2417.3819742489272</v>
      </c>
      <c r="Q133" s="8">
        <v>2511.0010554518144</v>
      </c>
      <c r="R133" s="8">
        <v>2630.4157025452805</v>
      </c>
      <c r="S133" s="8">
        <v>2775.1804204581113</v>
      </c>
      <c r="T133" s="8">
        <v>3017.3570932654479</v>
      </c>
      <c r="U133" s="8">
        <v>3077.6234919189619</v>
      </c>
      <c r="V133" s="8">
        <v>3262.7030248845176</v>
      </c>
      <c r="W133" s="8">
        <v>3598.17050859861</v>
      </c>
      <c r="X133" s="8">
        <v>3782.2835777969517</v>
      </c>
      <c r="Y133" s="8">
        <v>3929.2679479932167</v>
      </c>
      <c r="Z133" s="8">
        <v>4273.497742271622</v>
      </c>
      <c r="AA133" s="8">
        <v>4525.2808988764045</v>
      </c>
      <c r="AB133" s="8">
        <v>4758.7861584211951</v>
      </c>
      <c r="AC133" s="8">
        <v>4847.9029139161166</v>
      </c>
      <c r="AD133" s="8">
        <v>4749.1610186220969</v>
      </c>
      <c r="AE133" s="8">
        <v>4896.1553448499808</v>
      </c>
      <c r="AF133" s="8">
        <v>5003.531980477781</v>
      </c>
      <c r="AG133" s="8">
        <v>5055.4426521021214</v>
      </c>
      <c r="AH133" s="8">
        <v>5198.3792951818577</v>
      </c>
      <c r="AI133" s="8">
        <v>5452.8055676381036</v>
      </c>
      <c r="AJ133" s="8">
        <v>5694.4119997541038</v>
      </c>
      <c r="AK133" s="8">
        <v>5895.5759751719106</v>
      </c>
      <c r="AL133" s="8">
        <v>6110.1939992770222</v>
      </c>
      <c r="AM133" s="8">
        <v>6241.4245660084707</v>
      </c>
    </row>
    <row r="134" spans="1:39">
      <c r="A134" s="19" t="s">
        <v>127</v>
      </c>
      <c r="B134" s="8">
        <v>1405.6085446793547</v>
      </c>
      <c r="C134" s="8">
        <v>1482.1574620119666</v>
      </c>
      <c r="D134" s="8">
        <v>1551.2452511608274</v>
      </c>
      <c r="E134" s="8">
        <v>1610.4019892250312</v>
      </c>
      <c r="F134" s="8">
        <v>1618.254388465768</v>
      </c>
      <c r="G134" s="8">
        <v>1662.754022437817</v>
      </c>
      <c r="H134" s="8">
        <v>1697.1475525296398</v>
      </c>
      <c r="I134" s="8">
        <v>1803.4577934524266</v>
      </c>
      <c r="J134" s="8">
        <v>1861.5251755341119</v>
      </c>
      <c r="K134" s="8">
        <v>1897.5292300904478</v>
      </c>
      <c r="L134" s="8">
        <v>1898.1801179686377</v>
      </c>
      <c r="M134" s="8">
        <v>1876.4484203853062</v>
      </c>
      <c r="N134" s="8">
        <v>1868.2729814629431</v>
      </c>
      <c r="O134" s="8">
        <v>1894.0845833474418</v>
      </c>
      <c r="P134" s="8">
        <v>1916.6085020108353</v>
      </c>
      <c r="Q134" s="8">
        <v>1988.5960053435861</v>
      </c>
      <c r="R134" s="8">
        <v>2054.6982331703889</v>
      </c>
      <c r="S134" s="8">
        <v>2097.1138478894422</v>
      </c>
      <c r="T134" s="8">
        <v>2127.5784684435425</v>
      </c>
      <c r="U134" s="8">
        <v>2213.7427606177607</v>
      </c>
      <c r="V134" s="8">
        <v>2218.7703221992315</v>
      </c>
      <c r="W134" s="8">
        <v>2285.1884057971015</v>
      </c>
      <c r="X134" s="8">
        <v>2294.8787215287057</v>
      </c>
      <c r="Y134" s="8">
        <v>2383.8017359269902</v>
      </c>
      <c r="Z134" s="8">
        <v>2462.307839859699</v>
      </c>
      <c r="AA134" s="8">
        <v>2465.2938330017741</v>
      </c>
      <c r="AB134" s="8">
        <v>2504.0259774545266</v>
      </c>
      <c r="AC134" s="8">
        <v>2475.3736765621757</v>
      </c>
      <c r="AD134" s="8">
        <v>2332.9078376308398</v>
      </c>
      <c r="AE134" s="8">
        <v>2364.269374827179</v>
      </c>
      <c r="AF134" s="8">
        <v>2376.0723910302368</v>
      </c>
      <c r="AG134" s="8">
        <v>2396.514797507788</v>
      </c>
      <c r="AH134" s="8">
        <v>2469.8844290989305</v>
      </c>
      <c r="AI134" s="8">
        <v>2548.4092090956369</v>
      </c>
      <c r="AJ134" s="8">
        <v>2657.5811979761706</v>
      </c>
      <c r="AK134" s="8">
        <v>2806.1189253896268</v>
      </c>
      <c r="AL134" s="8">
        <v>2980.2668970377608</v>
      </c>
      <c r="AM134" s="8">
        <v>3018.1209862127812</v>
      </c>
    </row>
    <row r="135" spans="1:39">
      <c r="A135" s="19" t="s">
        <v>128</v>
      </c>
      <c r="B135" s="8">
        <v>2470.5251875669883</v>
      </c>
      <c r="C135" s="8">
        <v>2610.9947643979058</v>
      </c>
      <c r="D135" s="8">
        <v>2747.314578005115</v>
      </c>
      <c r="E135" s="8">
        <v>2833.0834582708649</v>
      </c>
      <c r="F135" s="8">
        <v>2822.0380302291564</v>
      </c>
      <c r="G135" s="8">
        <v>2902.5665399239542</v>
      </c>
      <c r="H135" s="8">
        <v>3077.7417862100879</v>
      </c>
      <c r="I135" s="8">
        <v>3182.3502926609635</v>
      </c>
      <c r="J135" s="8">
        <v>3248.7954445904511</v>
      </c>
      <c r="K135" s="8">
        <v>3184.0647635279079</v>
      </c>
      <c r="L135" s="8">
        <v>3026.9374222958972</v>
      </c>
      <c r="M135" s="8">
        <v>2728.4448025785655</v>
      </c>
      <c r="N135" s="8">
        <v>2729.6238244514107</v>
      </c>
      <c r="O135" s="8">
        <v>2819.3597560975609</v>
      </c>
      <c r="P135" s="8">
        <v>2771.5980719317758</v>
      </c>
      <c r="Q135" s="8">
        <v>2853.4824972933961</v>
      </c>
      <c r="R135" s="8">
        <v>2969.4307800421643</v>
      </c>
      <c r="S135" s="8">
        <v>3002.7378507871317</v>
      </c>
      <c r="T135" s="8">
        <v>3073.6912304101365</v>
      </c>
      <c r="U135" s="8">
        <v>3113.7841352405721</v>
      </c>
      <c r="V135" s="8">
        <v>3115.7627656200443</v>
      </c>
      <c r="W135" s="8">
        <v>3319.8142414860681</v>
      </c>
      <c r="X135" s="8">
        <v>3480.8099123602296</v>
      </c>
      <c r="Y135" s="8">
        <v>3558.4070796460178</v>
      </c>
      <c r="Z135" s="8">
        <v>3607.482014388489</v>
      </c>
      <c r="AA135" s="8">
        <v>3549.5369071007576</v>
      </c>
      <c r="AB135" s="8">
        <v>3653.3515731874145</v>
      </c>
      <c r="AC135" s="8">
        <v>3861.7929562433296</v>
      </c>
      <c r="AD135" s="8">
        <v>4079.166666666667</v>
      </c>
      <c r="AE135" s="8">
        <v>4058.5390684652584</v>
      </c>
      <c r="AF135" s="8">
        <v>4015.4459392127546</v>
      </c>
      <c r="AG135" s="8">
        <v>4048.3280449109102</v>
      </c>
      <c r="AH135" s="8">
        <v>4226.053639846743</v>
      </c>
      <c r="AI135" s="8">
        <v>4326.3578650364443</v>
      </c>
      <c r="AJ135" s="8">
        <v>4502.6577305292349</v>
      </c>
      <c r="AK135" s="8">
        <v>4817.6858376903838</v>
      </c>
      <c r="AL135" s="8">
        <v>5120.1255042581806</v>
      </c>
      <c r="AM135" s="8">
        <v>5194.8310139165005</v>
      </c>
    </row>
    <row r="136" spans="1:39">
      <c r="A136" s="19" t="s">
        <v>129</v>
      </c>
      <c r="B136" s="8">
        <v>1744.5008460236886</v>
      </c>
      <c r="C136" s="8">
        <v>1797.2283813747226</v>
      </c>
      <c r="D136" s="8">
        <v>1828.372042307273</v>
      </c>
      <c r="E136" s="8">
        <v>1818.6895810955959</v>
      </c>
      <c r="F136" s="8">
        <v>1965.4368108566582</v>
      </c>
      <c r="G136" s="8">
        <v>2049.4966442953023</v>
      </c>
      <c r="H136" s="8">
        <v>2207.3766233766232</v>
      </c>
      <c r="I136" s="8">
        <v>2334.7422680412374</v>
      </c>
      <c r="J136" s="8">
        <v>2344.3932411674346</v>
      </c>
      <c r="K136" s="8">
        <v>2217.5506464420237</v>
      </c>
      <c r="L136" s="8">
        <v>2640.4699210046588</v>
      </c>
      <c r="M136" s="8">
        <v>2863.5676111727339</v>
      </c>
      <c r="N136" s="8">
        <v>3004.8183095763902</v>
      </c>
      <c r="O136" s="8">
        <v>3225.6389776357828</v>
      </c>
      <c r="P136" s="8">
        <v>3254.4120563156848</v>
      </c>
      <c r="Q136" s="8">
        <v>3228.9926289926289</v>
      </c>
      <c r="R136" s="8">
        <v>3118.9572998735534</v>
      </c>
      <c r="S136" s="8">
        <v>3199.0379990379993</v>
      </c>
      <c r="T136" s="8">
        <v>3186.7504283266703</v>
      </c>
      <c r="U136" s="8">
        <v>3063.9321074964641</v>
      </c>
      <c r="V136" s="8">
        <v>2714.8470390120683</v>
      </c>
      <c r="W136" s="8">
        <v>2384.57249070632</v>
      </c>
      <c r="X136" s="8">
        <v>2018.2036592127149</v>
      </c>
      <c r="Y136" s="8">
        <v>2022.3407189482393</v>
      </c>
      <c r="Z136" s="8">
        <v>2062.0311070448306</v>
      </c>
      <c r="AA136" s="8">
        <v>2213.4790528233152</v>
      </c>
      <c r="AB136" s="8">
        <v>2264.1030292037003</v>
      </c>
      <c r="AC136" s="8">
        <v>2259.1254065775211</v>
      </c>
      <c r="AD136" s="8">
        <v>2393.1754749257225</v>
      </c>
      <c r="AE136" s="8">
        <v>2531.5024232633282</v>
      </c>
      <c r="AF136" s="8">
        <v>2599.1587614104174</v>
      </c>
      <c r="AG136" s="8">
        <v>2632.2413639203787</v>
      </c>
      <c r="AH136" s="8">
        <v>2704.0171016299992</v>
      </c>
      <c r="AI136" s="8">
        <v>2820.3965501911621</v>
      </c>
      <c r="AJ136" s="8">
        <v>3149.55595026643</v>
      </c>
      <c r="AK136" s="8">
        <v>3540.9603266175559</v>
      </c>
      <c r="AL136" s="8">
        <v>3792.2181753575555</v>
      </c>
      <c r="AM136" s="8">
        <v>3873.5662843424911</v>
      </c>
    </row>
    <row r="137" spans="1:39">
      <c r="A137" s="21" t="s">
        <v>130</v>
      </c>
      <c r="B137" s="8">
        <v>1241.3282571912014</v>
      </c>
      <c r="C137" s="8">
        <v>1332.579185520362</v>
      </c>
      <c r="D137" s="8">
        <v>1463.971176941553</v>
      </c>
      <c r="E137" s="8">
        <v>1511.3060428849903</v>
      </c>
      <c r="F137" s="8">
        <v>1549.3920972644378</v>
      </c>
      <c r="G137" s="8">
        <v>1612.4490552056318</v>
      </c>
      <c r="H137" s="8">
        <v>1651.8438177874186</v>
      </c>
      <c r="I137" s="8">
        <v>1647.370278856336</v>
      </c>
      <c r="J137" s="8">
        <v>1682.2413793103449</v>
      </c>
      <c r="K137" s="8">
        <v>1775.1937984496124</v>
      </c>
      <c r="L137" s="8">
        <v>1810.3164139749506</v>
      </c>
      <c r="M137" s="8">
        <v>1801.1931634956466</v>
      </c>
      <c r="N137" s="8">
        <v>1844.4058702856241</v>
      </c>
      <c r="O137" s="8">
        <v>1828.6464771322619</v>
      </c>
      <c r="P137" s="8">
        <v>1753.0266343825667</v>
      </c>
      <c r="Q137" s="8">
        <v>1778.1731909845789</v>
      </c>
      <c r="R137" s="8">
        <v>1919.3313953488373</v>
      </c>
      <c r="S137" s="8">
        <v>1922.4739917343593</v>
      </c>
      <c r="T137" s="8">
        <v>1968.27393431167</v>
      </c>
      <c r="U137" s="8">
        <v>1825.2227553118576</v>
      </c>
      <c r="V137" s="8">
        <v>1807.557826788596</v>
      </c>
      <c r="W137" s="8">
        <v>1959.8891674363374</v>
      </c>
      <c r="X137" s="8">
        <v>2062.2814968276575</v>
      </c>
      <c r="Y137" s="8">
        <v>2070.9201830198272</v>
      </c>
      <c r="Z137" s="8">
        <v>2145.139148883065</v>
      </c>
      <c r="AA137" s="8">
        <v>2256.8942272337295</v>
      </c>
      <c r="AB137" s="8">
        <v>2394.701986754967</v>
      </c>
      <c r="AC137" s="8">
        <v>2518.1022243256034</v>
      </c>
      <c r="AD137" s="8">
        <v>2641.5445452430795</v>
      </c>
      <c r="AE137" s="8">
        <v>2744.3961573650504</v>
      </c>
      <c r="AF137" s="8">
        <v>2748.1439820022497</v>
      </c>
      <c r="AG137" s="8">
        <v>2860.5423353624792</v>
      </c>
      <c r="AH137" s="8">
        <v>2808.169934640523</v>
      </c>
      <c r="AI137" s="8">
        <v>2800.8579088471852</v>
      </c>
      <c r="AJ137" s="8">
        <v>3013.4107708553324</v>
      </c>
      <c r="AK137" s="8">
        <v>3284.6593863754551</v>
      </c>
      <c r="AL137" s="8">
        <v>3522.4141476454861</v>
      </c>
      <c r="AM137" s="8">
        <v>3666.8021955682052</v>
      </c>
    </row>
    <row r="138" spans="1:39">
      <c r="A138" s="19" t="s">
        <v>131</v>
      </c>
      <c r="B138" s="8">
        <v>960.14964216005205</v>
      </c>
      <c r="C138" s="8">
        <v>975.2013899857842</v>
      </c>
      <c r="D138" s="8">
        <v>1100.3375268487266</v>
      </c>
      <c r="E138" s="8">
        <v>1158.1222056631893</v>
      </c>
      <c r="F138" s="8">
        <v>1218.7635731866224</v>
      </c>
      <c r="G138" s="8">
        <v>1274.7221831481222</v>
      </c>
      <c r="H138" s="8">
        <v>1267.3592126845272</v>
      </c>
      <c r="I138" s="8">
        <v>1315.6636110003985</v>
      </c>
      <c r="J138" s="8">
        <v>1345.6024796590468</v>
      </c>
      <c r="K138" s="8">
        <v>1366.9137043085038</v>
      </c>
      <c r="L138" s="8">
        <v>1374.6792130025663</v>
      </c>
      <c r="M138" s="8">
        <v>1330.1224878106789</v>
      </c>
      <c r="N138" s="8">
        <v>1262.2742010189904</v>
      </c>
      <c r="O138" s="8">
        <v>1276.7877284006317</v>
      </c>
      <c r="P138" s="8">
        <v>1280.3604791735356</v>
      </c>
      <c r="Q138" s="8">
        <v>1299.0463945140898</v>
      </c>
      <c r="R138" s="8">
        <v>1240.0961638967283</v>
      </c>
      <c r="S138" s="8">
        <v>1311.5690675372373</v>
      </c>
      <c r="T138" s="8">
        <v>1293.4143668426821</v>
      </c>
      <c r="U138" s="8">
        <v>1297.79984423676</v>
      </c>
      <c r="V138" s="8">
        <v>1334.76108890158</v>
      </c>
      <c r="W138" s="8">
        <v>1325.6658595641647</v>
      </c>
      <c r="X138" s="8">
        <v>1301.9332482217765</v>
      </c>
      <c r="Y138" s="8">
        <v>1336.3132487037369</v>
      </c>
      <c r="Z138" s="8">
        <v>1334.7665847665846</v>
      </c>
      <c r="AA138" s="8">
        <v>1343.2218006209037</v>
      </c>
      <c r="AB138" s="8">
        <v>1375.1060580349567</v>
      </c>
      <c r="AC138" s="8">
        <v>1383.085408657864</v>
      </c>
      <c r="AD138" s="8">
        <v>1277.4528379602934</v>
      </c>
      <c r="AE138" s="8">
        <v>1295.4656265236472</v>
      </c>
      <c r="AF138" s="8">
        <v>1347.0239050216589</v>
      </c>
      <c r="AG138" s="8">
        <v>1386.9740908010458</v>
      </c>
      <c r="AH138" s="8">
        <v>1419.7008848171638</v>
      </c>
      <c r="AI138" s="8">
        <v>1515.9866842146009</v>
      </c>
      <c r="AJ138" s="8">
        <v>1589.3116912946941</v>
      </c>
      <c r="AK138" s="8">
        <v>1633.3888804726557</v>
      </c>
      <c r="AL138" s="8">
        <v>1656.7466266866568</v>
      </c>
      <c r="AM138" s="8">
        <v>1746.2719786334299</v>
      </c>
    </row>
    <row r="139" spans="1:39">
      <c r="A139" s="19" t="s">
        <v>132</v>
      </c>
      <c r="B139" s="8">
        <v>1880.0104112441436</v>
      </c>
      <c r="C139" s="8">
        <v>1943.9513061120974</v>
      </c>
      <c r="D139" s="8">
        <v>1988.1276279990107</v>
      </c>
      <c r="E139" s="8">
        <v>2045.1690821256041</v>
      </c>
      <c r="F139" s="8">
        <v>2057.6151121605667</v>
      </c>
      <c r="G139" s="8">
        <v>2115.0646950092419</v>
      </c>
      <c r="H139" s="8">
        <v>2213.0405252433779</v>
      </c>
      <c r="I139" s="8">
        <v>2286.2536087053077</v>
      </c>
      <c r="J139" s="8">
        <v>2151.5812431842965</v>
      </c>
      <c r="K139" s="8">
        <v>1866.6094788762598</v>
      </c>
      <c r="L139" s="8">
        <v>1645.6925675675677</v>
      </c>
      <c r="M139" s="8">
        <v>1519.8751300728409</v>
      </c>
      <c r="N139" s="8">
        <v>1522.274686922603</v>
      </c>
      <c r="O139" s="8">
        <v>1522.5937183383994</v>
      </c>
      <c r="P139" s="8">
        <v>1512.3024604920986</v>
      </c>
      <c r="Q139" s="8">
        <v>1496.4440932437772</v>
      </c>
      <c r="R139" s="8">
        <v>1515.1219512195121</v>
      </c>
      <c r="S139" s="8">
        <v>1524.5712083253036</v>
      </c>
      <c r="T139" s="8">
        <v>1519.3075898801599</v>
      </c>
      <c r="U139" s="8">
        <v>1570.9193245778611</v>
      </c>
      <c r="V139" s="8">
        <v>1603.2538361989277</v>
      </c>
      <c r="W139" s="8">
        <v>1697.7971964318222</v>
      </c>
      <c r="X139" s="8">
        <v>1795.2671208318393</v>
      </c>
      <c r="Y139" s="8">
        <v>1876.9883351007422</v>
      </c>
      <c r="Z139" s="8">
        <v>1972.590782122905</v>
      </c>
      <c r="AA139" s="8">
        <v>1985.4872149274361</v>
      </c>
      <c r="AB139" s="8">
        <v>2052.4241905088229</v>
      </c>
      <c r="AC139" s="8">
        <v>2114.1350569824804</v>
      </c>
      <c r="AD139" s="8">
        <v>2173.9939127494081</v>
      </c>
      <c r="AE139" s="8">
        <v>2209.2514718250632</v>
      </c>
      <c r="AF139" s="8">
        <v>2236.5645404319439</v>
      </c>
      <c r="AG139" s="8">
        <v>2280.0200133422281</v>
      </c>
      <c r="AH139" s="8">
        <v>2324.414159880339</v>
      </c>
      <c r="AI139" s="8">
        <v>2359.6157031638231</v>
      </c>
      <c r="AJ139" s="8">
        <v>2423.5022280904441</v>
      </c>
      <c r="AK139" s="8">
        <v>2515.2910226899048</v>
      </c>
      <c r="AL139" s="8">
        <v>2621.5817913869332</v>
      </c>
      <c r="AM139" s="8">
        <v>2676.3938702314963</v>
      </c>
    </row>
    <row r="140" spans="1:39">
      <c r="A140" s="19" t="s">
        <v>133</v>
      </c>
      <c r="B140" s="8">
        <v>1292.1005385996409</v>
      </c>
      <c r="C140" s="8">
        <v>1349.1703056768561</v>
      </c>
      <c r="D140" s="8">
        <v>1401.7675050985724</v>
      </c>
      <c r="E140" s="8">
        <v>1451.6876240900067</v>
      </c>
      <c r="F140" s="8">
        <v>1441.811734364926</v>
      </c>
      <c r="G140" s="8">
        <v>1509.6652522395095</v>
      </c>
      <c r="H140" s="8">
        <v>1588.0999846649288</v>
      </c>
      <c r="I140" s="8">
        <v>1627.6006585840444</v>
      </c>
      <c r="J140" s="8">
        <v>1663.6469900642899</v>
      </c>
      <c r="K140" s="8">
        <v>1684.5857692856125</v>
      </c>
      <c r="L140" s="8">
        <v>1654.0548059535402</v>
      </c>
      <c r="M140" s="8">
        <v>1556.2338895672228</v>
      </c>
      <c r="N140" s="8">
        <v>1478.8937409024745</v>
      </c>
      <c r="O140" s="8">
        <v>1450.2259522272434</v>
      </c>
      <c r="P140" s="8">
        <v>1406.805293005671</v>
      </c>
      <c r="Q140" s="8">
        <v>1376.0462826193991</v>
      </c>
      <c r="R140" s="8">
        <v>1392.0625375826819</v>
      </c>
      <c r="S140" s="8">
        <v>1413.493182886695</v>
      </c>
      <c r="T140" s="8">
        <v>1435.9563469270533</v>
      </c>
      <c r="U140" s="8">
        <v>1446.7894027840146</v>
      </c>
      <c r="V140" s="8">
        <v>1465.4453707766565</v>
      </c>
      <c r="W140" s="8">
        <v>1501.0181116707749</v>
      </c>
      <c r="X140" s="8">
        <v>1524.0288974976443</v>
      </c>
      <c r="Y140" s="8">
        <v>1548.9975450081834</v>
      </c>
      <c r="Z140" s="8">
        <v>1588.564574170332</v>
      </c>
      <c r="AA140" s="8">
        <v>1598.6321446018562</v>
      </c>
      <c r="AB140" s="8">
        <v>1630.7898004011079</v>
      </c>
      <c r="AC140" s="8">
        <v>1673.4179578122082</v>
      </c>
      <c r="AD140" s="8">
        <v>1697.8843698705089</v>
      </c>
      <c r="AE140" s="8">
        <v>1717.9624187371985</v>
      </c>
      <c r="AF140" s="8">
        <v>1715.8626684050412</v>
      </c>
      <c r="AG140" s="8">
        <v>1738.6585262443823</v>
      </c>
      <c r="AH140" s="8">
        <v>1738.8751033912324</v>
      </c>
      <c r="AI140" s="8">
        <v>1749.2135193998547</v>
      </c>
      <c r="AJ140" s="8">
        <v>1761.7623918174666</v>
      </c>
      <c r="AK140" s="8">
        <v>1811.1136695064856</v>
      </c>
      <c r="AL140" s="8">
        <v>1878.6335031465387</v>
      </c>
      <c r="AM140" s="8">
        <v>1907.4290728283124</v>
      </c>
    </row>
    <row r="141" spans="1:39">
      <c r="A141" s="19" t="s">
        <v>134</v>
      </c>
      <c r="B141" s="8">
        <v>678.75755680633733</v>
      </c>
      <c r="C141" s="8">
        <v>676.29584101618514</v>
      </c>
      <c r="D141" s="8">
        <v>672.91037260825783</v>
      </c>
      <c r="E141" s="8">
        <v>703.08788598574824</v>
      </c>
      <c r="F141" s="8">
        <v>674.37791601866252</v>
      </c>
      <c r="G141" s="8">
        <v>718.56515932074035</v>
      </c>
      <c r="H141" s="8">
        <v>708.08383233532925</v>
      </c>
      <c r="I141" s="8">
        <v>727.30607005318166</v>
      </c>
      <c r="J141" s="8">
        <v>764.18821839080465</v>
      </c>
      <c r="K141" s="8">
        <v>804.4280442804428</v>
      </c>
      <c r="L141" s="8">
        <v>765.12027491408935</v>
      </c>
      <c r="M141" s="8">
        <v>721.83985227463495</v>
      </c>
      <c r="N141" s="8">
        <v>710.44433513690763</v>
      </c>
      <c r="O141" s="8">
        <v>695.9794970366811</v>
      </c>
      <c r="P141" s="8">
        <v>681.69719743228438</v>
      </c>
      <c r="Q141" s="8">
        <v>665.79914268217999</v>
      </c>
      <c r="R141" s="8">
        <v>646.49490713001796</v>
      </c>
      <c r="S141" s="8">
        <v>637.82991202346034</v>
      </c>
      <c r="T141" s="8">
        <v>631.15577889447241</v>
      </c>
      <c r="U141" s="8">
        <v>617.72151898734171</v>
      </c>
      <c r="V141" s="8">
        <v>631.01309441764306</v>
      </c>
      <c r="W141" s="8">
        <v>537.09960805514254</v>
      </c>
      <c r="X141" s="8">
        <v>514.05090137857906</v>
      </c>
      <c r="Y141" s="8">
        <v>462.47886591234231</v>
      </c>
      <c r="Z141" s="8">
        <v>435.93670239918322</v>
      </c>
      <c r="AA141" s="8">
        <v>445.44657396968557</v>
      </c>
      <c r="AB141" s="8">
        <v>449.26823268970605</v>
      </c>
      <c r="AC141" s="8">
        <v>450.89986713371178</v>
      </c>
      <c r="AD141" s="8">
        <v>454.9661801352795</v>
      </c>
      <c r="AE141" s="8">
        <v>448.96768925696955</v>
      </c>
      <c r="AF141" s="8">
        <v>436.79743060334937</v>
      </c>
      <c r="AG141" s="8">
        <v>428.73264868524996</v>
      </c>
      <c r="AH141" s="8">
        <v>423.3203775680177</v>
      </c>
      <c r="AI141" s="8">
        <v>402.01114875942727</v>
      </c>
      <c r="AJ141" s="8">
        <v>402.75387263339076</v>
      </c>
      <c r="AK141" s="8">
        <v>405.46262968452254</v>
      </c>
      <c r="AL141" s="8">
        <v>412.19309196837287</v>
      </c>
      <c r="AM141" s="8">
        <v>410.32719836400821</v>
      </c>
    </row>
    <row r="142" spans="1:39">
      <c r="A142" s="19" t="s">
        <v>135</v>
      </c>
      <c r="B142" s="8">
        <v>899.49385394070862</v>
      </c>
      <c r="C142" s="8">
        <v>925.10548523206751</v>
      </c>
      <c r="D142" s="8">
        <v>969.5934403826443</v>
      </c>
      <c r="E142" s="8">
        <v>929.99336429993366</v>
      </c>
      <c r="F142" s="8">
        <v>921.7643271088217</v>
      </c>
      <c r="G142" s="8">
        <v>987.8239150796129</v>
      </c>
      <c r="H142" s="8">
        <v>1056.5809379727684</v>
      </c>
      <c r="I142" s="8">
        <v>1126.0627381999414</v>
      </c>
      <c r="J142" s="8">
        <v>1142.0051121840386</v>
      </c>
      <c r="K142" s="8">
        <v>1114.2306633636113</v>
      </c>
      <c r="L142" s="8">
        <v>1107.257203842049</v>
      </c>
      <c r="M142" s="8">
        <v>1058.7322121604138</v>
      </c>
      <c r="N142" s="8">
        <v>1017.5702811244981</v>
      </c>
      <c r="O142" s="8">
        <v>1030.4432537749635</v>
      </c>
      <c r="P142" s="8">
        <v>1041.8340817773576</v>
      </c>
      <c r="Q142" s="8">
        <v>1018.582243633861</v>
      </c>
      <c r="R142" s="8">
        <v>1048.563154377367</v>
      </c>
      <c r="S142" s="8">
        <v>1065.5560363479015</v>
      </c>
      <c r="T142" s="8">
        <v>1080.3195962994112</v>
      </c>
      <c r="U142" s="8">
        <v>1051.5232058883664</v>
      </c>
      <c r="V142" s="8">
        <v>1056.0859188544155</v>
      </c>
      <c r="W142" s="8">
        <v>1085.7696030977734</v>
      </c>
      <c r="X142" s="8">
        <v>1123.5149915142372</v>
      </c>
      <c r="Y142" s="8">
        <v>1081.2798823096728</v>
      </c>
      <c r="Z142" s="8">
        <v>1098.5637342908437</v>
      </c>
      <c r="AA142" s="8">
        <v>1112.3004035795755</v>
      </c>
      <c r="AB142" s="8">
        <v>1142.6609442060085</v>
      </c>
      <c r="AC142" s="8">
        <v>1151.285930408472</v>
      </c>
      <c r="AD142" s="8">
        <v>1106.554677206851</v>
      </c>
      <c r="AE142" s="8">
        <v>1146.8689477081989</v>
      </c>
      <c r="AF142" s="8">
        <v>1154.9050632911392</v>
      </c>
      <c r="AG142" s="8">
        <v>1174.8371082842073</v>
      </c>
      <c r="AH142" s="8">
        <v>1204.4728434504791</v>
      </c>
      <c r="AI142" s="8">
        <v>1254.998507908087</v>
      </c>
      <c r="AJ142" s="8">
        <v>1305.2385133157741</v>
      </c>
      <c r="AK142" s="8">
        <v>1360.3099440378819</v>
      </c>
      <c r="AL142" s="8">
        <v>1418.4966216216217</v>
      </c>
      <c r="AM142" s="8">
        <v>1449.8757249378625</v>
      </c>
    </row>
    <row r="143" spans="1:39">
      <c r="A143" s="19" t="s">
        <v>136</v>
      </c>
      <c r="B143" s="8">
        <v>3388.7130801687767</v>
      </c>
      <c r="C143" s="8">
        <v>3939.2207792207791</v>
      </c>
      <c r="D143" s="8">
        <v>3664.1104294478528</v>
      </c>
      <c r="E143" s="8">
        <v>3456.1933534743202</v>
      </c>
      <c r="F143" s="8">
        <v>3400.8941877794337</v>
      </c>
      <c r="G143" s="8">
        <v>3134.445534838077</v>
      </c>
      <c r="H143" s="8">
        <v>3021.855269548324</v>
      </c>
      <c r="I143" s="8">
        <v>2989.4230769230767</v>
      </c>
      <c r="J143" s="8">
        <v>2923.9543726235738</v>
      </c>
      <c r="K143" s="8">
        <v>2719.6436943272388</v>
      </c>
      <c r="L143" s="8">
        <v>2753.9315448658649</v>
      </c>
      <c r="M143" s="8">
        <v>2762.272727272727</v>
      </c>
      <c r="N143" s="8">
        <v>2763.4984381972331</v>
      </c>
      <c r="O143" s="8">
        <v>2674.5614035087719</v>
      </c>
      <c r="P143" s="8">
        <v>2560.7961921246215</v>
      </c>
      <c r="Q143" s="8">
        <v>2581.3356164383563</v>
      </c>
      <c r="R143" s="8">
        <v>2766.0569970225438</v>
      </c>
      <c r="S143" s="8">
        <v>2869.6943972835315</v>
      </c>
      <c r="T143" s="8">
        <v>3050.9473684210525</v>
      </c>
      <c r="U143" s="8">
        <v>3159.4142259414225</v>
      </c>
      <c r="V143" s="8">
        <v>3290.1080631753948</v>
      </c>
      <c r="W143" s="8">
        <v>3330.9946347503096</v>
      </c>
      <c r="X143" s="8">
        <v>3617.7795985251946</v>
      </c>
      <c r="Y143" s="8">
        <v>3639.4308943089432</v>
      </c>
      <c r="Z143" s="8">
        <v>3695.1612903225805</v>
      </c>
      <c r="AA143" s="8">
        <v>3646.6135458167332</v>
      </c>
      <c r="AB143" s="8">
        <v>3571.0339384372537</v>
      </c>
      <c r="AC143" s="8">
        <v>3456.3942119671492</v>
      </c>
      <c r="AD143" s="8">
        <v>3469.3084693084697</v>
      </c>
      <c r="AE143" s="8">
        <v>3479.7219003476248</v>
      </c>
      <c r="AF143" s="8">
        <v>3504.7984644913627</v>
      </c>
      <c r="AG143" s="8">
        <v>3522.3538402751242</v>
      </c>
      <c r="AH143" s="8">
        <v>3686.976389946687</v>
      </c>
      <c r="AI143" s="8">
        <v>3721.379833206975</v>
      </c>
      <c r="AJ143" s="8">
        <v>3742.6415094339623</v>
      </c>
      <c r="AK143" s="8">
        <v>3825.3849042433349</v>
      </c>
      <c r="AL143" s="8">
        <v>3861.3602391629297</v>
      </c>
      <c r="AM143" s="8">
        <v>3792.4879137225735</v>
      </c>
    </row>
    <row r="144" spans="1:39">
      <c r="A144" s="19" t="s">
        <v>137</v>
      </c>
      <c r="B144" s="8" t="e">
        <v>#VALUE!</v>
      </c>
      <c r="C144" s="8" t="e">
        <v>#VALUE!</v>
      </c>
      <c r="D144" s="8" t="e">
        <v>#VALUE!</v>
      </c>
      <c r="E144" s="8" t="e">
        <v>#VALUE!</v>
      </c>
      <c r="F144" s="8" t="e">
        <v>#VALUE!</v>
      </c>
      <c r="G144" s="8" t="e">
        <v>#VALUE!</v>
      </c>
      <c r="H144" s="8" t="e">
        <v>#VALUE!</v>
      </c>
      <c r="I144" s="8" t="e">
        <v>#VALUE!</v>
      </c>
      <c r="J144" s="8" t="e">
        <v>#VALUE!</v>
      </c>
      <c r="K144" s="8">
        <v>5977.0114942528744</v>
      </c>
      <c r="L144" s="8">
        <v>6011.4285714285716</v>
      </c>
      <c r="M144" s="8">
        <v>5836.1581920903955</v>
      </c>
      <c r="N144" s="8">
        <v>5769.6629213483147</v>
      </c>
      <c r="O144" s="8">
        <v>5605.5555555555547</v>
      </c>
      <c r="P144" s="8">
        <v>5423.0769230769229</v>
      </c>
      <c r="Q144" s="8">
        <v>5070.652173913044</v>
      </c>
      <c r="R144" s="8">
        <v>5075.2688172043008</v>
      </c>
      <c r="S144" s="8">
        <v>5095.744680851064</v>
      </c>
      <c r="T144" s="8">
        <v>5465.6084656084658</v>
      </c>
      <c r="U144" s="8">
        <v>5492.146596858639</v>
      </c>
      <c r="V144" s="8">
        <v>5562.5</v>
      </c>
      <c r="W144" s="8">
        <v>5739.583333333333</v>
      </c>
      <c r="X144" s="8">
        <v>6000</v>
      </c>
      <c r="Y144" s="8">
        <v>6328.125</v>
      </c>
      <c r="Z144" s="8">
        <v>6376.9633507853405</v>
      </c>
      <c r="AA144" s="8">
        <v>6529.1005291005295</v>
      </c>
      <c r="AB144" s="8">
        <v>6602.1505376344085</v>
      </c>
      <c r="AC144" s="8">
        <v>6722.826086956522</v>
      </c>
      <c r="AD144" s="8">
        <v>6747.2527472527472</v>
      </c>
      <c r="AE144" s="8">
        <v>6646.4088397790056</v>
      </c>
      <c r="AF144" s="8">
        <v>6727.7777777777783</v>
      </c>
      <c r="AG144" s="8">
        <v>6712.7071823204424</v>
      </c>
      <c r="AH144" s="8">
        <v>6769.2307692307695</v>
      </c>
      <c r="AI144" s="8">
        <v>6766.304347826087</v>
      </c>
      <c r="AJ144" s="8">
        <v>6790.322580645161</v>
      </c>
      <c r="AK144" s="8">
        <v>6804.2328042328045</v>
      </c>
      <c r="AL144" s="8">
        <v>6853.4031413612565</v>
      </c>
      <c r="AM144" s="8">
        <v>6886.5979381443294</v>
      </c>
    </row>
    <row r="145" spans="1:39">
      <c r="A145" s="19" t="s">
        <v>138</v>
      </c>
      <c r="B145" s="8">
        <v>1305.0161812297736</v>
      </c>
      <c r="C145" s="8">
        <v>1292.8263426107408</v>
      </c>
      <c r="D145" s="8">
        <v>1333.2066869300911</v>
      </c>
      <c r="E145" s="8">
        <v>1475.3313696612663</v>
      </c>
      <c r="F145" s="8">
        <v>1427.9086366880802</v>
      </c>
      <c r="G145" s="8">
        <v>1456.4013840830448</v>
      </c>
      <c r="H145" s="8">
        <v>1530.8724832214766</v>
      </c>
      <c r="I145" s="8">
        <v>1368.4895833333333</v>
      </c>
      <c r="J145" s="8">
        <v>976.92793931731978</v>
      </c>
      <c r="K145" s="8">
        <v>992.63125575683137</v>
      </c>
      <c r="L145" s="8">
        <v>1017.0149253731342</v>
      </c>
      <c r="M145" s="8">
        <v>981.41155968632006</v>
      </c>
      <c r="N145" s="8">
        <v>999.71719457013569</v>
      </c>
      <c r="O145" s="8">
        <v>959.73524544953125</v>
      </c>
      <c r="P145" s="8">
        <v>898.51951547779277</v>
      </c>
      <c r="Q145" s="8">
        <v>869.70255330350096</v>
      </c>
      <c r="R145" s="8">
        <v>845.14300438031444</v>
      </c>
      <c r="S145" s="8">
        <v>724.70350744385564</v>
      </c>
      <c r="T145" s="8">
        <v>697.20918745369215</v>
      </c>
      <c r="U145" s="8">
        <v>681.23641632455929</v>
      </c>
      <c r="V145" s="8">
        <v>663.91509433962256</v>
      </c>
      <c r="W145" s="8">
        <v>650.25310630464799</v>
      </c>
      <c r="X145" s="8">
        <v>632.01616524472388</v>
      </c>
      <c r="Y145" s="8">
        <v>637.79872834904631</v>
      </c>
      <c r="Z145" s="8">
        <v>660.59176672384228</v>
      </c>
      <c r="AA145" s="8">
        <v>687.94624107517859</v>
      </c>
      <c r="AB145" s="8">
        <v>701.54479917610706</v>
      </c>
      <c r="AC145" s="8">
        <v>714.60355987055016</v>
      </c>
      <c r="AD145" s="8">
        <v>751.98886237072406</v>
      </c>
      <c r="AE145" s="8">
        <v>770.55599060297573</v>
      </c>
      <c r="AF145" s="8">
        <v>781.8287037037037</v>
      </c>
      <c r="AG145" s="8">
        <v>776.82648401826475</v>
      </c>
      <c r="AH145" s="8">
        <v>786.10328638497651</v>
      </c>
      <c r="AI145" s="8">
        <v>817.38969225064886</v>
      </c>
      <c r="AJ145" s="8">
        <v>842.02818963939228</v>
      </c>
      <c r="AK145" s="8">
        <v>862.25596529284167</v>
      </c>
      <c r="AL145" s="8">
        <v>884.21052631578937</v>
      </c>
      <c r="AM145" s="8">
        <v>903.48714336033811</v>
      </c>
    </row>
    <row r="146" spans="1:39">
      <c r="A146" s="19" t="s">
        <v>139</v>
      </c>
      <c r="B146" s="8">
        <v>2922.5306649451259</v>
      </c>
      <c r="C146" s="8">
        <v>2974.2462311557788</v>
      </c>
      <c r="D146" s="8">
        <v>3052.5993883792048</v>
      </c>
      <c r="E146" s="8">
        <v>3044.6694460988683</v>
      </c>
      <c r="F146" s="8">
        <v>3014.5095763203713</v>
      </c>
      <c r="G146" s="8">
        <v>2985.8597285067872</v>
      </c>
      <c r="H146" s="8">
        <v>2945.3943739658025</v>
      </c>
      <c r="I146" s="8">
        <v>3152.2323830016139</v>
      </c>
      <c r="J146" s="8">
        <v>3216.386554621849</v>
      </c>
      <c r="K146" s="8">
        <v>3177.0138532580809</v>
      </c>
      <c r="L146" s="8">
        <v>3389.4736842105262</v>
      </c>
      <c r="M146" s="8">
        <v>3491.6666666666665</v>
      </c>
      <c r="N146" s="8">
        <v>3263.3093525179856</v>
      </c>
      <c r="O146" s="8">
        <v>3280.7511737089203</v>
      </c>
      <c r="P146" s="8">
        <v>3369.9448529411761</v>
      </c>
      <c r="Q146" s="8">
        <v>3419.6307969383161</v>
      </c>
      <c r="R146" s="8">
        <v>3287.918871252205</v>
      </c>
      <c r="S146" s="8">
        <v>2791.7026793431287</v>
      </c>
      <c r="T146" s="8">
        <v>2777.7307366638443</v>
      </c>
      <c r="U146" s="8">
        <v>2941.518042306097</v>
      </c>
      <c r="V146" s="8">
        <v>3153.189760260057</v>
      </c>
      <c r="W146" s="8">
        <v>3342.3566878980891</v>
      </c>
      <c r="X146" s="8">
        <v>3453.1981279251168</v>
      </c>
      <c r="Y146" s="8">
        <v>3479.9388612915554</v>
      </c>
      <c r="Z146" s="8">
        <v>3470.4119850187267</v>
      </c>
      <c r="AA146" s="8">
        <v>3496.1467889908254</v>
      </c>
      <c r="AB146" s="8">
        <v>3646.8896080546565</v>
      </c>
      <c r="AC146" s="8">
        <v>3837.504406062742</v>
      </c>
      <c r="AD146" s="8">
        <v>3910.4735568613896</v>
      </c>
      <c r="AE146" s="8">
        <v>3939.3220338983047</v>
      </c>
      <c r="AF146" s="8">
        <v>3887.8908848968731</v>
      </c>
      <c r="AG146" s="8">
        <v>3900.750897812602</v>
      </c>
      <c r="AH146" s="8">
        <v>3991.6639948701504</v>
      </c>
      <c r="AI146" s="8">
        <v>4216.3779527559054</v>
      </c>
      <c r="AJ146" s="8">
        <v>4439.6658415841584</v>
      </c>
      <c r="AK146" s="8">
        <v>4736.3138686131388</v>
      </c>
      <c r="AL146" s="8">
        <v>5199.3415145166118</v>
      </c>
      <c r="AM146" s="8">
        <v>5586.1561119293074</v>
      </c>
    </row>
    <row r="147" spans="1:39">
      <c r="A147" s="19" t="s">
        <v>140</v>
      </c>
      <c r="B147" s="8">
        <v>844.55527847049041</v>
      </c>
      <c r="C147" s="8">
        <v>878.19732034104743</v>
      </c>
      <c r="D147" s="8">
        <v>919.11181601903263</v>
      </c>
      <c r="E147" s="8">
        <v>969.84924623115569</v>
      </c>
      <c r="F147" s="8">
        <v>1003.3847311019181</v>
      </c>
      <c r="G147" s="8">
        <v>1041.9708029197079</v>
      </c>
      <c r="H147" s="8">
        <v>1119.87270155587</v>
      </c>
      <c r="I147" s="8">
        <v>1207.0499657768651</v>
      </c>
      <c r="J147" s="8">
        <v>1301.192842942346</v>
      </c>
      <c r="K147" s="8">
        <v>1447.9768786127167</v>
      </c>
      <c r="L147" s="8">
        <v>1525.0856964786537</v>
      </c>
      <c r="M147" s="8">
        <v>1426.1501210653753</v>
      </c>
      <c r="N147" s="8">
        <v>1344.1176470588236</v>
      </c>
      <c r="O147" s="8">
        <v>1345.3299057412169</v>
      </c>
      <c r="P147" s="8">
        <v>1357.1626489332225</v>
      </c>
      <c r="Q147" s="8">
        <v>1315.6056943325275</v>
      </c>
      <c r="R147" s="8">
        <v>1329.3444328824141</v>
      </c>
      <c r="S147" s="8">
        <v>1369.3625598387503</v>
      </c>
      <c r="T147" s="8">
        <v>1404.4943820224719</v>
      </c>
      <c r="U147" s="8">
        <v>1405.0722920123251</v>
      </c>
      <c r="V147" s="8">
        <v>1399.2167703294172</v>
      </c>
      <c r="W147" s="8">
        <v>1407.5733811337666</v>
      </c>
      <c r="X147" s="8">
        <v>1425.9501965923982</v>
      </c>
      <c r="Y147" s="8">
        <v>1444.0179142674344</v>
      </c>
      <c r="Z147" s="8">
        <v>1487.8099604084182</v>
      </c>
      <c r="AA147" s="8">
        <v>1460.3788959054798</v>
      </c>
      <c r="AB147" s="8">
        <v>1471.3033080908729</v>
      </c>
      <c r="AC147" s="8">
        <v>1448.4103764384631</v>
      </c>
      <c r="AD147" s="8">
        <v>1396.9830055375214</v>
      </c>
      <c r="AE147" s="8">
        <v>1322.6711560044894</v>
      </c>
      <c r="AF147" s="8">
        <v>1322.7639296187683</v>
      </c>
      <c r="AG147" s="8">
        <v>1295.8505478713848</v>
      </c>
      <c r="AH147" s="8">
        <v>1319.534965650872</v>
      </c>
      <c r="AI147" s="8">
        <v>1347.6157567380787</v>
      </c>
      <c r="AJ147" s="8">
        <v>1360.4000678081031</v>
      </c>
      <c r="AK147" s="8">
        <v>1391.622340425532</v>
      </c>
      <c r="AL147" s="8">
        <v>1460.4575163398692</v>
      </c>
      <c r="AM147" s="8">
        <v>1518.2270756383491</v>
      </c>
    </row>
    <row r="148" spans="1:39">
      <c r="A148" s="19" t="s">
        <v>141</v>
      </c>
      <c r="B148" s="8">
        <v>2101.4813177094848</v>
      </c>
      <c r="C148" s="8">
        <v>2102.1212555539628</v>
      </c>
      <c r="D148" s="8">
        <v>2154.307220518539</v>
      </c>
      <c r="E148" s="8">
        <v>2289.1811279826461</v>
      </c>
      <c r="F148" s="8">
        <v>2302.6905829596412</v>
      </c>
      <c r="G148" s="8">
        <v>2284.2935968176566</v>
      </c>
      <c r="H148" s="8">
        <v>2231.893106893107</v>
      </c>
      <c r="I148" s="8">
        <v>2179.0164731627256</v>
      </c>
      <c r="J148" s="8">
        <v>2245.4114860864415</v>
      </c>
      <c r="K148" s="8">
        <v>2256.0018467220684</v>
      </c>
      <c r="L148" s="8">
        <v>2358.3811775301137</v>
      </c>
      <c r="M148" s="8">
        <v>2287.9745096962042</v>
      </c>
      <c r="N148" s="8">
        <v>1970.6024354916583</v>
      </c>
      <c r="O148" s="8">
        <v>2025.2607305696768</v>
      </c>
      <c r="P148" s="8">
        <v>2034.6222791293214</v>
      </c>
      <c r="Q148" s="8">
        <v>2187.7440672874736</v>
      </c>
      <c r="R148" s="8">
        <v>2310.4866346812887</v>
      </c>
      <c r="S148" s="8">
        <v>2063.799214484146</v>
      </c>
      <c r="T148" s="8">
        <v>1783.8154625158236</v>
      </c>
      <c r="U148" s="8">
        <v>1657.3291697281411</v>
      </c>
      <c r="V148" s="8">
        <v>1659.5553155099469</v>
      </c>
      <c r="W148" s="8">
        <v>1620.569410726109</v>
      </c>
      <c r="X148" s="8">
        <v>1666.0025122363236</v>
      </c>
      <c r="Y148" s="8">
        <v>1845.2608751116213</v>
      </c>
      <c r="Z148" s="8">
        <v>1968.4667752579041</v>
      </c>
      <c r="AA148" s="8">
        <v>1982.8866910165386</v>
      </c>
      <c r="AB148" s="8">
        <v>2083.1080808488323</v>
      </c>
      <c r="AC148" s="8">
        <v>2035.3146575668595</v>
      </c>
      <c r="AD148" s="8">
        <v>2021.3605123398938</v>
      </c>
      <c r="AE148" s="8">
        <v>2049.3001076757423</v>
      </c>
      <c r="AF148" s="8">
        <v>2023.6832133383857</v>
      </c>
      <c r="AG148" s="8">
        <v>2095.4978516719598</v>
      </c>
      <c r="AH148" s="8">
        <v>2150.5657734694628</v>
      </c>
      <c r="AI148" s="8">
        <v>2228.362498635719</v>
      </c>
      <c r="AJ148" s="8">
        <v>2350.6610145135801</v>
      </c>
      <c r="AK148" s="8">
        <v>2502.0584894946055</v>
      </c>
      <c r="AL148" s="8">
        <v>2691.9110425143822</v>
      </c>
      <c r="AM148" s="8">
        <v>2923.0155702743004</v>
      </c>
    </row>
    <row r="149" spans="1:39">
      <c r="A149" s="19" t="s">
        <v>142</v>
      </c>
      <c r="B149" s="8">
        <v>4614.6788990825689</v>
      </c>
      <c r="C149" s="8">
        <v>4841.2537917087966</v>
      </c>
      <c r="D149" s="8">
        <v>4887.5502008032126</v>
      </c>
      <c r="E149" s="8">
        <v>5037.8863409770693</v>
      </c>
      <c r="F149" s="8">
        <v>5067.193675889328</v>
      </c>
      <c r="G149" s="8">
        <v>5333.3333333333339</v>
      </c>
      <c r="H149" s="8">
        <v>5752.6570048309186</v>
      </c>
      <c r="I149" s="8">
        <v>6244.0419447092472</v>
      </c>
      <c r="J149" s="8">
        <v>6377.8195488721803</v>
      </c>
      <c r="K149" s="8">
        <v>6923.2902033271712</v>
      </c>
      <c r="L149" s="8">
        <v>7115.3496821071758</v>
      </c>
      <c r="M149" s="8">
        <v>7263.8146167557925</v>
      </c>
      <c r="N149" s="8">
        <v>6474.1907261592296</v>
      </c>
      <c r="O149" s="8">
        <v>5996.5606190885637</v>
      </c>
      <c r="P149" s="8">
        <v>5671.7557251908393</v>
      </c>
      <c r="Q149" s="8">
        <v>5426.1744966442957</v>
      </c>
      <c r="R149" s="8">
        <v>5139.0507910074939</v>
      </c>
      <c r="S149" s="8">
        <v>4905.7071960297762</v>
      </c>
      <c r="T149" s="8">
        <v>4837.1710526315792</v>
      </c>
      <c r="U149" s="8">
        <v>4877.4509803921574</v>
      </c>
      <c r="V149" s="8">
        <v>4971.6139497161394</v>
      </c>
      <c r="W149" s="8">
        <v>4854.2673107890496</v>
      </c>
      <c r="X149" s="8">
        <v>4746.0063897763575</v>
      </c>
      <c r="Y149" s="8">
        <v>4876.3866877971477</v>
      </c>
      <c r="Z149" s="8">
        <v>5037.0078740157478</v>
      </c>
      <c r="AA149" s="8">
        <v>5207.5176194205169</v>
      </c>
      <c r="AB149" s="8">
        <v>5318.5358255451711</v>
      </c>
      <c r="AC149" s="8">
        <v>5705.426356589147</v>
      </c>
      <c r="AD149" s="8">
        <v>5932.8185328185327</v>
      </c>
      <c r="AE149" s="8">
        <v>6267.4865488086089</v>
      </c>
      <c r="AF149" s="8">
        <v>6504.2145593869736</v>
      </c>
      <c r="AG149" s="8">
        <v>6998.4732824427474</v>
      </c>
      <c r="AH149" s="8">
        <v>7979.4676806083653</v>
      </c>
      <c r="AI149" s="8">
        <v>8576.1940864291137</v>
      </c>
      <c r="AJ149" s="8">
        <v>9064.9546827794566</v>
      </c>
      <c r="AK149" s="8">
        <v>10140.060240963854</v>
      </c>
      <c r="AL149" s="8">
        <v>10657.914478619656</v>
      </c>
      <c r="AM149" s="8">
        <v>10979.073243647234</v>
      </c>
    </row>
    <row r="150" spans="1:39">
      <c r="A150" s="19" t="s">
        <v>143</v>
      </c>
      <c r="B150" s="8">
        <v>4471.0685126020589</v>
      </c>
      <c r="C150" s="8">
        <v>4407.4468085106382</v>
      </c>
      <c r="D150" s="8">
        <v>4417.9369018078696</v>
      </c>
      <c r="E150" s="8">
        <v>4542.6850867871062</v>
      </c>
      <c r="F150" s="8">
        <v>4809.1198303287374</v>
      </c>
      <c r="G150" s="8">
        <v>4979.2253521126759</v>
      </c>
      <c r="H150" s="8">
        <v>5025.2189141856388</v>
      </c>
      <c r="I150" s="8">
        <v>5260.2644398051498</v>
      </c>
      <c r="J150" s="8">
        <v>5547.6848652384242</v>
      </c>
      <c r="K150" s="8">
        <v>5831.503088538092</v>
      </c>
      <c r="L150" s="8">
        <v>5884.0777361063765</v>
      </c>
      <c r="M150" s="8">
        <v>5275.7452574525742</v>
      </c>
      <c r="N150" s="8">
        <v>4703.4668461797373</v>
      </c>
      <c r="O150" s="8">
        <v>4620.0668896321067</v>
      </c>
      <c r="P150" s="8">
        <v>4658.3582585576605</v>
      </c>
      <c r="Q150" s="8">
        <v>5036.9881109643329</v>
      </c>
      <c r="R150" s="8">
        <v>5405.6448966196258</v>
      </c>
      <c r="S150" s="8">
        <v>5451.7286366601438</v>
      </c>
      <c r="T150" s="8">
        <v>5477.7957860615888</v>
      </c>
      <c r="U150" s="8">
        <v>5456.8576947842885</v>
      </c>
      <c r="V150" s="8">
        <v>5612.088263511353</v>
      </c>
      <c r="W150" s="8">
        <v>6014.9253731343288</v>
      </c>
      <c r="X150" s="8">
        <v>6132.1349731945766</v>
      </c>
      <c r="Y150" s="8">
        <v>6528.9514866979662</v>
      </c>
      <c r="Z150" s="8">
        <v>6388.4400248601614</v>
      </c>
      <c r="AA150" s="8">
        <v>6707.354758961681</v>
      </c>
      <c r="AB150" s="8">
        <v>7002.7641277641278</v>
      </c>
      <c r="AC150" s="8">
        <v>7280.0855222968848</v>
      </c>
      <c r="AD150" s="8">
        <v>7040.7418668288228</v>
      </c>
      <c r="AE150" s="8">
        <v>6913.9654650106022</v>
      </c>
      <c r="AF150" s="8">
        <v>6665.9613059250305</v>
      </c>
      <c r="AG150" s="8">
        <v>5928.6793593230577</v>
      </c>
      <c r="AH150" s="8">
        <v>6066.8886198547216</v>
      </c>
      <c r="AI150" s="8">
        <v>6788.0072683222288</v>
      </c>
      <c r="AJ150" s="8">
        <v>7228.9776164549303</v>
      </c>
      <c r="AK150" s="8">
        <v>7546.771273385637</v>
      </c>
      <c r="AL150" s="8">
        <v>8094.4645006016854</v>
      </c>
      <c r="AM150" s="8">
        <v>8788.2423515296941</v>
      </c>
    </row>
    <row r="151" spans="1:39">
      <c r="A151" s="21" t="s">
        <v>144</v>
      </c>
      <c r="B151" s="8">
        <v>6160.4292542158892</v>
      </c>
      <c r="C151" s="8">
        <v>6030.0679797803732</v>
      </c>
      <c r="D151" s="8">
        <v>6239.7069967163425</v>
      </c>
      <c r="E151" s="8">
        <v>6151.2564040009756</v>
      </c>
      <c r="F151" s="8">
        <v>6112.219255536359</v>
      </c>
      <c r="G151" s="8">
        <v>6356.937073540561</v>
      </c>
      <c r="H151" s="8">
        <v>6521.7009441557493</v>
      </c>
      <c r="I151" s="8">
        <v>6447.295864262991</v>
      </c>
      <c r="J151" s="8">
        <v>6284.2098064692609</v>
      </c>
      <c r="K151" s="8">
        <v>5820.0914452322577</v>
      </c>
      <c r="L151" s="8">
        <v>5620.552344251766</v>
      </c>
      <c r="M151" s="8">
        <v>5340.2293120638087</v>
      </c>
      <c r="N151" s="8">
        <v>4991.7685510228794</v>
      </c>
      <c r="O151" s="8">
        <v>4923.3802153828055</v>
      </c>
      <c r="P151" s="8">
        <v>4800.9736540664371</v>
      </c>
      <c r="Q151" s="8">
        <v>4981.420521118117</v>
      </c>
      <c r="R151" s="8">
        <v>5031.0085953650305</v>
      </c>
      <c r="S151" s="8">
        <v>5194.7024789001543</v>
      </c>
      <c r="T151" s="8">
        <v>4637.3153666753042</v>
      </c>
      <c r="U151" s="8">
        <v>4823.493670886076</v>
      </c>
      <c r="V151" s="8">
        <v>5175.6696539089962</v>
      </c>
      <c r="W151" s="8">
        <v>5366.5714700614744</v>
      </c>
      <c r="X151" s="8">
        <v>5263.623881445008</v>
      </c>
      <c r="Y151" s="8">
        <v>5029.9309641847758</v>
      </c>
      <c r="Z151" s="8">
        <v>5119.5844485777798</v>
      </c>
      <c r="AA151" s="8">
        <v>5005.2439783130394</v>
      </c>
      <c r="AB151" s="8">
        <v>5218.1715231499629</v>
      </c>
      <c r="AC151" s="8">
        <v>5132.0206722760859</v>
      </c>
      <c r="AD151" s="8">
        <v>4733.8165668077263</v>
      </c>
      <c r="AE151" s="8">
        <v>4818.7240343877256</v>
      </c>
      <c r="AF151" s="8">
        <v>4890.9347869977792</v>
      </c>
      <c r="AG151" s="8">
        <v>4377.3988897700237</v>
      </c>
      <c r="AH151" s="8">
        <v>3966.503077042923</v>
      </c>
      <c r="AI151" s="8">
        <v>4610.4795805105832</v>
      </c>
      <c r="AJ151" s="8">
        <v>5000.0752530383415</v>
      </c>
      <c r="AK151" s="8">
        <v>5424.7715585808892</v>
      </c>
      <c r="AL151" s="8">
        <v>5783.7572317432596</v>
      </c>
      <c r="AM151" s="8">
        <v>5962.7455892352282</v>
      </c>
    </row>
    <row r="152" spans="1:39">
      <c r="A152" s="19" t="s">
        <v>145</v>
      </c>
      <c r="B152" s="8">
        <v>3843.3410315627407</v>
      </c>
      <c r="C152" s="8">
        <v>3873.1856378915204</v>
      </c>
      <c r="D152" s="8">
        <v>4041.7774401823017</v>
      </c>
      <c r="E152" s="8">
        <v>3925.1700680272111</v>
      </c>
      <c r="F152" s="8">
        <v>3885.8001502629604</v>
      </c>
      <c r="G152" s="8">
        <v>4009.324878776576</v>
      </c>
      <c r="H152" s="8">
        <v>4243.8934122871951</v>
      </c>
      <c r="I152" s="8">
        <v>4487.7064220183483</v>
      </c>
      <c r="J152" s="8">
        <v>4823.1441048034931</v>
      </c>
      <c r="K152" s="8">
        <v>4998.5569985569991</v>
      </c>
      <c r="L152" s="8">
        <v>4847.9971387696714</v>
      </c>
      <c r="M152" s="8">
        <v>4835.0478893224545</v>
      </c>
      <c r="N152" s="8">
        <v>4868.4025334271637</v>
      </c>
      <c r="O152" s="8">
        <v>5064.2233856893536</v>
      </c>
      <c r="P152" s="8">
        <v>5129.2446292446293</v>
      </c>
      <c r="Q152" s="8">
        <v>5248.1927710843374</v>
      </c>
      <c r="R152" s="8">
        <v>5760.7655502392345</v>
      </c>
      <c r="S152" s="8">
        <v>6097.3871733966744</v>
      </c>
      <c r="T152" s="8">
        <v>6385.5989232839838</v>
      </c>
      <c r="U152" s="8">
        <v>6473.175608130623</v>
      </c>
      <c r="V152" s="8">
        <v>6174.6868820039554</v>
      </c>
      <c r="W152" s="8">
        <v>6231.8226279752198</v>
      </c>
      <c r="X152" s="8">
        <v>6289.9903443836492</v>
      </c>
      <c r="Y152" s="8">
        <v>6482.0463933905312</v>
      </c>
      <c r="Z152" s="8">
        <v>6521.3702074167195</v>
      </c>
      <c r="AA152" s="8">
        <v>6671.3352007469657</v>
      </c>
      <c r="AB152" s="8">
        <v>6975.6548536209548</v>
      </c>
      <c r="AC152" s="8">
        <v>7195.1145038167942</v>
      </c>
      <c r="AD152" s="8">
        <v>7272.9198184568831</v>
      </c>
      <c r="AE152" s="8">
        <v>7426.6467065868264</v>
      </c>
      <c r="AF152" s="8">
        <v>7387.1445497630339</v>
      </c>
      <c r="AG152" s="8">
        <v>7414.4196951934355</v>
      </c>
      <c r="AH152" s="8">
        <v>7403.4936998854528</v>
      </c>
      <c r="AI152" s="8">
        <v>7553.601815087919</v>
      </c>
      <c r="AJ152" s="8">
        <v>7712.1636771300446</v>
      </c>
      <c r="AK152" s="8">
        <v>7918.5658699277383</v>
      </c>
      <c r="AL152" s="8">
        <v>8138.674033149171</v>
      </c>
      <c r="AM152" s="8">
        <v>8228.9950576606261</v>
      </c>
    </row>
    <row r="153" spans="1:39">
      <c r="A153" s="20" t="s">
        <v>146</v>
      </c>
      <c r="B153" s="8">
        <v>2657.0495693554426</v>
      </c>
      <c r="C153" s="8">
        <v>2751.7004844427265</v>
      </c>
      <c r="D153" s="8">
        <v>2894.3921325817578</v>
      </c>
      <c r="E153" s="8">
        <v>3006.8333726507822</v>
      </c>
      <c r="F153" s="8">
        <v>3024.1316453359586</v>
      </c>
      <c r="G153" s="8">
        <v>3114.7814117222292</v>
      </c>
      <c r="H153" s="8">
        <v>3208.6572028707747</v>
      </c>
      <c r="I153" s="8">
        <v>3201.0413518142691</v>
      </c>
      <c r="J153" s="8">
        <v>3325.3447201579884</v>
      </c>
      <c r="K153" s="8">
        <v>3422.6453306146627</v>
      </c>
      <c r="L153" s="8">
        <v>3280.3551871135151</v>
      </c>
      <c r="M153" s="8">
        <v>3168.7575439776801</v>
      </c>
      <c r="N153" s="8">
        <v>3051.0667286557409</v>
      </c>
      <c r="O153" s="8">
        <v>3103.1115608398682</v>
      </c>
      <c r="P153" s="8">
        <v>3115.7925723935982</v>
      </c>
      <c r="Q153" s="8">
        <v>3262.2454837896375</v>
      </c>
      <c r="R153" s="8">
        <v>3319.2729807669389</v>
      </c>
      <c r="S153" s="8">
        <v>3270.3504602549597</v>
      </c>
      <c r="T153" s="8">
        <v>3206.2549678470896</v>
      </c>
      <c r="U153" s="8">
        <v>3103.8306650471895</v>
      </c>
      <c r="V153" s="8">
        <v>3176.1970017856402</v>
      </c>
      <c r="W153" s="8">
        <v>3231.6281803266643</v>
      </c>
      <c r="X153" s="8">
        <v>3302.5242905448786</v>
      </c>
      <c r="Y153" s="8">
        <v>3402.431163090524</v>
      </c>
      <c r="Z153" s="8">
        <v>3453.4660077813355</v>
      </c>
      <c r="AA153" s="8">
        <v>3503.1791480494603</v>
      </c>
      <c r="AB153" s="8">
        <v>3619.9494442884084</v>
      </c>
      <c r="AC153" s="8">
        <v>3619.5018953659228</v>
      </c>
      <c r="AD153" s="8">
        <v>3530.0388775624401</v>
      </c>
      <c r="AE153" s="8">
        <v>3580.4810327506052</v>
      </c>
      <c r="AF153" s="8">
        <v>3548.4937658807539</v>
      </c>
      <c r="AG153" s="8">
        <v>3469.9029397779082</v>
      </c>
      <c r="AH153" s="8">
        <v>3510.554490142244</v>
      </c>
      <c r="AI153" s="8">
        <v>3703.3210700595309</v>
      </c>
      <c r="AJ153" s="8">
        <v>3863.5241070508137</v>
      </c>
      <c r="AK153" s="8">
        <v>4050.3075308527177</v>
      </c>
      <c r="AL153" s="8">
        <v>4271.5640546923396</v>
      </c>
      <c r="AM153" s="8">
        <v>4444.0002683814218</v>
      </c>
    </row>
    <row r="154" spans="1:39">
      <c r="A154" s="19" t="s">
        <v>147</v>
      </c>
      <c r="B154" s="8">
        <v>251.07359587739185</v>
      </c>
      <c r="C154" s="8">
        <v>210.33797216699801</v>
      </c>
      <c r="D154" s="8">
        <v>211.59776267837833</v>
      </c>
      <c r="E154" s="8">
        <v>225.74398960363871</v>
      </c>
      <c r="F154" s="8">
        <v>210.76800465534035</v>
      </c>
      <c r="G154" s="8">
        <v>216.78735037682875</v>
      </c>
      <c r="H154" s="8">
        <v>216.69024384395905</v>
      </c>
      <c r="I154" s="8">
        <v>225.87271390389935</v>
      </c>
      <c r="J154" s="8">
        <v>230.46506607278801</v>
      </c>
      <c r="K154" s="8">
        <v>226.21325928957819</v>
      </c>
      <c r="L154" s="8">
        <v>228.61512612282704</v>
      </c>
      <c r="M154" s="8">
        <v>227.91009869007539</v>
      </c>
      <c r="N154" s="8">
        <v>230.9091094833839</v>
      </c>
      <c r="O154" s="8">
        <v>236.69616989078165</v>
      </c>
      <c r="P154" s="8">
        <v>238.27832959521521</v>
      </c>
      <c r="Q154" s="8">
        <v>242.40557903314448</v>
      </c>
      <c r="R154" s="8">
        <v>245.55170020818875</v>
      </c>
      <c r="S154" s="8">
        <v>245.11993345569289</v>
      </c>
      <c r="T154" s="8">
        <v>245.9291738123442</v>
      </c>
      <c r="U154" s="8">
        <v>254.87754254877541</v>
      </c>
      <c r="V154" s="8">
        <v>257.82612376195715</v>
      </c>
      <c r="W154" s="8">
        <v>265.23674894082728</v>
      </c>
      <c r="X154" s="8">
        <v>271.78637290503929</v>
      </c>
      <c r="Y154" s="8">
        <v>277.27920624935302</v>
      </c>
      <c r="Z154" s="8">
        <v>285.24585044423276</v>
      </c>
      <c r="AA154" s="8">
        <v>292.6651864328918</v>
      </c>
      <c r="AB154" s="8">
        <v>302.55054525790848</v>
      </c>
      <c r="AC154" s="8">
        <v>312.39866757067477</v>
      </c>
      <c r="AD154" s="8">
        <v>321.58281187832313</v>
      </c>
      <c r="AE154" s="8">
        <v>334.57415445381378</v>
      </c>
      <c r="AF154" s="8">
        <v>346.02097858174739</v>
      </c>
      <c r="AG154" s="8">
        <v>355.08275204565251</v>
      </c>
      <c r="AH154" s="8">
        <v>367.48470808802205</v>
      </c>
      <c r="AI154" s="8">
        <v>384.19383517110521</v>
      </c>
      <c r="AJ154" s="8">
        <v>400.70009534880677</v>
      </c>
      <c r="AK154" s="8">
        <v>420.83325292834957</v>
      </c>
      <c r="AL154" s="8">
        <v>441.37987867108711</v>
      </c>
      <c r="AM154" s="8">
        <v>462.20625000000001</v>
      </c>
    </row>
    <row r="155" spans="1:39">
      <c r="A155" s="19" t="s">
        <v>148</v>
      </c>
      <c r="B155" s="8">
        <v>21375</v>
      </c>
      <c r="C155" s="8">
        <v>22105.633802816905</v>
      </c>
      <c r="D155" s="8">
        <v>22905.405405405407</v>
      </c>
      <c r="E155" s="8">
        <v>23032.467532467534</v>
      </c>
      <c r="F155" s="8">
        <v>22111.801242236023</v>
      </c>
      <c r="G155" s="8">
        <v>25610.77844311377</v>
      </c>
      <c r="H155" s="8">
        <v>27264.367816091955</v>
      </c>
      <c r="I155" s="8">
        <v>28144.444444444445</v>
      </c>
      <c r="J155" s="8">
        <v>33203.20855614973</v>
      </c>
      <c r="K155" s="8">
        <v>29917.098445595853</v>
      </c>
      <c r="L155" s="8">
        <v>23266.331658291456</v>
      </c>
      <c r="M155" s="8">
        <v>23478.048780487807</v>
      </c>
      <c r="N155" s="8">
        <v>22924.170616113744</v>
      </c>
      <c r="O155" s="8">
        <v>22423.963133640555</v>
      </c>
      <c r="P155" s="8">
        <v>21493.273542600895</v>
      </c>
      <c r="Q155" s="8">
        <v>20362.44541484716</v>
      </c>
      <c r="R155" s="8">
        <v>20156.77966101695</v>
      </c>
      <c r="S155" s="8">
        <v>19790.123456790123</v>
      </c>
      <c r="T155" s="8">
        <v>19028</v>
      </c>
      <c r="U155" s="8">
        <v>18712.062256809339</v>
      </c>
      <c r="V155" s="8">
        <v>18791.666666666664</v>
      </c>
      <c r="W155" s="8">
        <v>19106.617647058822</v>
      </c>
      <c r="X155" s="8">
        <v>18614.285714285714</v>
      </c>
      <c r="Y155" s="8">
        <v>18731.707317073171</v>
      </c>
      <c r="Z155" s="8">
        <v>19040.677966101695</v>
      </c>
      <c r="AA155" s="8">
        <v>19072.607260726072</v>
      </c>
      <c r="AB155" s="8">
        <v>18367.741935483871</v>
      </c>
      <c r="AC155" s="8">
        <v>17805.031446540881</v>
      </c>
      <c r="AD155" s="8">
        <v>17898.773006134968</v>
      </c>
      <c r="AE155" s="8">
        <v>18021.021021021021</v>
      </c>
      <c r="AF155" s="8">
        <v>18082.111436950145</v>
      </c>
      <c r="AG155" s="8">
        <v>18352.435530085961</v>
      </c>
      <c r="AH155" s="8">
        <v>18410.614525139667</v>
      </c>
      <c r="AI155" s="8">
        <v>18098.360655737706</v>
      </c>
      <c r="AJ155" s="8">
        <v>17778.074866310162</v>
      </c>
      <c r="AK155" s="8">
        <v>18172.774869109948</v>
      </c>
      <c r="AL155" s="8">
        <v>17956.298200514138</v>
      </c>
      <c r="AM155" s="8">
        <v>17329.974811083124</v>
      </c>
    </row>
    <row r="156" spans="1:39">
      <c r="A156" s="19" t="s">
        <v>149</v>
      </c>
      <c r="B156" s="8" t="e">
        <v>#VALUE!</v>
      </c>
      <c r="C156" s="8" t="e">
        <v>#VALUE!</v>
      </c>
      <c r="D156" s="8" t="e">
        <v>#VALUE!</v>
      </c>
      <c r="E156" s="8" t="e">
        <v>#VALUE!</v>
      </c>
      <c r="F156" s="8" t="e">
        <v>#VALUE!</v>
      </c>
      <c r="G156" s="8" t="e">
        <v>#VALUE!</v>
      </c>
      <c r="H156" s="8" t="e">
        <v>#VALUE!</v>
      </c>
      <c r="I156" s="8" t="e">
        <v>#VALUE!</v>
      </c>
      <c r="J156" s="8" t="e">
        <v>#VALUE!</v>
      </c>
      <c r="K156" s="8" t="e">
        <v>#VALUE!</v>
      </c>
      <c r="L156" s="8" t="e">
        <v>#VALUE!</v>
      </c>
      <c r="M156" s="8" t="e">
        <v>#VALUE!</v>
      </c>
      <c r="N156" s="8" t="e">
        <v>#VALUE!</v>
      </c>
      <c r="O156" s="8" t="e">
        <v>#VALUE!</v>
      </c>
      <c r="P156" s="8" t="e">
        <v>#VALUE!</v>
      </c>
      <c r="Q156" s="8" t="e">
        <v>#VALUE!</v>
      </c>
      <c r="R156" s="8" t="e">
        <v>#VALUE!</v>
      </c>
      <c r="S156" s="8" t="e">
        <v>#VALUE!</v>
      </c>
      <c r="T156" s="8" t="e">
        <v>#VALUE!</v>
      </c>
      <c r="U156" s="8" t="e">
        <v>#VALUE!</v>
      </c>
      <c r="V156" s="8" t="e">
        <v>#VALUE!</v>
      </c>
      <c r="W156" s="8" t="e">
        <v>#VALUE!</v>
      </c>
      <c r="X156" s="8" t="e">
        <v>#VALUE!</v>
      </c>
      <c r="Y156" s="8" t="e">
        <v>#VALUE!</v>
      </c>
      <c r="Z156" s="8">
        <v>230.97849934181659</v>
      </c>
      <c r="AA156" s="8">
        <v>237.17948717948718</v>
      </c>
      <c r="AB156" s="8">
        <v>244.47410125948784</v>
      </c>
      <c r="AC156" s="8">
        <v>250.89693411611222</v>
      </c>
      <c r="AD156" s="8">
        <v>274.94810793549419</v>
      </c>
      <c r="AE156" s="8">
        <v>293.11424100156495</v>
      </c>
      <c r="AF156" s="8">
        <v>310.73402948402946</v>
      </c>
      <c r="AG156" s="8">
        <v>325.59016517082733</v>
      </c>
      <c r="AH156" s="8">
        <v>347.32003854992956</v>
      </c>
      <c r="AI156" s="8">
        <v>376.7492711370262</v>
      </c>
      <c r="AJ156" s="8">
        <v>419.46116365720837</v>
      </c>
      <c r="AK156" s="8">
        <v>456.78664506585903</v>
      </c>
      <c r="AL156" s="8">
        <v>494.66980479025335</v>
      </c>
      <c r="AM156" s="8">
        <v>511.63265306122452</v>
      </c>
    </row>
    <row r="157" spans="1:39">
      <c r="A157" s="19" t="s">
        <v>150</v>
      </c>
      <c r="B157" s="8">
        <v>2350.583188094919</v>
      </c>
      <c r="C157" s="8">
        <v>2609.352423486142</v>
      </c>
      <c r="D157" s="8">
        <v>2888.5095968053588</v>
      </c>
      <c r="E157" s="8">
        <v>2873.2305358948433</v>
      </c>
      <c r="F157" s="8">
        <v>2959.4343133606253</v>
      </c>
      <c r="G157" s="8">
        <v>3305.2887537993925</v>
      </c>
      <c r="H157" s="8">
        <v>3573.011617515639</v>
      </c>
      <c r="I157" s="8">
        <v>3983.8125292192617</v>
      </c>
      <c r="J157" s="8">
        <v>4236.3896848137538</v>
      </c>
      <c r="K157" s="8">
        <v>4446.7727476467953</v>
      </c>
      <c r="L157" s="8">
        <v>4638.7192606040599</v>
      </c>
      <c r="M157" s="8">
        <v>4715.6369925949948</v>
      </c>
      <c r="N157" s="8">
        <v>5025.9533053236182</v>
      </c>
      <c r="O157" s="8">
        <v>5482.5761148666361</v>
      </c>
      <c r="P157" s="8">
        <v>5682.1637275689091</v>
      </c>
      <c r="Q157" s="8">
        <v>6264.1133156064634</v>
      </c>
      <c r="R157" s="8">
        <v>6984.9681141815972</v>
      </c>
      <c r="S157" s="8">
        <v>7464.20704845815</v>
      </c>
      <c r="T157" s="8">
        <v>8002.0288994457651</v>
      </c>
      <c r="U157" s="8">
        <v>8428.9377650655897</v>
      </c>
      <c r="V157" s="8">
        <v>8973.160257661526</v>
      </c>
      <c r="W157" s="8">
        <v>9586.310243147871</v>
      </c>
      <c r="X157" s="8">
        <v>10150.148424782152</v>
      </c>
      <c r="Y157" s="8">
        <v>10793.248945147679</v>
      </c>
      <c r="Z157" s="8">
        <v>11387.364960075152</v>
      </c>
      <c r="AA157" s="8">
        <v>12010.019573119584</v>
      </c>
      <c r="AB157" s="8">
        <v>12694.39438051666</v>
      </c>
      <c r="AC157" s="8">
        <v>13153.476229733444</v>
      </c>
      <c r="AD157" s="8">
        <v>13799.800072700837</v>
      </c>
      <c r="AE157" s="8">
        <v>14480.908804039129</v>
      </c>
      <c r="AF157" s="8">
        <v>14069.618553008597</v>
      </c>
      <c r="AG157" s="8">
        <v>14647.053583359315</v>
      </c>
      <c r="AH157" s="8">
        <v>15097.813068358249</v>
      </c>
      <c r="AI157" s="8">
        <v>15970.382813190699</v>
      </c>
      <c r="AJ157" s="8">
        <v>16562.53028500947</v>
      </c>
      <c r="AK157" s="8">
        <v>17276.007374242825</v>
      </c>
      <c r="AL157" s="8">
        <v>18198.565116584276</v>
      </c>
      <c r="AM157" s="8">
        <v>18171.633000305399</v>
      </c>
    </row>
    <row r="158" spans="1:39">
      <c r="A158" s="19" t="s">
        <v>151</v>
      </c>
      <c r="B158" s="8">
        <v>212.58219280772772</v>
      </c>
      <c r="C158" s="8">
        <v>206.67038891699963</v>
      </c>
      <c r="D158" s="8">
        <v>208.76121592576166</v>
      </c>
      <c r="E158" s="8">
        <v>206.50620452502571</v>
      </c>
      <c r="F158" s="8">
        <v>220.31953235668564</v>
      </c>
      <c r="G158" s="8">
        <v>218.91012567874171</v>
      </c>
      <c r="H158" s="8">
        <v>229.49727004020968</v>
      </c>
      <c r="I158" s="8">
        <v>237.13088389977182</v>
      </c>
      <c r="J158" s="8">
        <v>219.66724254152774</v>
      </c>
      <c r="K158" s="8">
        <v>229.25893163711277</v>
      </c>
      <c r="L158" s="8">
        <v>237.65652989879356</v>
      </c>
      <c r="M158" s="8">
        <v>240.55226286353778</v>
      </c>
      <c r="N158" s="8">
        <v>252.6087359278109</v>
      </c>
      <c r="O158" s="8">
        <v>256.8079319493595</v>
      </c>
      <c r="P158" s="8">
        <v>264.78572091375906</v>
      </c>
      <c r="Q158" s="8">
        <v>271.46936984983876</v>
      </c>
      <c r="R158" s="8">
        <v>276.2808634246507</v>
      </c>
      <c r="S158" s="8">
        <v>296.62698169423362</v>
      </c>
      <c r="T158" s="8">
        <v>307.88255148432194</v>
      </c>
      <c r="U158" s="8">
        <v>318.41109338858053</v>
      </c>
      <c r="V158" s="8">
        <v>315.47897937751725</v>
      </c>
      <c r="W158" s="8">
        <v>326.62680203574678</v>
      </c>
      <c r="X158" s="8">
        <v>335.91822347550232</v>
      </c>
      <c r="Y158" s="8">
        <v>351.86639248572396</v>
      </c>
      <c r="Z158" s="8">
        <v>371.80694715612867</v>
      </c>
      <c r="AA158" s="8">
        <v>392.91748484072349</v>
      </c>
      <c r="AB158" s="8">
        <v>401.78967255973515</v>
      </c>
      <c r="AC158" s="8">
        <v>419.39579426216324</v>
      </c>
      <c r="AD158" s="8">
        <v>442.78870408481947</v>
      </c>
      <c r="AE158" s="8">
        <v>452.96936874152863</v>
      </c>
      <c r="AF158" s="8">
        <v>468.96044739184464</v>
      </c>
      <c r="AG158" s="8">
        <v>479.1229791701831</v>
      </c>
      <c r="AH158" s="8">
        <v>511.54313373086603</v>
      </c>
      <c r="AI158" s="8">
        <v>546.02902045991516</v>
      </c>
      <c r="AJ158" s="8">
        <v>588.98776977168473</v>
      </c>
      <c r="AK158" s="8">
        <v>637.07604267753698</v>
      </c>
      <c r="AL158" s="8">
        <v>685.54668572805338</v>
      </c>
      <c r="AM158" s="8">
        <v>724.38539779730081</v>
      </c>
    </row>
    <row r="159" spans="1:39">
      <c r="A159" s="19" t="s">
        <v>152</v>
      </c>
      <c r="B159" s="8">
        <v>245.13867546038261</v>
      </c>
      <c r="C159" s="8">
        <v>258.09014267185472</v>
      </c>
      <c r="D159" s="8">
        <v>276.48920180365479</v>
      </c>
      <c r="E159" s="8">
        <v>292.17986239275979</v>
      </c>
      <c r="F159" s="8">
        <v>303.01156204511688</v>
      </c>
      <c r="G159" s="8">
        <v>313.32641663539437</v>
      </c>
      <c r="H159" s="8">
        <v>332.57606257548741</v>
      </c>
      <c r="I159" s="8">
        <v>355.25020393237884</v>
      </c>
      <c r="J159" s="8">
        <v>372.43738899368037</v>
      </c>
      <c r="K159" s="8">
        <v>396.62717544486628</v>
      </c>
      <c r="L159" s="8">
        <v>420.43554409966623</v>
      </c>
      <c r="M159" s="8">
        <v>416.97948069629479</v>
      </c>
      <c r="N159" s="8">
        <v>443.83005529502344</v>
      </c>
      <c r="O159" s="8">
        <v>466.99359675152277</v>
      </c>
      <c r="P159" s="8">
        <v>474.45349493363426</v>
      </c>
      <c r="Q159" s="8">
        <v>493.73249405174238</v>
      </c>
      <c r="R159" s="8">
        <v>510.75211550979344</v>
      </c>
      <c r="S159" s="8">
        <v>533.72210658511347</v>
      </c>
      <c r="T159" s="8">
        <v>572.00550658905649</v>
      </c>
      <c r="U159" s="8">
        <v>612.40966829749993</v>
      </c>
      <c r="V159" s="8">
        <v>655.71917052724473</v>
      </c>
      <c r="W159" s="8">
        <v>691.61575937761086</v>
      </c>
      <c r="X159" s="8">
        <v>730.25978465219623</v>
      </c>
      <c r="Y159" s="8">
        <v>773.70384597170107</v>
      </c>
      <c r="Z159" s="8">
        <v>826.88975356679634</v>
      </c>
      <c r="AA159" s="8">
        <v>877.75827931463186</v>
      </c>
      <c r="AB159" s="8">
        <v>906.46084284149913</v>
      </c>
      <c r="AC159" s="8">
        <v>776.8722587582829</v>
      </c>
      <c r="AD159" s="8">
        <v>772.63125835101778</v>
      </c>
      <c r="AE159" s="8">
        <v>800.04363319031347</v>
      </c>
      <c r="AF159" s="8">
        <v>818.28968394461606</v>
      </c>
      <c r="AG159" s="8">
        <v>843.78968638022445</v>
      </c>
      <c r="AH159" s="8">
        <v>872.35995043647574</v>
      </c>
      <c r="AI159" s="8">
        <v>903.9832342924899</v>
      </c>
      <c r="AJ159" s="8">
        <v>942.57292866275543</v>
      </c>
      <c r="AK159" s="8">
        <v>983.34842765039764</v>
      </c>
      <c r="AL159" s="8">
        <v>1033.0940034569871</v>
      </c>
      <c r="AM159" s="8">
        <v>1083.1548002400887</v>
      </c>
    </row>
    <row r="160" spans="1:39">
      <c r="A160" s="19" t="s">
        <v>153</v>
      </c>
      <c r="B160" s="8">
        <v>206.31018233968447</v>
      </c>
      <c r="C160" s="8">
        <v>228.0678417026937</v>
      </c>
      <c r="D160" s="8">
        <v>248.97800272532606</v>
      </c>
      <c r="E160" s="8">
        <v>269.41624365482232</v>
      </c>
      <c r="F160" s="8">
        <v>294.67396714783473</v>
      </c>
      <c r="G160" s="8">
        <v>324.76592619790711</v>
      </c>
      <c r="H160" s="8">
        <v>359.62107041573643</v>
      </c>
      <c r="I160" s="8">
        <v>398.89180171591994</v>
      </c>
      <c r="J160" s="8">
        <v>437.05882352941177</v>
      </c>
      <c r="K160" s="8">
        <v>473.63536167991174</v>
      </c>
      <c r="L160" s="8">
        <v>512.96550148503547</v>
      </c>
      <c r="M160" s="8">
        <v>554.93764745534213</v>
      </c>
      <c r="N160" s="8">
        <v>599.58036552371482</v>
      </c>
      <c r="O160" s="8">
        <v>647.08756310732315</v>
      </c>
      <c r="P160" s="8">
        <v>697.77255488488868</v>
      </c>
      <c r="Q160" s="8">
        <v>713.0155723905724</v>
      </c>
      <c r="R160" s="8">
        <v>749.26116036708663</v>
      </c>
      <c r="S160" s="8">
        <v>780.3618891842159</v>
      </c>
      <c r="T160" s="8">
        <v>814.53116340000997</v>
      </c>
      <c r="U160" s="8">
        <v>772.82430621059427</v>
      </c>
      <c r="V160" s="8">
        <v>721.52146279456338</v>
      </c>
      <c r="W160" s="8">
        <v>656.39741985173771</v>
      </c>
      <c r="X160" s="8">
        <v>618.57136085699381</v>
      </c>
      <c r="Y160" s="8">
        <v>598.44027271878201</v>
      </c>
      <c r="Z160" s="8">
        <v>563.02095325811649</v>
      </c>
      <c r="AA160" s="8">
        <v>535.13636363636363</v>
      </c>
      <c r="AB160" s="8">
        <v>492.74776595266968</v>
      </c>
      <c r="AC160" s="8">
        <v>481.92557065458743</v>
      </c>
      <c r="AD160" s="8">
        <v>477.11584963728291</v>
      </c>
      <c r="AE160" s="8">
        <v>472.93645951364067</v>
      </c>
      <c r="AF160" s="8">
        <v>455.28068506184587</v>
      </c>
      <c r="AG160" s="8">
        <v>460.4675146098316</v>
      </c>
      <c r="AH160" s="8">
        <v>466.17665911713175</v>
      </c>
      <c r="AI160" s="8">
        <v>472.27183805392531</v>
      </c>
      <c r="AJ160" s="8">
        <v>478.70088075880761</v>
      </c>
      <c r="AK160" s="8">
        <v>485.44795005905183</v>
      </c>
      <c r="AL160" s="8">
        <v>478.5771349283101</v>
      </c>
      <c r="AM160" s="8">
        <v>486.88071087266326</v>
      </c>
    </row>
    <row r="161" spans="1:39">
      <c r="A161" s="19" t="s">
        <v>154</v>
      </c>
      <c r="B161" s="8">
        <v>1181.1646297627606</v>
      </c>
      <c r="C161" s="8">
        <v>1260.3664416586307</v>
      </c>
      <c r="D161" s="8">
        <v>1373.9093242087254</v>
      </c>
      <c r="E161" s="8">
        <v>1452.9357721540132</v>
      </c>
      <c r="F161" s="8">
        <v>1430.4943710230054</v>
      </c>
      <c r="G161" s="8">
        <v>1559.5503826530612</v>
      </c>
      <c r="H161" s="8">
        <v>1642.7179926751344</v>
      </c>
      <c r="I161" s="8">
        <v>1712.4685810038845</v>
      </c>
      <c r="J161" s="8">
        <v>1829.5133204345884</v>
      </c>
      <c r="K161" s="8">
        <v>1919.2763205696433</v>
      </c>
      <c r="L161" s="8">
        <v>2002.6229973061108</v>
      </c>
      <c r="M161" s="8">
        <v>2068.6389714522707</v>
      </c>
      <c r="N161" s="8">
        <v>2141.6447767225704</v>
      </c>
      <c r="O161" s="8">
        <v>2246.9508196721313</v>
      </c>
      <c r="P161" s="8">
        <v>2161.1915545066022</v>
      </c>
      <c r="Q161" s="8">
        <v>2124.5428057776949</v>
      </c>
      <c r="R161" s="8">
        <v>2174.6041302908061</v>
      </c>
      <c r="S161" s="8">
        <v>2321.6979477284685</v>
      </c>
      <c r="T161" s="8">
        <v>2459.8954783003865</v>
      </c>
      <c r="U161" s="8">
        <v>2607.6340937966079</v>
      </c>
      <c r="V161" s="8">
        <v>2780.6635478840672</v>
      </c>
      <c r="W161" s="8">
        <v>2950.0183370880704</v>
      </c>
      <c r="X161" s="8">
        <v>3160.4269880994943</v>
      </c>
      <c r="Y161" s="8">
        <v>3365.6058568653816</v>
      </c>
      <c r="Z161" s="8">
        <v>3604.0108769544527</v>
      </c>
      <c r="AA161" s="8">
        <v>3864.852071005917</v>
      </c>
      <c r="AB161" s="8">
        <v>4043.9357577995202</v>
      </c>
      <c r="AC161" s="8">
        <v>3654.2270640136853</v>
      </c>
      <c r="AD161" s="8">
        <v>3786.7879746835447</v>
      </c>
      <c r="AE161" s="8">
        <v>4029.8186817908395</v>
      </c>
      <c r="AF161" s="8">
        <v>3965.2996845425869</v>
      </c>
      <c r="AG161" s="8">
        <v>4095.8858933135461</v>
      </c>
      <c r="AH161" s="8">
        <v>4250.6065998058875</v>
      </c>
      <c r="AI161" s="8">
        <v>4455.5198285101824</v>
      </c>
      <c r="AJ161" s="8">
        <v>4608.5837913694304</v>
      </c>
      <c r="AK161" s="8">
        <v>4788.6574251359425</v>
      </c>
      <c r="AL161" s="8">
        <v>5008.9642184557433</v>
      </c>
      <c r="AM161" s="8">
        <v>5155.3736153817663</v>
      </c>
    </row>
    <row r="162" spans="1:39">
      <c r="A162" s="19" t="s">
        <v>155</v>
      </c>
      <c r="B162" s="8" t="e">
        <v>#VALUE!</v>
      </c>
      <c r="C162" s="8" t="e">
        <v>#VALUE!</v>
      </c>
      <c r="D162" s="8" t="e">
        <v>#VALUE!</v>
      </c>
      <c r="E162" s="8" t="e">
        <v>#VALUE!</v>
      </c>
      <c r="F162" s="8" t="e">
        <v>#VALUE!</v>
      </c>
      <c r="G162" s="8" t="e">
        <v>#VALUE!</v>
      </c>
      <c r="H162" s="8" t="e">
        <v>#VALUE!</v>
      </c>
      <c r="I162" s="8" t="e">
        <v>#VALUE!</v>
      </c>
      <c r="J162" s="8" t="e">
        <v>#VALUE!</v>
      </c>
      <c r="K162" s="8" t="e">
        <v>#VALUE!</v>
      </c>
      <c r="L162" s="8" t="e">
        <v>#VALUE!</v>
      </c>
      <c r="M162" s="8" t="e">
        <v>#VALUE!</v>
      </c>
      <c r="N162" s="8" t="e">
        <v>#VALUE!</v>
      </c>
      <c r="O162" s="8" t="e">
        <v>#VALUE!</v>
      </c>
      <c r="P162" s="8">
        <v>476.68936616029333</v>
      </c>
      <c r="Q162" s="8">
        <v>509.98463901689706</v>
      </c>
      <c r="R162" s="8">
        <v>516.54964894684053</v>
      </c>
      <c r="S162" s="8">
        <v>532.9724409448819</v>
      </c>
      <c r="T162" s="8">
        <v>545.19091348477525</v>
      </c>
      <c r="U162" s="8">
        <v>521.84235517568857</v>
      </c>
      <c r="V162" s="8">
        <v>465.91970121381888</v>
      </c>
      <c r="W162" s="8">
        <v>414.79099678456589</v>
      </c>
      <c r="X162" s="8">
        <v>396.20081411126188</v>
      </c>
      <c r="Y162" s="8">
        <v>399.46500222915739</v>
      </c>
      <c r="Z162" s="8">
        <v>418.90109890109892</v>
      </c>
      <c r="AA162" s="8">
        <v>423.17708333333337</v>
      </c>
      <c r="AB162" s="8">
        <v>435.00643500643503</v>
      </c>
      <c r="AC162" s="8">
        <v>445.67062818336166</v>
      </c>
      <c r="AD162" s="8">
        <v>455.84524810765345</v>
      </c>
      <c r="AE162" s="8">
        <v>454.12844036697243</v>
      </c>
      <c r="AF162" s="8">
        <v>463.03180503924</v>
      </c>
      <c r="AG162" s="8">
        <v>479.37933850551246</v>
      </c>
      <c r="AH162" s="8">
        <v>506.85483870967744</v>
      </c>
      <c r="AI162" s="8">
        <v>552.68389662027835</v>
      </c>
      <c r="AJ162" s="8">
        <v>583.79013312451059</v>
      </c>
      <c r="AK162" s="8">
        <v>626.30560928433272</v>
      </c>
      <c r="AL162" s="8">
        <v>684.04907975460117</v>
      </c>
      <c r="AM162" s="8">
        <v>737.84194528875378</v>
      </c>
    </row>
    <row r="163" spans="1:39">
      <c r="A163" s="19" t="s">
        <v>156</v>
      </c>
      <c r="B163" s="8">
        <v>96.738406922564891</v>
      </c>
      <c r="C163" s="8">
        <v>96.613653575678896</v>
      </c>
      <c r="D163" s="8">
        <v>93.307072767558822</v>
      </c>
      <c r="E163" s="8">
        <v>95.906392615722467</v>
      </c>
      <c r="F163" s="8">
        <v>97.530740107883531</v>
      </c>
      <c r="G163" s="8">
        <v>101.10336247257965</v>
      </c>
      <c r="H163" s="8">
        <v>104.76769876084659</v>
      </c>
      <c r="I163" s="8">
        <v>109.19630267899107</v>
      </c>
      <c r="J163" s="8">
        <v>112.47776210048464</v>
      </c>
      <c r="K163" s="8">
        <v>118.88027872890011</v>
      </c>
      <c r="L163" s="8">
        <v>123.88208990350672</v>
      </c>
      <c r="M163" s="8">
        <v>128.18147753149051</v>
      </c>
      <c r="N163" s="8">
        <v>131.17671987568863</v>
      </c>
      <c r="O163" s="8">
        <v>134.92173431223162</v>
      </c>
      <c r="P163" s="8">
        <v>136.20549062245175</v>
      </c>
      <c r="Q163" s="8">
        <v>132.22699501080547</v>
      </c>
      <c r="R163" s="8">
        <v>124.66919952836369</v>
      </c>
      <c r="S163" s="8">
        <v>108.54788877445931</v>
      </c>
      <c r="T163" s="8">
        <v>110.65262518353501</v>
      </c>
      <c r="U163" s="8">
        <v>111.93862555109972</v>
      </c>
      <c r="V163" s="8">
        <v>109.43784950456195</v>
      </c>
      <c r="W163" s="8">
        <v>118.29672055873753</v>
      </c>
      <c r="X163" s="8">
        <v>123.51679771265189</v>
      </c>
      <c r="Y163" s="8">
        <v>130.11702777647224</v>
      </c>
      <c r="Z163" s="8">
        <v>137.59447303751102</v>
      </c>
      <c r="AA163" s="8">
        <v>144.46503328529269</v>
      </c>
      <c r="AB163" s="8">
        <v>150.71802745664741</v>
      </c>
      <c r="AC163" s="8">
        <v>157.4581939799331</v>
      </c>
      <c r="AD163" s="8">
        <v>172.5680290844993</v>
      </c>
      <c r="AE163" s="8">
        <v>194.07636648940806</v>
      </c>
      <c r="AF163" s="8">
        <v>213.86185615950626</v>
      </c>
      <c r="AG163" s="8">
        <v>237.36315429353402</v>
      </c>
      <c r="AH163" s="8">
        <v>267.81852872588507</v>
      </c>
      <c r="AI163" s="8">
        <v>301.71344475980237</v>
      </c>
      <c r="AJ163" s="8">
        <v>338.67033585590099</v>
      </c>
      <c r="AK163" s="8">
        <v>359.28812087889378</v>
      </c>
      <c r="AL163" s="8">
        <v>375.76614804337578</v>
      </c>
      <c r="AM163" s="8">
        <v>389.57105102663144</v>
      </c>
    </row>
    <row r="164" spans="1:39">
      <c r="A164" s="19" t="s">
        <v>157</v>
      </c>
      <c r="B164" s="8">
        <v>137.73660894079742</v>
      </c>
      <c r="C164" s="8">
        <v>139.06188411509657</v>
      </c>
      <c r="D164" s="8">
        <v>135.37488429497068</v>
      </c>
      <c r="E164" s="8">
        <v>140.81956078786507</v>
      </c>
      <c r="F164" s="8">
        <v>139.79923235901978</v>
      </c>
      <c r="G164" s="8">
        <v>142.72307248050822</v>
      </c>
      <c r="H164" s="8">
        <v>143.79500211774672</v>
      </c>
      <c r="I164" s="8">
        <v>146.74213141910548</v>
      </c>
      <c r="J164" s="8">
        <v>146.90599905526688</v>
      </c>
      <c r="K164" s="8">
        <v>140.24671812124811</v>
      </c>
      <c r="L164" s="8">
        <v>148.55890128312592</v>
      </c>
      <c r="M164" s="8">
        <v>150.68061507436349</v>
      </c>
      <c r="N164" s="8">
        <v>142.8219498675864</v>
      </c>
      <c r="O164" s="8">
        <v>153.10544053923928</v>
      </c>
      <c r="P164" s="8">
        <v>158.79550667529259</v>
      </c>
      <c r="Q164" s="8">
        <v>162.30817863095578</v>
      </c>
      <c r="R164" s="8">
        <v>161.25589755111213</v>
      </c>
      <c r="S164" s="8">
        <v>169.7491904944844</v>
      </c>
      <c r="T164" s="8">
        <v>172.91097175322935</v>
      </c>
      <c r="U164" s="8">
        <v>176.62446374385266</v>
      </c>
      <c r="V164" s="8">
        <v>183.27974276527331</v>
      </c>
      <c r="W164" s="8">
        <v>186.04419669520209</v>
      </c>
      <c r="X164" s="8">
        <v>188.37344720496893</v>
      </c>
      <c r="Y164" s="8">
        <v>198.76040878122635</v>
      </c>
      <c r="Z164" s="8">
        <v>200.58139534883719</v>
      </c>
      <c r="AA164" s="8">
        <v>206.11271155923657</v>
      </c>
      <c r="AB164" s="8">
        <v>211.27069881846532</v>
      </c>
      <c r="AC164" s="8">
        <v>212.46944813687233</v>
      </c>
      <c r="AD164" s="8">
        <v>216.68830896829053</v>
      </c>
      <c r="AE164" s="8">
        <v>224.98873827757075</v>
      </c>
      <c r="AF164" s="8">
        <v>230.70758874909851</v>
      </c>
      <c r="AG164" s="8">
        <v>226.15825193205444</v>
      </c>
      <c r="AH164" s="8">
        <v>230.27554667384035</v>
      </c>
      <c r="AI164" s="8">
        <v>236.23559539052499</v>
      </c>
      <c r="AJ164" s="8">
        <v>238.76134937624565</v>
      </c>
      <c r="AK164" s="8">
        <v>242.71914909011977</v>
      </c>
      <c r="AL164" s="8">
        <v>246.6913334282055</v>
      </c>
      <c r="AM164" s="8">
        <v>255.58043523896157</v>
      </c>
    </row>
    <row r="165" spans="1:39">
      <c r="A165" s="19" t="s">
        <v>158</v>
      </c>
      <c r="B165" s="8">
        <v>277.72625519667412</v>
      </c>
      <c r="C165" s="8">
        <v>271.2289723969144</v>
      </c>
      <c r="D165" s="8">
        <v>281.26687871331694</v>
      </c>
      <c r="E165" s="8">
        <v>282.08332727827587</v>
      </c>
      <c r="F165" s="8">
        <v>284.78312896822604</v>
      </c>
      <c r="G165" s="8">
        <v>290.18484414432845</v>
      </c>
      <c r="H165" s="8">
        <v>292.3729934149631</v>
      </c>
      <c r="I165" s="8">
        <v>306.36557154215075</v>
      </c>
      <c r="J165" s="8">
        <v>308.49739900938346</v>
      </c>
      <c r="K165" s="8">
        <v>330.24295902332886</v>
      </c>
      <c r="L165" s="8">
        <v>346.49102190467238</v>
      </c>
      <c r="M165" s="8">
        <v>359.26849352669376</v>
      </c>
      <c r="N165" s="8">
        <v>373.38587585715561</v>
      </c>
      <c r="O165" s="8">
        <v>381.87551471544361</v>
      </c>
      <c r="P165" s="8">
        <v>399.99367048547379</v>
      </c>
      <c r="Q165" s="8">
        <v>410.90247961049369</v>
      </c>
      <c r="R165" s="8">
        <v>426.04023891228877</v>
      </c>
      <c r="S165" s="8">
        <v>446.60014421858858</v>
      </c>
      <c r="T165" s="8">
        <v>456.95829771064882</v>
      </c>
      <c r="U165" s="8">
        <v>465.37624450104192</v>
      </c>
      <c r="V165" s="8">
        <v>476.67720090293454</v>
      </c>
      <c r="W165" s="8">
        <v>500.69565523678699</v>
      </c>
      <c r="X165" s="8">
        <v>496.89120950843323</v>
      </c>
      <c r="Y165" s="8">
        <v>502.68839717927671</v>
      </c>
      <c r="Z165" s="8">
        <v>514.81920326864144</v>
      </c>
      <c r="AA165" s="8">
        <v>526.7044095367196</v>
      </c>
      <c r="AB165" s="8">
        <v>519.43451894408247</v>
      </c>
      <c r="AC165" s="8">
        <v>520.02553540757856</v>
      </c>
      <c r="AD165" s="8">
        <v>526.23340010386528</v>
      </c>
      <c r="AE165" s="8">
        <v>535.57358053302426</v>
      </c>
      <c r="AF165" s="8">
        <v>533.17780134323084</v>
      </c>
      <c r="AG165" s="8">
        <v>537.25966515300001</v>
      </c>
      <c r="AH165" s="8">
        <v>549.87570651917622</v>
      </c>
      <c r="AI165" s="8">
        <v>576.33449733988334</v>
      </c>
      <c r="AJ165" s="8">
        <v>605.73787330200548</v>
      </c>
      <c r="AK165" s="8">
        <v>630.09270323643727</v>
      </c>
      <c r="AL165" s="8">
        <v>653.6887389910205</v>
      </c>
      <c r="AM165" s="8">
        <v>677.75254913061542</v>
      </c>
    </row>
    <row r="166" spans="1:39">
      <c r="A166" s="19" t="s">
        <v>159</v>
      </c>
      <c r="B166" s="8">
        <v>750.32561601233351</v>
      </c>
      <c r="C166" s="8">
        <v>769.22082956454324</v>
      </c>
      <c r="D166" s="8">
        <v>814.84367145873136</v>
      </c>
      <c r="E166" s="8">
        <v>820.8400567209427</v>
      </c>
      <c r="F166" s="8">
        <v>843.09434321328331</v>
      </c>
      <c r="G166" s="8">
        <v>892.74718151723494</v>
      </c>
      <c r="H166" s="8">
        <v>917.66190454729826</v>
      </c>
      <c r="I166" s="8">
        <v>939.52223221532449</v>
      </c>
      <c r="J166" s="8">
        <v>966.17552850736706</v>
      </c>
      <c r="K166" s="8">
        <v>988.83854339873619</v>
      </c>
      <c r="L166" s="8">
        <v>995.36746707664918</v>
      </c>
      <c r="M166" s="8">
        <v>1003.8195743340356</v>
      </c>
      <c r="N166" s="8">
        <v>995.40062474847173</v>
      </c>
      <c r="O166" s="8">
        <v>898.12862660223516</v>
      </c>
      <c r="P166" s="8">
        <v>810.8009885157727</v>
      </c>
      <c r="Q166" s="8">
        <v>816.9248473045941</v>
      </c>
      <c r="R166" s="8">
        <v>830.52660639105522</v>
      </c>
      <c r="S166" s="8">
        <v>864.4829152576591</v>
      </c>
      <c r="T166" s="8">
        <v>895.65245933925269</v>
      </c>
      <c r="U166" s="8">
        <v>900.73205504028704</v>
      </c>
      <c r="V166" s="8">
        <v>874.52679660857859</v>
      </c>
      <c r="W166" s="8">
        <v>857.33718495422374</v>
      </c>
      <c r="X166" s="8">
        <v>855.82166708998818</v>
      </c>
      <c r="Y166" s="8">
        <v>873.63207340414658</v>
      </c>
      <c r="Z166" s="8">
        <v>894.6044450796827</v>
      </c>
      <c r="AA166" s="8">
        <v>926.61230541141583</v>
      </c>
      <c r="AB166" s="8">
        <v>954.09301879817633</v>
      </c>
      <c r="AC166" s="8">
        <v>928.90181935189776</v>
      </c>
      <c r="AD166" s="8">
        <v>940.88365861987438</v>
      </c>
      <c r="AE166" s="8">
        <v>977.13962079573696</v>
      </c>
      <c r="AF166" s="8">
        <v>974.83562387208315</v>
      </c>
      <c r="AG166" s="8">
        <v>998.67556226714032</v>
      </c>
      <c r="AH166" s="8">
        <v>1028.1259108131742</v>
      </c>
      <c r="AI166" s="8">
        <v>1073.2919402700479</v>
      </c>
      <c r="AJ166" s="8">
        <v>1105.5487976045663</v>
      </c>
      <c r="AK166" s="8">
        <v>1143.1704152745726</v>
      </c>
      <c r="AL166" s="8">
        <v>1201.7516174846141</v>
      </c>
      <c r="AM166" s="8">
        <v>1225.3730021693896</v>
      </c>
    </row>
    <row r="167" spans="1:39">
      <c r="A167" s="19" t="s">
        <v>160</v>
      </c>
      <c r="B167" s="8">
        <v>4982.9626123994321</v>
      </c>
      <c r="C167" s="8">
        <v>5550.1858736059476</v>
      </c>
      <c r="D167" s="8">
        <v>6053.351573187414</v>
      </c>
      <c r="E167" s="8">
        <v>6313.9013452914796</v>
      </c>
      <c r="F167" s="8">
        <v>6417.1453822359699</v>
      </c>
      <c r="G167" s="8">
        <v>6780.2006105538594</v>
      </c>
      <c r="H167" s="8">
        <v>7207.311827956989</v>
      </c>
      <c r="I167" s="8">
        <v>7724.7238742565842</v>
      </c>
      <c r="J167" s="8">
        <v>8346.0570469798658</v>
      </c>
      <c r="K167" s="8">
        <v>9042.667771333885</v>
      </c>
      <c r="L167" s="8">
        <v>9456.3758389261748</v>
      </c>
      <c r="M167" s="8">
        <v>9693.9931998488864</v>
      </c>
      <c r="N167" s="8">
        <v>10386.049981350243</v>
      </c>
      <c r="O167" s="8">
        <v>11041.727672035138</v>
      </c>
      <c r="P167" s="8">
        <v>10866.228070175437</v>
      </c>
      <c r="Q167" s="8">
        <v>11109.037687522869</v>
      </c>
      <c r="R167" s="8">
        <v>12016.216216216217</v>
      </c>
      <c r="S167" s="8">
        <v>13060.787069571328</v>
      </c>
      <c r="T167" s="8">
        <v>13951.893551688843</v>
      </c>
      <c r="U167" s="8">
        <v>14657.696094519199</v>
      </c>
      <c r="V167" s="8">
        <v>15180.223285486445</v>
      </c>
      <c r="W167" s="8">
        <v>15662.952646239555</v>
      </c>
      <c r="X167" s="8">
        <v>17062.160531080266</v>
      </c>
      <c r="Y167" s="8">
        <v>18451.301550160864</v>
      </c>
      <c r="Z167" s="8">
        <v>19356.028368794327</v>
      </c>
      <c r="AA167" s="8">
        <v>20034.050667393083</v>
      </c>
      <c r="AB167" s="8">
        <v>20990.252897787144</v>
      </c>
      <c r="AC167" s="8">
        <v>20010.695187165777</v>
      </c>
      <c r="AD167" s="8">
        <v>21278.605708512248</v>
      </c>
      <c r="AE167" s="8">
        <v>23018.123138033767</v>
      </c>
      <c r="AF167" s="8">
        <v>21868.777187046882</v>
      </c>
      <c r="AG167" s="8">
        <v>22570.641762452105</v>
      </c>
      <c r="AH167" s="8">
        <v>23702.794653705954</v>
      </c>
      <c r="AI167" s="8">
        <v>25649.148068154547</v>
      </c>
      <c r="AJ167" s="8">
        <v>26884.669479606189</v>
      </c>
      <c r="AK167" s="8">
        <v>28236.309929561463</v>
      </c>
      <c r="AL167" s="8">
        <v>29182.610590542597</v>
      </c>
      <c r="AM167" s="8">
        <v>27992.973754908038</v>
      </c>
    </row>
    <row r="168" spans="1:39">
      <c r="A168" s="19" t="s">
        <v>161</v>
      </c>
      <c r="B168" s="8">
        <v>340.12526758106719</v>
      </c>
      <c r="C168" s="8">
        <v>331.7289030354786</v>
      </c>
      <c r="D168" s="8">
        <v>347.93853643693899</v>
      </c>
      <c r="E168" s="8">
        <v>354.23968976060854</v>
      </c>
      <c r="F168" s="8">
        <v>368.70977179637214</v>
      </c>
      <c r="G168" s="8">
        <v>373.90555475814557</v>
      </c>
      <c r="H168" s="8">
        <v>385.67202028740491</v>
      </c>
      <c r="I168" s="8">
        <v>400.26292119283198</v>
      </c>
      <c r="J168" s="8">
        <v>418.62204992178471</v>
      </c>
      <c r="K168" s="8">
        <v>436.04845726524326</v>
      </c>
      <c r="L168" s="8">
        <v>454.01199973626956</v>
      </c>
      <c r="M168" s="8">
        <v>466.25926407489277</v>
      </c>
      <c r="N168" s="8">
        <v>482.13713039574117</v>
      </c>
      <c r="O168" s="8">
        <v>500</v>
      </c>
      <c r="P168" s="8">
        <v>518.01661150315363</v>
      </c>
      <c r="Q168" s="8">
        <v>533.30047440083786</v>
      </c>
      <c r="R168" s="8">
        <v>535.22154014465445</v>
      </c>
      <c r="S168" s="8">
        <v>541.07699688174625</v>
      </c>
      <c r="T168" s="8">
        <v>546.30999585725283</v>
      </c>
      <c r="U168" s="8">
        <v>573.91609208834871</v>
      </c>
      <c r="V168" s="8">
        <v>593.05010390210111</v>
      </c>
      <c r="W168" s="8">
        <v>611.8653736451796</v>
      </c>
      <c r="X168" s="8">
        <v>646.84644025724924</v>
      </c>
      <c r="Y168" s="8">
        <v>676.00915638434481</v>
      </c>
      <c r="Z168" s="8">
        <v>706.52654867256649</v>
      </c>
      <c r="AA168" s="8">
        <v>727.15805637819449</v>
      </c>
      <c r="AB168" s="8">
        <v>767.86589016491587</v>
      </c>
      <c r="AC168" s="8">
        <v>798.51875878473345</v>
      </c>
      <c r="AD168" s="8">
        <v>827.79001665681585</v>
      </c>
      <c r="AE168" s="8">
        <v>872.66217804851988</v>
      </c>
      <c r="AF168" s="8">
        <v>855.3492578602968</v>
      </c>
      <c r="AG168" s="8">
        <v>879.46546009364965</v>
      </c>
      <c r="AH168" s="8">
        <v>919.80470576014125</v>
      </c>
      <c r="AI168" s="8">
        <v>959.45945945945948</v>
      </c>
      <c r="AJ168" s="8">
        <v>1008.6943258084198</v>
      </c>
      <c r="AK168" s="8">
        <v>1074.1224982399679</v>
      </c>
      <c r="AL168" s="8">
        <v>1140.0299850074962</v>
      </c>
      <c r="AM168" s="8">
        <v>1199.0970430641</v>
      </c>
    </row>
    <row r="169" spans="1:39">
      <c r="A169" s="21" t="s">
        <v>162</v>
      </c>
      <c r="B169" s="8">
        <v>527.36982643524698</v>
      </c>
      <c r="C169" s="8">
        <v>535.74252123128713</v>
      </c>
      <c r="D169" s="8">
        <v>575.72970016408931</v>
      </c>
      <c r="E169" s="8">
        <v>586.73296143584776</v>
      </c>
      <c r="F169" s="8">
        <v>601.24064778861634</v>
      </c>
      <c r="G169" s="8">
        <v>642.13350603691538</v>
      </c>
      <c r="H169" s="8">
        <v>689.5421141888072</v>
      </c>
      <c r="I169" s="8">
        <v>743.84094829492676</v>
      </c>
      <c r="J169" s="8">
        <v>766.65657177468199</v>
      </c>
      <c r="K169" s="8">
        <v>788.6552132701421</v>
      </c>
      <c r="L169" s="8">
        <v>816.8218497827437</v>
      </c>
      <c r="M169" s="8">
        <v>841.59617952972599</v>
      </c>
      <c r="N169" s="8">
        <v>869.49290141179733</v>
      </c>
      <c r="O169" s="8">
        <v>900.78171978352384</v>
      </c>
      <c r="P169" s="8">
        <v>924.84537063469406</v>
      </c>
      <c r="Q169" s="8">
        <v>959.20772079452365</v>
      </c>
      <c r="R169" s="8">
        <v>1033.9451061244777</v>
      </c>
      <c r="S169" s="8">
        <v>1154.1991656085615</v>
      </c>
      <c r="T169" s="8">
        <v>1276.8834513844172</v>
      </c>
      <c r="U169" s="8">
        <v>1400.3140825437156</v>
      </c>
      <c r="V169" s="8">
        <v>1500.0174112894802</v>
      </c>
      <c r="W169" s="8">
        <v>1600.316227271165</v>
      </c>
      <c r="X169" s="8">
        <v>1711.1839201439582</v>
      </c>
      <c r="Y169" s="8">
        <v>1844.4000470090491</v>
      </c>
      <c r="Z169" s="8">
        <v>1995.4439640838045</v>
      </c>
      <c r="AA169" s="8">
        <v>2096.4352287161214</v>
      </c>
      <c r="AB169" s="8">
        <v>2054.06158333743</v>
      </c>
      <c r="AC169" s="8">
        <v>1826.9190051955243</v>
      </c>
      <c r="AD169" s="8">
        <v>1895.0569358178054</v>
      </c>
      <c r="AE169" s="8">
        <v>1968.4186889505509</v>
      </c>
      <c r="AF169" s="8">
        <v>1990.5224555888938</v>
      </c>
      <c r="AG169" s="8">
        <v>2071.9239338500643</v>
      </c>
      <c r="AH169" s="8">
        <v>2192.7219751096509</v>
      </c>
      <c r="AI169" s="8">
        <v>2304.830037224835</v>
      </c>
      <c r="AJ169" s="8">
        <v>2386.5738634640466</v>
      </c>
      <c r="AK169" s="8">
        <v>2490.1138226051389</v>
      </c>
      <c r="AL169" s="8">
        <v>2594.3653981098555</v>
      </c>
      <c r="AM169" s="8">
        <v>2645.1933636066842</v>
      </c>
    </row>
    <row r="170" spans="1:39">
      <c r="A170" s="19" t="s">
        <v>163</v>
      </c>
      <c r="B170" s="8">
        <v>184.58547741566608</v>
      </c>
      <c r="C170" s="8">
        <v>163.03230707359577</v>
      </c>
      <c r="D170" s="8">
        <v>161.15657392253135</v>
      </c>
      <c r="E170" s="8">
        <v>166.54588857155036</v>
      </c>
      <c r="F170" s="8">
        <v>169.83135540287321</v>
      </c>
      <c r="G170" s="8">
        <v>176.41075715041296</v>
      </c>
      <c r="H170" s="8">
        <v>175.86241177055373</v>
      </c>
      <c r="I170" s="8">
        <v>176.9383311299479</v>
      </c>
      <c r="J170" s="8">
        <v>169.8748430783277</v>
      </c>
      <c r="K170" s="8">
        <v>160.48417132216014</v>
      </c>
      <c r="L170" s="8">
        <v>166.62402689960163</v>
      </c>
      <c r="M170" s="8">
        <v>177.16881857525095</v>
      </c>
      <c r="N170" s="8">
        <v>186.49722001588563</v>
      </c>
      <c r="O170" s="8">
        <v>198.51972543853566</v>
      </c>
      <c r="P170" s="8">
        <v>201.96031799959229</v>
      </c>
      <c r="Q170" s="8">
        <v>202.84154093843881</v>
      </c>
      <c r="R170" s="8">
        <v>205.00404858299595</v>
      </c>
      <c r="S170" s="8">
        <v>210.37573305091445</v>
      </c>
      <c r="T170" s="8">
        <v>220.59777071047026</v>
      </c>
      <c r="U170" s="8">
        <v>226.85800604229607</v>
      </c>
      <c r="V170" s="8">
        <v>235.37851669970124</v>
      </c>
      <c r="W170" s="8">
        <v>250.60153645455864</v>
      </c>
      <c r="X170" s="8">
        <v>265.60811963382042</v>
      </c>
      <c r="Y170" s="8">
        <v>283.70931514111527</v>
      </c>
      <c r="Z170" s="8">
        <v>305.23431077007399</v>
      </c>
      <c r="AA170" s="8">
        <v>327.81965006729479</v>
      </c>
      <c r="AB170" s="8">
        <v>349.09886032335015</v>
      </c>
      <c r="AC170" s="8">
        <v>364.10088865656041</v>
      </c>
      <c r="AD170" s="8">
        <v>376.58517706250404</v>
      </c>
      <c r="AE170" s="8">
        <v>401.53281380820505</v>
      </c>
      <c r="AF170" s="8">
        <v>423.48067000482928</v>
      </c>
      <c r="AG170" s="8">
        <v>447.53972932632604</v>
      </c>
      <c r="AH170" s="8">
        <v>473.4122765815431</v>
      </c>
      <c r="AI170" s="8">
        <v>503.26701774917109</v>
      </c>
      <c r="AJ170" s="8">
        <v>538.69756696267416</v>
      </c>
      <c r="AK170" s="8">
        <v>575.88219213901141</v>
      </c>
      <c r="AL170" s="8">
        <v>617.25089542598789</v>
      </c>
      <c r="AM170" s="8">
        <v>647.15639535558114</v>
      </c>
    </row>
    <row r="171" spans="1:39">
      <c r="A171" s="19" t="s">
        <v>164</v>
      </c>
      <c r="B171" s="8">
        <v>365.33104041272571</v>
      </c>
      <c r="C171" s="8">
        <v>360.69049061175048</v>
      </c>
      <c r="D171" s="8">
        <v>363.99894521721933</v>
      </c>
      <c r="E171" s="8">
        <v>380.2238323198344</v>
      </c>
      <c r="F171" s="8">
        <v>377.06325732277452</v>
      </c>
      <c r="G171" s="8">
        <v>378.19287303726458</v>
      </c>
      <c r="H171" s="8">
        <v>382.23102146878671</v>
      </c>
      <c r="I171" s="8">
        <v>407.54083346054034</v>
      </c>
      <c r="J171" s="8">
        <v>414.19868508353937</v>
      </c>
      <c r="K171" s="8">
        <v>419.54668204023426</v>
      </c>
      <c r="L171" s="8">
        <v>441.18931735929118</v>
      </c>
      <c r="M171" s="8">
        <v>464.2270256604728</v>
      </c>
      <c r="N171" s="8">
        <v>474.03602153865199</v>
      </c>
      <c r="O171" s="8">
        <v>478.8787171662778</v>
      </c>
      <c r="P171" s="8">
        <v>483.71650449676173</v>
      </c>
      <c r="Q171" s="8">
        <v>498.66088892901206</v>
      </c>
      <c r="R171" s="8">
        <v>511.201087599007</v>
      </c>
      <c r="S171" s="8">
        <v>526.21398464114554</v>
      </c>
      <c r="T171" s="8">
        <v>528.69955156950675</v>
      </c>
      <c r="U171" s="8">
        <v>498.56002633094704</v>
      </c>
      <c r="V171" s="8">
        <v>511.39410187667562</v>
      </c>
      <c r="W171" s="8">
        <v>553.03107229894385</v>
      </c>
      <c r="X171" s="8">
        <v>541.32516095312758</v>
      </c>
      <c r="Y171" s="8">
        <v>538.94798653928672</v>
      </c>
      <c r="Z171" s="8">
        <v>651.88772255407991</v>
      </c>
      <c r="AA171" s="8">
        <v>649.02287019542598</v>
      </c>
      <c r="AB171" s="8">
        <v>633.93004228213726</v>
      </c>
      <c r="AC171" s="8">
        <v>613.61388123947279</v>
      </c>
      <c r="AD171" s="8">
        <v>614.4960715958166</v>
      </c>
      <c r="AE171" s="8">
        <v>619.59949744878338</v>
      </c>
      <c r="AF171" s="8">
        <v>624.16924559890424</v>
      </c>
      <c r="AG171" s="8">
        <v>639.99122464898596</v>
      </c>
      <c r="AH171" s="8">
        <v>652.48424175009268</v>
      </c>
      <c r="AI171" s="8">
        <v>695.78373567693848</v>
      </c>
      <c r="AJ171" s="8">
        <v>706.22497269748817</v>
      </c>
      <c r="AK171" s="8">
        <v>743.87509343077818</v>
      </c>
      <c r="AL171" s="8">
        <v>817.39483020780528</v>
      </c>
      <c r="AM171" s="8">
        <v>857.43985743985741</v>
      </c>
    </row>
    <row r="172" spans="1:39">
      <c r="A172" s="20" t="s">
        <v>165</v>
      </c>
      <c r="B172" s="8">
        <v>306.4381650293804</v>
      </c>
      <c r="C172" s="8">
        <v>307.54358992342344</v>
      </c>
      <c r="D172" s="8">
        <v>321.05089122488351</v>
      </c>
      <c r="E172" s="8">
        <v>325.46552702542198</v>
      </c>
      <c r="F172" s="8">
        <v>335.94799883143446</v>
      </c>
      <c r="G172" s="8">
        <v>348.46987070180859</v>
      </c>
      <c r="H172" s="8">
        <v>365.25774793261388</v>
      </c>
      <c r="I172" s="8">
        <v>384.91082093767199</v>
      </c>
      <c r="J172" s="8">
        <v>386.98797746940335</v>
      </c>
      <c r="K172" s="8">
        <v>402.56777104973327</v>
      </c>
      <c r="L172" s="8">
        <v>417.47538604104375</v>
      </c>
      <c r="M172" s="8">
        <v>424.89400474547563</v>
      </c>
      <c r="N172" s="8">
        <v>443.37249376470845</v>
      </c>
      <c r="O172" s="8">
        <v>456.4312815759273</v>
      </c>
      <c r="P172" s="8">
        <v>462.04253053007324</v>
      </c>
      <c r="Q172" s="8">
        <v>477.33192722727739</v>
      </c>
      <c r="R172" s="8">
        <v>497.47732493584522</v>
      </c>
      <c r="S172" s="8">
        <v>527.3124652952647</v>
      </c>
      <c r="T172" s="8">
        <v>554.16923847492615</v>
      </c>
      <c r="U172" s="8">
        <v>576.48216027796821</v>
      </c>
      <c r="V172" s="8">
        <v>592.29758246752738</v>
      </c>
      <c r="W172" s="8">
        <v>617.96964270182104</v>
      </c>
      <c r="X172" s="8">
        <v>642.37897674538135</v>
      </c>
      <c r="Y172" s="8">
        <v>674.67780362570147</v>
      </c>
      <c r="Z172" s="8">
        <v>710.34426093890784</v>
      </c>
      <c r="AA172" s="8">
        <v>745.05967640016615</v>
      </c>
      <c r="AB172" s="8">
        <v>764.54576571388213</v>
      </c>
      <c r="AC172" s="8">
        <v>750.6323664820128</v>
      </c>
      <c r="AD172" s="8">
        <v>777.46447510013991</v>
      </c>
      <c r="AE172" s="8">
        <v>806.53869970320466</v>
      </c>
      <c r="AF172" s="8">
        <v>810.56038221219762</v>
      </c>
      <c r="AG172" s="8">
        <v>832.91748231027304</v>
      </c>
      <c r="AH172" s="8">
        <v>868.47575103237398</v>
      </c>
      <c r="AI172" s="8">
        <v>916.06052170336829</v>
      </c>
      <c r="AJ172" s="8">
        <v>962.53268428970773</v>
      </c>
      <c r="AK172" s="8">
        <v>1015.5602128761832</v>
      </c>
      <c r="AL172" s="8">
        <v>1073.6783385424578</v>
      </c>
      <c r="AM172" s="8">
        <v>1107.3308874290015</v>
      </c>
    </row>
    <row r="173" spans="1:39">
      <c r="A173" s="21" t="s">
        <v>166</v>
      </c>
      <c r="B173" s="8">
        <v>127.30515215103941</v>
      </c>
      <c r="C173" s="8">
        <v>128.93518787049175</v>
      </c>
      <c r="D173" s="8">
        <v>135.98090573054856</v>
      </c>
      <c r="E173" s="8">
        <v>136.26367523740768</v>
      </c>
      <c r="F173" s="8">
        <v>145.52567397246821</v>
      </c>
      <c r="G173" s="8">
        <v>140.99829695331934</v>
      </c>
      <c r="H173" s="8">
        <v>149.66055614735203</v>
      </c>
      <c r="I173" s="8">
        <v>164.94851829966586</v>
      </c>
      <c r="J173" s="8">
        <v>175.13325524636096</v>
      </c>
      <c r="K173" s="8">
        <v>186.44055705310146</v>
      </c>
      <c r="L173" s="8">
        <v>193.63910311555159</v>
      </c>
      <c r="M173" s="8">
        <v>208.17148012650824</v>
      </c>
      <c r="N173" s="8">
        <v>227.55079106038249</v>
      </c>
      <c r="O173" s="8">
        <v>258.72157789405156</v>
      </c>
      <c r="P173" s="8">
        <v>289.67689145988737</v>
      </c>
      <c r="Q173" s="8">
        <v>310.51565912691348</v>
      </c>
      <c r="R173" s="8">
        <v>341.02312194716956</v>
      </c>
      <c r="S173" s="8">
        <v>373.49654602725047</v>
      </c>
      <c r="T173" s="8">
        <v>382.89366647298078</v>
      </c>
      <c r="U173" s="8">
        <v>391.65510467456846</v>
      </c>
      <c r="V173" s="8">
        <v>421.89123898573143</v>
      </c>
      <c r="W173" s="8">
        <v>475.9307106620771</v>
      </c>
      <c r="X173" s="8">
        <v>536.35993347136889</v>
      </c>
      <c r="Y173" s="8">
        <v>599.80534218243292</v>
      </c>
      <c r="Z173" s="8">
        <v>657.99536043756302</v>
      </c>
      <c r="AA173" s="8">
        <v>716.24820335920504</v>
      </c>
      <c r="AB173" s="8">
        <v>774.8885230575371</v>
      </c>
      <c r="AC173" s="8">
        <v>827.35247818927724</v>
      </c>
      <c r="AD173" s="8">
        <v>881.85222555005646</v>
      </c>
      <c r="AE173" s="8">
        <v>949.18207413801986</v>
      </c>
      <c r="AF173" s="8">
        <v>1020.5244329126863</v>
      </c>
      <c r="AG173" s="8">
        <v>1105.9575132771008</v>
      </c>
      <c r="AH173" s="8">
        <v>1208.9995343061159</v>
      </c>
      <c r="AI173" s="8">
        <v>1323.1421810783725</v>
      </c>
      <c r="AJ173" s="8">
        <v>1452.2750283803271</v>
      </c>
      <c r="AK173" s="8">
        <v>1611.7145428750134</v>
      </c>
      <c r="AL173" s="8">
        <v>1811.1658107728836</v>
      </c>
      <c r="AM173" s="8">
        <v>1963.2547297908934</v>
      </c>
    </row>
    <row r="174" spans="1:39">
      <c r="A174" s="23" t="s">
        <v>167</v>
      </c>
      <c r="B174" s="8">
        <v>6397.0333745364651</v>
      </c>
      <c r="C174" s="8">
        <v>6965.0824442289049</v>
      </c>
      <c r="D174" s="8">
        <v>7949.3163602074492</v>
      </c>
      <c r="E174" s="8">
        <v>7949.2385786802033</v>
      </c>
      <c r="F174" s="8">
        <v>7762.2142536978936</v>
      </c>
      <c r="G174" s="8">
        <v>8928.0655157149176</v>
      </c>
      <c r="H174" s="8">
        <v>9823.952879581153</v>
      </c>
      <c r="I174" s="8">
        <v>10464.010282776349</v>
      </c>
      <c r="J174" s="8">
        <v>11061.05476673428</v>
      </c>
      <c r="K174" s="8">
        <v>11880.505629073672</v>
      </c>
      <c r="L174" s="8">
        <v>12686.667952923019</v>
      </c>
      <c r="M174" s="8">
        <v>12853.751187084521</v>
      </c>
      <c r="N174" s="8">
        <v>13416.838166510759</v>
      </c>
      <c r="O174" s="8">
        <v>14603.371619118192</v>
      </c>
      <c r="P174" s="8">
        <v>14545.087976539588</v>
      </c>
      <c r="Q174" s="8">
        <v>15957.466063348415</v>
      </c>
      <c r="R174" s="8">
        <v>17883.920586657128</v>
      </c>
      <c r="S174" s="8">
        <v>19266.524520255862</v>
      </c>
      <c r="T174" s="8">
        <v>19493.844530425606</v>
      </c>
      <c r="U174" s="8">
        <v>20186.3277826468</v>
      </c>
      <c r="V174" s="8">
        <v>21161.509040333796</v>
      </c>
      <c r="W174" s="8">
        <v>22261.161868643336</v>
      </c>
      <c r="X174" s="8">
        <v>23206.405693950179</v>
      </c>
      <c r="Y174" s="8">
        <v>24055.675227837612</v>
      </c>
      <c r="Z174" s="8">
        <v>24123.781676413255</v>
      </c>
      <c r="AA174" s="8">
        <v>24041.64077066501</v>
      </c>
      <c r="AB174" s="8">
        <v>25051.009400523963</v>
      </c>
      <c r="AC174" s="8">
        <v>23343.520782396088</v>
      </c>
      <c r="AD174" s="8">
        <v>23711.820796125321</v>
      </c>
      <c r="AE174" s="8">
        <v>25374.493623405851</v>
      </c>
      <c r="AF174" s="8">
        <v>25314.566577301161</v>
      </c>
      <c r="AG174" s="8">
        <v>25665.925266903916</v>
      </c>
      <c r="AH174" s="8">
        <v>26488.486109047692</v>
      </c>
      <c r="AI174" s="8">
        <v>28506.63325471698</v>
      </c>
      <c r="AJ174" s="8">
        <v>30395.567297813006</v>
      </c>
      <c r="AK174" s="8">
        <v>32320.548344757182</v>
      </c>
      <c r="AL174" s="8">
        <v>34040.282991625754</v>
      </c>
      <c r="AM174" s="8">
        <v>34585.697907709946</v>
      </c>
    </row>
    <row r="175" spans="1:39">
      <c r="A175" s="20" t="s">
        <v>168</v>
      </c>
      <c r="B175" s="8">
        <v>157.31290303496422</v>
      </c>
      <c r="C175" s="8">
        <v>161.48398552682318</v>
      </c>
      <c r="D175" s="8">
        <v>173.38199150964473</v>
      </c>
      <c r="E175" s="8">
        <v>173.69269269711856</v>
      </c>
      <c r="F175" s="8">
        <v>182.43223432085546</v>
      </c>
      <c r="G175" s="8">
        <v>183.44894103205399</v>
      </c>
      <c r="H175" s="8">
        <v>196.43812121653224</v>
      </c>
      <c r="I175" s="8">
        <v>214.98428967364777</v>
      </c>
      <c r="J175" s="8">
        <v>230.23713081468478</v>
      </c>
      <c r="K175" s="8">
        <v>246.47013377295707</v>
      </c>
      <c r="L175" s="8">
        <v>258.4508762166339</v>
      </c>
      <c r="M175" s="8">
        <v>273.838020702341</v>
      </c>
      <c r="N175" s="8">
        <v>296.08372097544856</v>
      </c>
      <c r="O175" s="8">
        <v>333.0170222687467</v>
      </c>
      <c r="P175" s="8">
        <v>363.29527040329538</v>
      </c>
      <c r="Q175" s="8">
        <v>391.13506758741602</v>
      </c>
      <c r="R175" s="8">
        <v>431.03780563239133</v>
      </c>
      <c r="S175" s="8">
        <v>469.52652408020526</v>
      </c>
      <c r="T175" s="8">
        <v>479.54170283616287</v>
      </c>
      <c r="U175" s="8">
        <v>490.63801067587582</v>
      </c>
      <c r="V175" s="8">
        <v>525.03951468701257</v>
      </c>
      <c r="W175" s="8">
        <v>583.87336208361842</v>
      </c>
      <c r="X175" s="8">
        <v>649.31383782204625</v>
      </c>
      <c r="Y175" s="8">
        <v>717.97857864375942</v>
      </c>
      <c r="Z175" s="8">
        <v>777.28030546378193</v>
      </c>
      <c r="AA175" s="8">
        <v>838.89848413298841</v>
      </c>
      <c r="AB175" s="8">
        <v>902.28002756023943</v>
      </c>
      <c r="AC175" s="8">
        <v>945.37272953730098</v>
      </c>
      <c r="AD175" s="8">
        <v>1001.5321238203597</v>
      </c>
      <c r="AE175" s="8">
        <v>1077.4365600207987</v>
      </c>
      <c r="AF175" s="8">
        <v>1148.0973967669979</v>
      </c>
      <c r="AG175" s="8">
        <v>1234.6396362800122</v>
      </c>
      <c r="AH175" s="8">
        <v>1340.3810116505588</v>
      </c>
      <c r="AI175" s="8">
        <v>1464.6779861866346</v>
      </c>
      <c r="AJ175" s="8">
        <v>1602.7410221642647</v>
      </c>
      <c r="AK175" s="8">
        <v>1771.4946083739226</v>
      </c>
      <c r="AL175" s="8">
        <v>1979.602878279793</v>
      </c>
      <c r="AM175" s="8">
        <v>2134.0759317373772</v>
      </c>
    </row>
    <row r="176" spans="1:39">
      <c r="A176" s="24" t="s">
        <v>169</v>
      </c>
      <c r="B176" s="25" t="s">
        <v>6</v>
      </c>
      <c r="C176" s="25" t="s">
        <v>6</v>
      </c>
      <c r="D176" s="25" t="s">
        <v>6</v>
      </c>
      <c r="E176" s="25" t="s">
        <v>6</v>
      </c>
      <c r="F176" s="25" t="s">
        <v>6</v>
      </c>
      <c r="G176" s="25" t="s">
        <v>6</v>
      </c>
      <c r="H176" s="25" t="s">
        <v>6</v>
      </c>
      <c r="I176" s="25" t="s">
        <v>6</v>
      </c>
      <c r="J176" s="25" t="s">
        <v>6</v>
      </c>
      <c r="K176" s="25" t="s">
        <v>6</v>
      </c>
      <c r="L176" s="25" t="s">
        <v>6</v>
      </c>
      <c r="M176" s="25" t="s">
        <v>6</v>
      </c>
      <c r="N176" s="25" t="s">
        <v>6</v>
      </c>
      <c r="O176" s="25" t="s">
        <v>6</v>
      </c>
      <c r="P176" s="25" t="s">
        <v>6</v>
      </c>
      <c r="Q176" s="25" t="s">
        <v>6</v>
      </c>
      <c r="R176" s="25" t="s">
        <v>6</v>
      </c>
      <c r="S176" s="25" t="s">
        <v>6</v>
      </c>
      <c r="T176" s="25" t="s">
        <v>6</v>
      </c>
      <c r="U176" s="8">
        <v>14391.258651790415</v>
      </c>
      <c r="V176" s="8">
        <v>14520.213059708571</v>
      </c>
      <c r="W176" s="8">
        <v>14619.835353737133</v>
      </c>
      <c r="X176" s="8">
        <v>14552.708117958149</v>
      </c>
      <c r="Y176" s="8">
        <v>14949.890857797023</v>
      </c>
      <c r="Z176" s="8">
        <v>15331.939320763546</v>
      </c>
      <c r="AA176" s="8">
        <v>15600.94472424688</v>
      </c>
      <c r="AB176" s="8">
        <v>16007.666728439148</v>
      </c>
      <c r="AC176" s="8">
        <v>16465.715337377384</v>
      </c>
      <c r="AD176" s="8">
        <v>16940.288035603826</v>
      </c>
      <c r="AE176" s="8">
        <v>17559.422588701094</v>
      </c>
      <c r="AF176" s="8">
        <v>17864.576360826701</v>
      </c>
      <c r="AG176" s="8">
        <v>18030.126734516518</v>
      </c>
      <c r="AH176" s="8">
        <v>18192.995947763888</v>
      </c>
      <c r="AI176" s="8">
        <v>18565.362599315711</v>
      </c>
      <c r="AJ176" s="8">
        <v>18841.677995411606</v>
      </c>
      <c r="AK176" s="8">
        <v>19358.593974523479</v>
      </c>
      <c r="AL176" s="8">
        <v>19816.164338855211</v>
      </c>
      <c r="AM176" s="8">
        <v>19870.992579165923</v>
      </c>
    </row>
    <row r="179" spans="2:43"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"/>
      <c r="AL179" s="2"/>
      <c r="AM179" s="2"/>
      <c r="AN179" s="2"/>
      <c r="AO179" s="2"/>
      <c r="AP179" s="2"/>
      <c r="AQ179" s="2"/>
    </row>
    <row r="183" spans="2:43"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"/>
      <c r="AM183" s="2"/>
      <c r="AN183" s="2"/>
      <c r="AO183" s="2"/>
      <c r="AP183" s="2"/>
      <c r="AQ183" s="2"/>
    </row>
    <row r="186" spans="2:43"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"/>
      <c r="AL186" s="2"/>
      <c r="AM186" s="2"/>
      <c r="AN186" s="2"/>
      <c r="AO186" s="2"/>
      <c r="AP186" s="2"/>
      <c r="AQ186" s="2"/>
    </row>
    <row r="188" spans="2:43"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P4"/>
  <sheetViews>
    <sheetView workbookViewId="0">
      <selection activeCell="B1" sqref="B1:AP4"/>
    </sheetView>
  </sheetViews>
  <sheetFormatPr defaultRowHeight="15"/>
  <cols>
    <col min="1" max="1" width="31.5703125" customWidth="1"/>
  </cols>
  <sheetData>
    <row r="1" spans="1:42">
      <c r="A1" s="30" t="s">
        <v>171</v>
      </c>
      <c r="C1">
        <v>1970</v>
      </c>
      <c r="D1">
        <v>1971</v>
      </c>
      <c r="E1">
        <v>1972</v>
      </c>
      <c r="F1">
        <v>1973</v>
      </c>
      <c r="G1">
        <v>1974</v>
      </c>
      <c r="H1">
        <v>1975</v>
      </c>
      <c r="I1">
        <v>1976</v>
      </c>
      <c r="J1">
        <v>1977</v>
      </c>
      <c r="K1">
        <v>1978</v>
      </c>
      <c r="L1">
        <v>1979</v>
      </c>
      <c r="M1">
        <v>1980</v>
      </c>
      <c r="N1">
        <v>1981</v>
      </c>
      <c r="O1">
        <v>1982</v>
      </c>
      <c r="P1">
        <v>1983</v>
      </c>
      <c r="Q1">
        <v>1984</v>
      </c>
      <c r="R1">
        <v>1985</v>
      </c>
      <c r="S1">
        <v>1986</v>
      </c>
      <c r="T1">
        <v>1987</v>
      </c>
      <c r="U1">
        <v>1988</v>
      </c>
      <c r="V1">
        <v>1989</v>
      </c>
      <c r="W1">
        <v>1990</v>
      </c>
      <c r="X1">
        <v>1991</v>
      </c>
      <c r="Y1">
        <v>1992</v>
      </c>
      <c r="Z1">
        <v>1993</v>
      </c>
      <c r="AA1">
        <v>1994</v>
      </c>
      <c r="AB1">
        <v>1995</v>
      </c>
      <c r="AC1">
        <v>1996</v>
      </c>
      <c r="AD1">
        <v>1997</v>
      </c>
      <c r="AE1">
        <v>1998</v>
      </c>
      <c r="AF1">
        <v>1999</v>
      </c>
      <c r="AG1">
        <v>2000</v>
      </c>
      <c r="AH1">
        <v>2001</v>
      </c>
      <c r="AI1">
        <v>2002</v>
      </c>
      <c r="AJ1">
        <v>2003</v>
      </c>
      <c r="AK1">
        <v>2004</v>
      </c>
      <c r="AL1">
        <v>2005</v>
      </c>
      <c r="AM1">
        <v>2006</v>
      </c>
      <c r="AN1">
        <v>2007</v>
      </c>
      <c r="AO1">
        <v>2008</v>
      </c>
      <c r="AP1">
        <v>2009</v>
      </c>
    </row>
    <row r="2" spans="1:42" s="30" customFormat="1">
      <c r="B2" s="30" t="s">
        <v>2</v>
      </c>
      <c r="C2" s="60">
        <v>3295.6477794247853</v>
      </c>
      <c r="D2" s="60">
        <v>3357.5637544881934</v>
      </c>
      <c r="E2" s="60">
        <v>3478.1591258153508</v>
      </c>
      <c r="F2" s="60">
        <v>3633.0111335615843</v>
      </c>
      <c r="G2" s="60">
        <v>3618.5318107284752</v>
      </c>
      <c r="H2" s="60">
        <v>3584.4115259241225</v>
      </c>
      <c r="I2" s="60">
        <v>3695.0779091466261</v>
      </c>
      <c r="J2" s="60">
        <v>3779.1551147186465</v>
      </c>
      <c r="K2" s="60">
        <v>3876.5591325802752</v>
      </c>
      <c r="L2" s="60">
        <v>3966.4226366323142</v>
      </c>
      <c r="M2" s="60">
        <v>3970.5414604877042</v>
      </c>
      <c r="N2" s="60">
        <v>3986.2288690762662</v>
      </c>
      <c r="O2" s="60">
        <v>3933.1796240403341</v>
      </c>
      <c r="P2" s="60">
        <v>3973.263465071645</v>
      </c>
      <c r="Q2" s="60">
        <v>4095.2697543576946</v>
      </c>
      <c r="R2" s="60">
        <v>4184.1337975521328</v>
      </c>
      <c r="S2" s="60">
        <v>4250.1244075437071</v>
      </c>
      <c r="T2" s="60">
        <v>4325.9098014980773</v>
      </c>
      <c r="U2" s="60">
        <v>4452.7285755235334</v>
      </c>
      <c r="V2" s="60">
        <v>4542.4967690238545</v>
      </c>
      <c r="W2" s="60">
        <v>4599.3417406840535</v>
      </c>
      <c r="X2" s="60">
        <v>4597.3699439784805</v>
      </c>
      <c r="Y2" s="60">
        <v>4624.7453031808509</v>
      </c>
      <c r="Z2" s="60">
        <v>4637.1442849065816</v>
      </c>
      <c r="AA2" s="60">
        <v>4721.2951816878831</v>
      </c>
      <c r="AB2" s="60">
        <v>4787.8281340268522</v>
      </c>
      <c r="AC2" s="60">
        <v>4881.3698405719297</v>
      </c>
      <c r="AD2" s="60">
        <v>4992.8415226731058</v>
      </c>
      <c r="AE2" s="60">
        <v>5042.8759598041661</v>
      </c>
      <c r="AF2" s="60">
        <v>5141.6918064928796</v>
      </c>
      <c r="AG2" s="60">
        <v>5293.2669512181483</v>
      </c>
      <c r="AH2" s="60">
        <v>5310.6919789737203</v>
      </c>
      <c r="AI2" s="60">
        <v>5348.1274900181434</v>
      </c>
      <c r="AJ2" s="60">
        <v>5424.5488849161347</v>
      </c>
      <c r="AK2" s="60">
        <v>5578.68141635147</v>
      </c>
      <c r="AL2" s="60">
        <v>5710.235563853822</v>
      </c>
      <c r="AM2" s="60">
        <v>5870.1270412428075</v>
      </c>
      <c r="AN2" s="60">
        <v>6030.1790500207271</v>
      </c>
      <c r="AO2" s="60">
        <v>6053.0315957836265</v>
      </c>
      <c r="AP2" s="60">
        <v>5867.300896532608</v>
      </c>
    </row>
    <row r="3" spans="1:42" s="30" customFormat="1">
      <c r="B3" s="30" t="s">
        <v>3</v>
      </c>
      <c r="C3" s="60">
        <v>18228.813520472857</v>
      </c>
      <c r="D3" s="60">
        <v>18622.122285840869</v>
      </c>
      <c r="E3" s="60">
        <v>19441.137125052413</v>
      </c>
      <c r="F3" s="60">
        <v>20395.022972124832</v>
      </c>
      <c r="G3" s="60">
        <v>20104.25303711879</v>
      </c>
      <c r="H3" s="60">
        <v>19868.012862718959</v>
      </c>
      <c r="I3" s="60">
        <v>20746.445327585025</v>
      </c>
      <c r="J3" s="60">
        <v>21491.858576364772</v>
      </c>
      <c r="K3" s="60">
        <v>22461.989500640208</v>
      </c>
      <c r="L3" s="60">
        <v>22914.155797471733</v>
      </c>
      <c r="M3" s="60">
        <v>22630.180772362201</v>
      </c>
      <c r="N3" s="60">
        <v>22978.931667436573</v>
      </c>
      <c r="O3" s="60">
        <v>22310.191669832177</v>
      </c>
      <c r="P3" s="60">
        <v>23105.373520052017</v>
      </c>
      <c r="Q3" s="60">
        <v>24554.343678575216</v>
      </c>
      <c r="R3" s="60">
        <v>25338.381760562195</v>
      </c>
      <c r="S3" s="60">
        <v>25966.078868793549</v>
      </c>
      <c r="T3" s="60">
        <v>26549.734928123031</v>
      </c>
      <c r="U3" s="60">
        <v>27388.638493408969</v>
      </c>
      <c r="V3" s="60">
        <v>28098.307796401412</v>
      </c>
      <c r="W3" s="60">
        <v>28298.621957912532</v>
      </c>
      <c r="X3" s="60">
        <v>27849.765851980977</v>
      </c>
      <c r="Y3" s="60">
        <v>28401.584525600942</v>
      </c>
      <c r="Z3" s="60">
        <v>28834.667042424753</v>
      </c>
      <c r="AA3" s="60">
        <v>29655.178952289014</v>
      </c>
      <c r="AB3" s="60">
        <v>30051.118635411109</v>
      </c>
      <c r="AC3" s="60">
        <v>30827.809902967401</v>
      </c>
      <c r="AD3" s="60">
        <v>31831.406041289967</v>
      </c>
      <c r="AE3" s="60">
        <v>32847.070617065547</v>
      </c>
      <c r="AF3" s="60">
        <v>34053.306432769496</v>
      </c>
      <c r="AG3" s="60">
        <v>35080.730901719522</v>
      </c>
      <c r="AH3" s="60">
        <v>35102.274819174832</v>
      </c>
      <c r="AI3" s="60">
        <v>35405.645612986613</v>
      </c>
      <c r="AJ3" s="60">
        <v>35976.444720762178</v>
      </c>
      <c r="AK3" s="60">
        <v>36920.153218266074</v>
      </c>
      <c r="AL3" s="60">
        <v>37701.613440945657</v>
      </c>
      <c r="AM3" s="60">
        <v>38341.631351036354</v>
      </c>
      <c r="AN3" s="60">
        <v>38701.150467358086</v>
      </c>
      <c r="AO3" s="60">
        <v>38345.477554690209</v>
      </c>
      <c r="AP3" s="60">
        <v>37016.085924458625</v>
      </c>
    </row>
    <row r="4" spans="1:42" s="30" customFormat="1">
      <c r="B4" s="30" t="s">
        <v>4</v>
      </c>
      <c r="C4" s="60">
        <f>0.736*C2</f>
        <v>2425.5967656566418</v>
      </c>
      <c r="D4" s="60">
        <v>2471.0543541407883</v>
      </c>
      <c r="E4" s="60">
        <v>2560.3568511602725</v>
      </c>
      <c r="F4" s="60">
        <v>2678.419298899561</v>
      </c>
      <c r="G4" s="60">
        <v>2690.4306104354455</v>
      </c>
      <c r="H4" s="60">
        <v>2676.4746197571931</v>
      </c>
      <c r="I4" s="60">
        <v>2752.1642082450157</v>
      </c>
      <c r="J4" s="60">
        <v>2807.1862587127666</v>
      </c>
      <c r="K4" s="60">
        <v>2863.9842063913675</v>
      </c>
      <c r="L4" s="60">
        <v>2941.231755787398</v>
      </c>
      <c r="M4" s="60">
        <v>2969.9113488692378</v>
      </c>
      <c r="N4" s="60">
        <v>2977.2625469497498</v>
      </c>
      <c r="O4" s="60">
        <v>2966.3552707934</v>
      </c>
      <c r="P4" s="60">
        <v>2975.2711032656689</v>
      </c>
      <c r="Q4" s="60">
        <v>3036.9023059293208</v>
      </c>
      <c r="R4" s="60">
        <v>3098.9678595273335</v>
      </c>
      <c r="S4" s="60">
        <v>3145.6220883222481</v>
      </c>
      <c r="T4" s="60">
        <v>3206.0394976706484</v>
      </c>
      <c r="U4" s="60">
        <v>3306.9160949963707</v>
      </c>
      <c r="V4" s="60">
        <v>3375.455660063195</v>
      </c>
      <c r="W4" s="60">
        <v>3432.7848018348432</v>
      </c>
      <c r="X4" s="60">
        <v>3455.4461828549834</v>
      </c>
      <c r="Y4" s="60">
        <v>3456.4351114038409</v>
      </c>
      <c r="Z4" s="60">
        <v>3448.8085667728205</v>
      </c>
      <c r="AA4" s="60">
        <v>3498.6955402302724</v>
      </c>
      <c r="AB4" s="60">
        <v>3553.2075603617632</v>
      </c>
      <c r="AC4" s="60">
        <v>3616.2956094031451</v>
      </c>
      <c r="AD4" s="60">
        <v>3686.4741824539947</v>
      </c>
      <c r="AE4" s="60">
        <v>3691.6783314860409</v>
      </c>
      <c r="AF4" s="60">
        <v>3738.3174300616001</v>
      </c>
      <c r="AG4" s="60">
        <v>3852.2198385860438</v>
      </c>
      <c r="AH4" s="60">
        <v>3873.0267574982058</v>
      </c>
      <c r="AI4" s="60">
        <v>3901.5643248072492</v>
      </c>
      <c r="AJ4" s="60">
        <v>3958.8532902253801</v>
      </c>
      <c r="AK4" s="60">
        <v>4078.7124140228557</v>
      </c>
      <c r="AL4" s="60">
        <v>4183.2437306036218</v>
      </c>
      <c r="AM4" s="60">
        <v>4324.1013640393785</v>
      </c>
      <c r="AN4" s="60">
        <v>4478.1118362736597</v>
      </c>
      <c r="AO4" s="60">
        <v>4522.7827007120413</v>
      </c>
      <c r="AP4" s="60">
        <f>0.747*AP2</f>
        <v>4382.8737697098586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88"/>
  <sheetViews>
    <sheetView workbookViewId="0">
      <selection activeCell="B3" sqref="B3:AM7"/>
    </sheetView>
  </sheetViews>
  <sheetFormatPr defaultRowHeight="15"/>
  <cols>
    <col min="1" max="1" width="36.28515625" customWidth="1"/>
    <col min="2" max="39" width="10" bestFit="1" customWidth="1"/>
  </cols>
  <sheetData>
    <row r="1" spans="1:39" ht="15.75">
      <c r="A1" s="1" t="s">
        <v>170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</row>
    <row r="3" spans="1:39">
      <c r="A3" s="3" t="s">
        <v>1</v>
      </c>
      <c r="B3" s="4">
        <v>1971</v>
      </c>
      <c r="C3" s="4">
        <v>1972</v>
      </c>
      <c r="D3" s="4">
        <v>1973</v>
      </c>
      <c r="E3" s="4">
        <v>1974</v>
      </c>
      <c r="F3" s="4">
        <v>1975</v>
      </c>
      <c r="G3" s="4">
        <v>1976</v>
      </c>
      <c r="H3" s="4">
        <v>1977</v>
      </c>
      <c r="I3" s="4">
        <v>1978</v>
      </c>
      <c r="J3" s="4">
        <v>1979</v>
      </c>
      <c r="K3" s="4">
        <v>1980</v>
      </c>
      <c r="L3" s="4">
        <v>1981</v>
      </c>
      <c r="M3" s="4">
        <v>1982</v>
      </c>
      <c r="N3" s="4">
        <v>1983</v>
      </c>
      <c r="O3" s="4">
        <v>1984</v>
      </c>
      <c r="P3" s="4">
        <v>1985</v>
      </c>
      <c r="Q3" s="4">
        <v>1986</v>
      </c>
      <c r="R3" s="4">
        <v>1987</v>
      </c>
      <c r="S3" s="4">
        <v>1988</v>
      </c>
      <c r="T3" s="4">
        <v>1989</v>
      </c>
      <c r="U3" s="4">
        <v>1990</v>
      </c>
      <c r="V3" s="4">
        <v>1991</v>
      </c>
      <c r="W3" s="4">
        <v>1992</v>
      </c>
      <c r="X3" s="4">
        <v>1993</v>
      </c>
      <c r="Y3" s="4">
        <v>1994</v>
      </c>
      <c r="Z3" s="4">
        <v>1995</v>
      </c>
      <c r="AA3" s="4">
        <v>1996</v>
      </c>
      <c r="AB3" s="4">
        <v>1997</v>
      </c>
      <c r="AC3" s="4">
        <v>1998</v>
      </c>
      <c r="AD3" s="4">
        <v>1999</v>
      </c>
      <c r="AE3" s="4">
        <v>2000</v>
      </c>
      <c r="AF3" s="4">
        <v>2001</v>
      </c>
      <c r="AG3" s="4">
        <v>2002</v>
      </c>
      <c r="AH3" s="4">
        <v>2003</v>
      </c>
      <c r="AI3" s="4">
        <v>2004</v>
      </c>
      <c r="AJ3" s="4">
        <v>2005</v>
      </c>
      <c r="AK3" s="4">
        <v>2006</v>
      </c>
      <c r="AL3" s="4">
        <v>2007</v>
      </c>
      <c r="AM3" s="4">
        <v>2008</v>
      </c>
    </row>
    <row r="4" spans="1:39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</row>
    <row r="5" spans="1:39" s="30" customFormat="1">
      <c r="A5" s="29" t="s">
        <v>2</v>
      </c>
      <c r="B5" s="61">
        <v>4665.9383262161864</v>
      </c>
      <c r="C5" s="61">
        <v>4812.5740425781478</v>
      </c>
      <c r="D5" s="61">
        <v>5034.0753835856503</v>
      </c>
      <c r="E5" s="61">
        <v>5074.5821970106072</v>
      </c>
      <c r="F5" s="61">
        <v>5078.1429683627675</v>
      </c>
      <c r="G5" s="61">
        <v>5244.7548054877334</v>
      </c>
      <c r="H5" s="61">
        <v>5375.0667963463384</v>
      </c>
      <c r="I5" s="61">
        <v>5516.5603869692959</v>
      </c>
      <c r="J5" s="61">
        <v>5632.4764184896285</v>
      </c>
      <c r="K5" s="61">
        <v>5654.7297078083011</v>
      </c>
      <c r="L5" s="61">
        <v>5655.9299637701633</v>
      </c>
      <c r="M5" s="61">
        <v>5607.0288388579411</v>
      </c>
      <c r="N5" s="61">
        <v>5679.7920852886864</v>
      </c>
      <c r="O5" s="61">
        <v>5828.424891562493</v>
      </c>
      <c r="P5" s="61">
        <v>5930.2613832876877</v>
      </c>
      <c r="Q5" s="61">
        <v>6036.5736535350979</v>
      </c>
      <c r="R5" s="61">
        <v>6145.7689956741115</v>
      </c>
      <c r="S5" s="61">
        <v>6303.1382028491844</v>
      </c>
      <c r="T5" s="61">
        <v>6422.1355395318333</v>
      </c>
      <c r="U5" s="61">
        <v>6335.3223516327062</v>
      </c>
      <c r="V5" s="61">
        <v>6320.128441635874</v>
      </c>
      <c r="W5" s="61">
        <v>6359.6004627429711</v>
      </c>
      <c r="X5" s="61">
        <v>6400.580352126206</v>
      </c>
      <c r="Y5" s="61">
        <v>6528.6221702785351</v>
      </c>
      <c r="Z5" s="61">
        <v>6659.7817181369774</v>
      </c>
      <c r="AA5" s="61">
        <v>6831.6003046890028</v>
      </c>
      <c r="AB5" s="61">
        <v>7018.2849388561672</v>
      </c>
      <c r="AC5" s="61">
        <v>7108.9130769677749</v>
      </c>
      <c r="AD5" s="61">
        <v>7279.4988547451494</v>
      </c>
      <c r="AE5" s="61">
        <v>7533.9108648451802</v>
      </c>
      <c r="AF5" s="61">
        <v>7631.1021234029522</v>
      </c>
      <c r="AG5" s="61">
        <v>7762.9474920024486</v>
      </c>
      <c r="AH5" s="61">
        <v>7971.7192788699194</v>
      </c>
      <c r="AI5" s="61">
        <v>8285.8675626203203</v>
      </c>
      <c r="AJ5" s="61">
        <v>8583.5963542017453</v>
      </c>
      <c r="AK5" s="61">
        <v>8947.1863359930467</v>
      </c>
      <c r="AL5" s="61">
        <v>9340.8973189892677</v>
      </c>
      <c r="AM5" s="61">
        <v>9549.4669773573041</v>
      </c>
    </row>
    <row r="6" spans="1:39" s="30" customFormat="1">
      <c r="A6" s="29" t="s">
        <v>3</v>
      </c>
      <c r="B6" s="61">
        <v>18619.344991622209</v>
      </c>
      <c r="C6" s="61">
        <v>19438.544425601645</v>
      </c>
      <c r="D6" s="61">
        <v>20392.136416610439</v>
      </c>
      <c r="E6" s="61">
        <v>20100.117813163284</v>
      </c>
      <c r="F6" s="61">
        <v>19867.275362184639</v>
      </c>
      <c r="G6" s="61">
        <v>20741.592766156467</v>
      </c>
      <c r="H6" s="61">
        <v>21486.978469192745</v>
      </c>
      <c r="I6" s="61">
        <v>22457.550453894146</v>
      </c>
      <c r="J6" s="61">
        <v>22908.962888594706</v>
      </c>
      <c r="K6" s="61">
        <v>22580.39486049024</v>
      </c>
      <c r="L6" s="61">
        <v>22924.785224861742</v>
      </c>
      <c r="M6" s="61">
        <v>22256.965437649105</v>
      </c>
      <c r="N6" s="61">
        <v>23052.028523511413</v>
      </c>
      <c r="O6" s="61">
        <v>24495.240995964363</v>
      </c>
      <c r="P6" s="61">
        <v>25276.550694741432</v>
      </c>
      <c r="Q6" s="61">
        <v>25906.740401274707</v>
      </c>
      <c r="R6" s="61">
        <v>26489.167898601154</v>
      </c>
      <c r="S6" s="61">
        <v>27325.829079290463</v>
      </c>
      <c r="T6" s="61">
        <v>28033.793206595336</v>
      </c>
      <c r="U6" s="61">
        <v>28235.505494022327</v>
      </c>
      <c r="V6" s="61">
        <v>27789.460813315978</v>
      </c>
      <c r="W6" s="61">
        <v>28356.481733755769</v>
      </c>
      <c r="X6" s="61">
        <v>28794.453707901434</v>
      </c>
      <c r="Y6" s="61">
        <v>29618.147311685108</v>
      </c>
      <c r="Z6" s="61">
        <v>30016.174771557606</v>
      </c>
      <c r="AA6" s="61">
        <v>30791.234418680524</v>
      </c>
      <c r="AB6" s="61">
        <v>31796.305658746031</v>
      </c>
      <c r="AC6" s="61">
        <v>32811.387848808998</v>
      </c>
      <c r="AD6" s="61">
        <v>34018.197244816132</v>
      </c>
      <c r="AE6" s="61">
        <v>35050.79440394033</v>
      </c>
      <c r="AF6" s="61">
        <v>35076.191577810961</v>
      </c>
      <c r="AG6" s="61">
        <v>35374.793008279667</v>
      </c>
      <c r="AH6" s="61">
        <v>35926.574232360719</v>
      </c>
      <c r="AI6" s="61">
        <v>36882.14339283036</v>
      </c>
      <c r="AJ6" s="61">
        <v>37665.571079193069</v>
      </c>
      <c r="AK6" s="61">
        <v>38312.505856368385</v>
      </c>
      <c r="AL6" s="61">
        <v>38752.89739077408</v>
      </c>
      <c r="AM6" s="61">
        <v>38558.849896069012</v>
      </c>
    </row>
    <row r="7" spans="1:39" s="30" customFormat="1">
      <c r="A7" s="29" t="s">
        <v>4</v>
      </c>
      <c r="B7" s="61">
        <v>3849.9509649197148</v>
      </c>
      <c r="C7" s="61">
        <v>3965.9453293225438</v>
      </c>
      <c r="D7" s="61">
        <v>4154.9331913729347</v>
      </c>
      <c r="E7" s="61">
        <v>4223.5879723958533</v>
      </c>
      <c r="F7" s="61">
        <v>4248.3423063374257</v>
      </c>
      <c r="G7" s="61">
        <v>4382.828670790067</v>
      </c>
      <c r="H7" s="61">
        <v>4486.0009989624623</v>
      </c>
      <c r="I7" s="61">
        <v>4588.523765654465</v>
      </c>
      <c r="J7" s="61">
        <v>4692.4611030138667</v>
      </c>
      <c r="K7" s="61">
        <v>4739.3506589118742</v>
      </c>
      <c r="L7" s="61">
        <v>4728.81408944951</v>
      </c>
      <c r="M7" s="61">
        <v>4720.3822215475111</v>
      </c>
      <c r="N7" s="61">
        <v>4762.6644696453068</v>
      </c>
      <c r="O7" s="61">
        <v>4851.4181324162955</v>
      </c>
      <c r="P7" s="61">
        <v>4926.2507251226898</v>
      </c>
      <c r="Q7" s="61">
        <v>5014.2647073598428</v>
      </c>
      <c r="R7" s="61">
        <v>5108.2666656586198</v>
      </c>
      <c r="S7" s="61">
        <v>5240.1670599629479</v>
      </c>
      <c r="T7" s="61">
        <v>5337.8028771171239</v>
      </c>
      <c r="U7" s="61">
        <v>5242.8117054561417</v>
      </c>
      <c r="V7" s="61">
        <v>5252.1715756676786</v>
      </c>
      <c r="W7" s="61">
        <v>5267.8986332002005</v>
      </c>
      <c r="X7" s="61">
        <v>5291.8381345611933</v>
      </c>
      <c r="Y7" s="61">
        <v>5388.5712111707944</v>
      </c>
      <c r="Z7" s="61">
        <v>5509.6535245098876</v>
      </c>
      <c r="AA7" s="61">
        <v>5654.7017491077077</v>
      </c>
      <c r="AB7" s="61">
        <v>5803.5706716763707</v>
      </c>
      <c r="AC7" s="61">
        <v>5851.3077934646308</v>
      </c>
      <c r="AD7" s="61">
        <v>5973.8007870340434</v>
      </c>
      <c r="AE7" s="61">
        <v>6192.1181007179539</v>
      </c>
      <c r="AF7" s="61">
        <v>6296.2648208103101</v>
      </c>
      <c r="AG7" s="61">
        <v>6423.958447844574</v>
      </c>
      <c r="AH7" s="61">
        <v>6620.5210616215745</v>
      </c>
      <c r="AI7" s="61">
        <v>6908.2212961632422</v>
      </c>
      <c r="AJ7" s="61">
        <v>7186.5652956547237</v>
      </c>
      <c r="AK7" s="61">
        <v>7539.9799862726368</v>
      </c>
      <c r="AL7" s="61">
        <v>7934.1714807438248</v>
      </c>
      <c r="AM7" s="61">
        <v>8165.5267510077356</v>
      </c>
    </row>
    <row r="8" spans="1:39">
      <c r="A8" s="7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</row>
    <row r="9" spans="1:39">
      <c r="A9" s="10" t="s">
        <v>5</v>
      </c>
      <c r="B9" s="11" t="s">
        <v>6</v>
      </c>
      <c r="C9" s="11" t="s">
        <v>6</v>
      </c>
      <c r="D9" s="11" t="s">
        <v>6</v>
      </c>
      <c r="E9" s="11" t="s">
        <v>6</v>
      </c>
      <c r="F9" s="11" t="s">
        <v>6</v>
      </c>
      <c r="G9" s="11" t="s">
        <v>6</v>
      </c>
      <c r="H9" s="11" t="s">
        <v>6</v>
      </c>
      <c r="I9" s="11" t="s">
        <v>6</v>
      </c>
      <c r="J9" s="11" t="s">
        <v>6</v>
      </c>
      <c r="K9" s="11" t="s">
        <v>6</v>
      </c>
      <c r="L9" s="11" t="s">
        <v>6</v>
      </c>
      <c r="M9" s="11" t="s">
        <v>6</v>
      </c>
      <c r="N9" s="11" t="s">
        <v>6</v>
      </c>
      <c r="O9" s="11" t="s">
        <v>6</v>
      </c>
      <c r="P9" s="11" t="s">
        <v>6</v>
      </c>
      <c r="Q9" s="11" t="s">
        <v>6</v>
      </c>
      <c r="R9" s="11" t="s">
        <v>6</v>
      </c>
      <c r="S9" s="11" t="s">
        <v>6</v>
      </c>
      <c r="T9" s="11" t="s">
        <v>6</v>
      </c>
      <c r="U9" s="8">
        <v>19056.245862835887</v>
      </c>
      <c r="V9" s="8">
        <v>18932.554426779006</v>
      </c>
      <c r="W9" s="8">
        <v>18916.391047230551</v>
      </c>
      <c r="X9" s="8">
        <v>18896.968866022991</v>
      </c>
      <c r="Y9" s="8">
        <v>19146.188159468009</v>
      </c>
      <c r="Z9" s="8">
        <v>19470.634279679442</v>
      </c>
      <c r="AA9" s="8">
        <v>19881.464229968351</v>
      </c>
      <c r="AB9" s="8">
        <v>20452.326964660107</v>
      </c>
      <c r="AC9" s="8">
        <v>20892.484690065379</v>
      </c>
      <c r="AD9" s="8">
        <v>21499.734247218563</v>
      </c>
      <c r="AE9" s="8">
        <v>22308.322086392745</v>
      </c>
      <c r="AF9" s="8">
        <v>22558.236069657778</v>
      </c>
      <c r="AG9" s="8">
        <v>22864.746734988195</v>
      </c>
      <c r="AH9" s="8">
        <v>23289.319458339316</v>
      </c>
      <c r="AI9" s="8">
        <v>23996.443373586375</v>
      </c>
      <c r="AJ9" s="8">
        <v>24573.254953743843</v>
      </c>
      <c r="AK9" s="8">
        <v>25267.908938112956</v>
      </c>
      <c r="AL9" s="8">
        <v>25895.578540147369</v>
      </c>
      <c r="AM9" s="8">
        <v>25991.370466004246</v>
      </c>
    </row>
    <row r="10" spans="1:39">
      <c r="A10" s="10" t="s">
        <v>7</v>
      </c>
      <c r="B10" s="8">
        <v>14952.038780715697</v>
      </c>
      <c r="C10" s="8">
        <v>15619.601847141455</v>
      </c>
      <c r="D10" s="8">
        <v>16445.502801615556</v>
      </c>
      <c r="E10" s="8">
        <v>16464.085277269893</v>
      </c>
      <c r="F10" s="8">
        <v>16361.234464651727</v>
      </c>
      <c r="G10" s="8">
        <v>17017.112197513379</v>
      </c>
      <c r="H10" s="8">
        <v>17517.37011471864</v>
      </c>
      <c r="I10" s="8">
        <v>18150.011756723165</v>
      </c>
      <c r="J10" s="8">
        <v>18689.439452129376</v>
      </c>
      <c r="K10" s="8">
        <v>18763.655243753998</v>
      </c>
      <c r="L10" s="8">
        <v>18945.643548329786</v>
      </c>
      <c r="M10" s="8">
        <v>18822.37919081498</v>
      </c>
      <c r="N10" s="8">
        <v>19251.254966490833</v>
      </c>
      <c r="O10" s="8">
        <v>20018.909623219573</v>
      </c>
      <c r="P10" s="8">
        <v>20639.16581066155</v>
      </c>
      <c r="Q10" s="8">
        <v>21154.299509228254</v>
      </c>
      <c r="R10" s="8">
        <v>21708.077702439899</v>
      </c>
      <c r="S10" s="8">
        <v>22557.831693423752</v>
      </c>
      <c r="T10" s="8">
        <v>23270.264209795652</v>
      </c>
      <c r="U10" s="8">
        <v>23729.8570492197</v>
      </c>
      <c r="V10" s="8">
        <v>23807.329382821481</v>
      </c>
      <c r="W10" s="8">
        <v>24099.439237599661</v>
      </c>
      <c r="X10" s="8">
        <v>24209.556507689165</v>
      </c>
      <c r="Y10" s="8">
        <v>24815.922308856327</v>
      </c>
      <c r="Z10" s="8">
        <v>25286.573874975238</v>
      </c>
      <c r="AA10" s="8">
        <v>25826.632085779809</v>
      </c>
      <c r="AB10" s="8">
        <v>26530.87997823059</v>
      </c>
      <c r="AC10" s="8">
        <v>27137.48687309771</v>
      </c>
      <c r="AD10" s="8">
        <v>27903.122227884418</v>
      </c>
      <c r="AE10" s="8">
        <v>28800.060015988634</v>
      </c>
      <c r="AF10" s="8">
        <v>29012.225792929996</v>
      </c>
      <c r="AG10" s="8">
        <v>29234.766917293233</v>
      </c>
      <c r="AH10" s="8">
        <v>29572.034769819431</v>
      </c>
      <c r="AI10" s="8">
        <v>30247.60199032235</v>
      </c>
      <c r="AJ10" s="8">
        <v>30779.270676930475</v>
      </c>
      <c r="AK10" s="8">
        <v>31417.948018758856</v>
      </c>
      <c r="AL10" s="8">
        <v>31964.909453497978</v>
      </c>
      <c r="AM10" s="8">
        <v>31873.93463343164</v>
      </c>
    </row>
    <row r="11" spans="1:39">
      <c r="A11" s="10" t="s">
        <v>8</v>
      </c>
      <c r="B11" s="8">
        <v>18352.560808868995</v>
      </c>
      <c r="C11" s="8">
        <v>19157.235657485504</v>
      </c>
      <c r="D11" s="8">
        <v>20108.266398215252</v>
      </c>
      <c r="E11" s="8">
        <v>19881.033856345002</v>
      </c>
      <c r="F11" s="8">
        <v>19675.774911761262</v>
      </c>
      <c r="G11" s="8">
        <v>20530.985029146792</v>
      </c>
      <c r="H11" s="8">
        <v>21244.300555293732</v>
      </c>
      <c r="I11" s="8">
        <v>22174.681254866337</v>
      </c>
      <c r="J11" s="8">
        <v>22635.31053957354</v>
      </c>
      <c r="K11" s="8">
        <v>22355.028107928101</v>
      </c>
      <c r="L11" s="8">
        <v>22709.509943962203</v>
      </c>
      <c r="M11" s="8">
        <v>22025.391027260186</v>
      </c>
      <c r="N11" s="8">
        <v>22775.832791038854</v>
      </c>
      <c r="O11" s="8">
        <v>24173.064224945709</v>
      </c>
      <c r="P11" s="8">
        <v>24957.238186027509</v>
      </c>
      <c r="Q11" s="8">
        <v>25555.856257707572</v>
      </c>
      <c r="R11" s="8">
        <v>26142.975973857177</v>
      </c>
      <c r="S11" s="8">
        <v>26977.962354654905</v>
      </c>
      <c r="T11" s="8">
        <v>27631.728220662339</v>
      </c>
      <c r="U11" s="8">
        <v>27780.758766626361</v>
      </c>
      <c r="V11" s="8">
        <v>27301.690183863877</v>
      </c>
      <c r="W11" s="8">
        <v>27805.848723943454</v>
      </c>
      <c r="X11" s="8">
        <v>28228.925794294853</v>
      </c>
      <c r="Y11" s="8">
        <v>29055.410044587901</v>
      </c>
      <c r="Z11" s="8">
        <v>29456.331744905201</v>
      </c>
      <c r="AA11" s="8">
        <v>30168.863839852467</v>
      </c>
      <c r="AB11" s="8">
        <v>31153.091816789056</v>
      </c>
      <c r="AC11" s="8">
        <v>32150.772585852847</v>
      </c>
      <c r="AD11" s="8">
        <v>33360.934881783753</v>
      </c>
      <c r="AE11" s="8">
        <v>34407.270543821607</v>
      </c>
      <c r="AF11" s="8">
        <v>34449.108952208728</v>
      </c>
      <c r="AG11" s="8">
        <v>34769.148646406335</v>
      </c>
      <c r="AH11" s="8">
        <v>35294.383144781284</v>
      </c>
      <c r="AI11" s="8">
        <v>36218.033809935165</v>
      </c>
      <c r="AJ11" s="8">
        <v>36984.881854265099</v>
      </c>
      <c r="AK11" s="8">
        <v>37622.352110466025</v>
      </c>
      <c r="AL11" s="8">
        <v>38062.503548282039</v>
      </c>
      <c r="AM11" s="8">
        <v>37861.621519227127</v>
      </c>
    </row>
    <row r="12" spans="1:39">
      <c r="A12" s="10" t="s">
        <v>9</v>
      </c>
      <c r="B12" s="8">
        <v>13403.164128595599</v>
      </c>
      <c r="C12" s="8">
        <v>13934.021294847857</v>
      </c>
      <c r="D12" s="8">
        <v>14717.891443295519</v>
      </c>
      <c r="E12" s="8">
        <v>15007.019161088081</v>
      </c>
      <c r="F12" s="8">
        <v>14842.954650464673</v>
      </c>
      <c r="G12" s="8">
        <v>15451.828314673683</v>
      </c>
      <c r="H12" s="8">
        <v>15833.936348040294</v>
      </c>
      <c r="I12" s="8">
        <v>16257.421347283154</v>
      </c>
      <c r="J12" s="8">
        <v>16789.558915092795</v>
      </c>
      <c r="K12" s="8">
        <v>16997.174711080897</v>
      </c>
      <c r="L12" s="8">
        <v>16980.435418993202</v>
      </c>
      <c r="M12" s="8">
        <v>17098.064198492695</v>
      </c>
      <c r="N12" s="8">
        <v>17367.683763546585</v>
      </c>
      <c r="O12" s="8">
        <v>17785.335074212151</v>
      </c>
      <c r="P12" s="8">
        <v>18219.729021520463</v>
      </c>
      <c r="Q12" s="8">
        <v>18691.877699214456</v>
      </c>
      <c r="R12" s="8">
        <v>19172.830832269621</v>
      </c>
      <c r="S12" s="8">
        <v>19909.46753944474</v>
      </c>
      <c r="T12" s="8">
        <v>20555.153851478346</v>
      </c>
      <c r="U12" s="8">
        <v>21070.78015876171</v>
      </c>
      <c r="V12" s="8">
        <v>21358.718592699683</v>
      </c>
      <c r="W12" s="8">
        <v>21510.546373313511</v>
      </c>
      <c r="X12" s="8">
        <v>21367.893781421168</v>
      </c>
      <c r="Y12" s="8">
        <v>21906.25464579785</v>
      </c>
      <c r="Z12" s="8">
        <v>22413.598905386705</v>
      </c>
      <c r="AA12" s="8">
        <v>22763.920561414434</v>
      </c>
      <c r="AB12" s="8">
        <v>23337.412501455612</v>
      </c>
      <c r="AC12" s="8">
        <v>23978.247342561106</v>
      </c>
      <c r="AD12" s="8">
        <v>24630.457728349294</v>
      </c>
      <c r="AE12" s="8">
        <v>25493.139864695051</v>
      </c>
      <c r="AF12" s="8">
        <v>25872.029978455539</v>
      </c>
      <c r="AG12" s="8">
        <v>26033.310481413773</v>
      </c>
      <c r="AH12" s="8">
        <v>26178.964931455677</v>
      </c>
      <c r="AI12" s="8">
        <v>26639.404430395625</v>
      </c>
      <c r="AJ12" s="8">
        <v>26966.434033725545</v>
      </c>
      <c r="AK12" s="8">
        <v>27617.44072726732</v>
      </c>
      <c r="AL12" s="8">
        <v>28186.531498556877</v>
      </c>
      <c r="AM12" s="8">
        <v>28180.732277330564</v>
      </c>
    </row>
    <row r="13" spans="1:39">
      <c r="A13" s="10" t="s">
        <v>10</v>
      </c>
      <c r="B13" s="8">
        <v>13037.771076872237</v>
      </c>
      <c r="C13" s="8">
        <v>13827.355831119947</v>
      </c>
      <c r="D13" s="8">
        <v>14539.721246025485</v>
      </c>
      <c r="E13" s="8">
        <v>14232.279659618602</v>
      </c>
      <c r="F13" s="8">
        <v>14468.546233621062</v>
      </c>
      <c r="G13" s="8">
        <v>14857.847013750796</v>
      </c>
      <c r="H13" s="8">
        <v>15258.696709846134</v>
      </c>
      <c r="I13" s="8">
        <v>15876.371142719385</v>
      </c>
      <c r="J13" s="8">
        <v>16538.049567516697</v>
      </c>
      <c r="K13" s="8">
        <v>16865.499848160522</v>
      </c>
      <c r="L13" s="8">
        <v>17225.672786581737</v>
      </c>
      <c r="M13" s="8">
        <v>17460.670553935863</v>
      </c>
      <c r="N13" s="8">
        <v>17674.172664472495</v>
      </c>
      <c r="O13" s="8">
        <v>18148.613904050559</v>
      </c>
      <c r="P13" s="8">
        <v>18905.585428820013</v>
      </c>
      <c r="Q13" s="8">
        <v>19326.020097226356</v>
      </c>
      <c r="R13" s="8">
        <v>19955.209793411421</v>
      </c>
      <c r="S13" s="8">
        <v>21081.489574797415</v>
      </c>
      <c r="T13" s="8">
        <v>22029.404591854513</v>
      </c>
      <c r="U13" s="8">
        <v>22881.610047896636</v>
      </c>
      <c r="V13" s="8">
        <v>23422.914870875429</v>
      </c>
      <c r="W13" s="8">
        <v>23607.376194136381</v>
      </c>
      <c r="X13" s="8">
        <v>23696.382923461784</v>
      </c>
      <c r="Y13" s="8">
        <v>23969.879764158009</v>
      </c>
      <c r="Z13" s="8">
        <v>24409.625320369392</v>
      </c>
      <c r="AA13" s="8">
        <v>25021.526365914451</v>
      </c>
      <c r="AB13" s="8">
        <v>25414.709168495159</v>
      </c>
      <c r="AC13" s="8">
        <v>25045.085402737448</v>
      </c>
      <c r="AD13" s="8">
        <v>25100.154454095038</v>
      </c>
      <c r="AE13" s="8">
        <v>25694.028905932446</v>
      </c>
      <c r="AF13" s="8">
        <v>25765.146340007563</v>
      </c>
      <c r="AG13" s="8">
        <v>25883.584240765351</v>
      </c>
      <c r="AH13" s="8">
        <v>26274.138601335013</v>
      </c>
      <c r="AI13" s="8">
        <v>26935.835414749574</v>
      </c>
      <c r="AJ13" s="8">
        <v>27447.265548136587</v>
      </c>
      <c r="AK13" s="8">
        <v>27992.166999312896</v>
      </c>
      <c r="AL13" s="8">
        <v>28650.527456458734</v>
      </c>
      <c r="AM13" s="8">
        <v>28516.594901993994</v>
      </c>
    </row>
    <row r="14" spans="1:39">
      <c r="A14" s="10" t="s">
        <v>11</v>
      </c>
      <c r="B14" s="11" t="s">
        <v>6</v>
      </c>
      <c r="C14" s="11" t="s">
        <v>6</v>
      </c>
      <c r="D14" s="11" t="s">
        <v>6</v>
      </c>
      <c r="E14" s="11" t="s">
        <v>6</v>
      </c>
      <c r="F14" s="11" t="s">
        <v>6</v>
      </c>
      <c r="G14" s="11" t="s">
        <v>6</v>
      </c>
      <c r="H14" s="11" t="s">
        <v>6</v>
      </c>
      <c r="I14" s="11" t="s">
        <v>6</v>
      </c>
      <c r="J14" s="11" t="s">
        <v>6</v>
      </c>
      <c r="K14" s="11" t="s">
        <v>6</v>
      </c>
      <c r="L14" s="11" t="s">
        <v>6</v>
      </c>
      <c r="M14" s="11" t="s">
        <v>6</v>
      </c>
      <c r="N14" s="11" t="s">
        <v>6</v>
      </c>
      <c r="O14" s="11" t="s">
        <v>6</v>
      </c>
      <c r="P14" s="11" t="s">
        <v>6</v>
      </c>
      <c r="Q14" s="11" t="s">
        <v>6</v>
      </c>
      <c r="R14" s="11" t="s">
        <v>6</v>
      </c>
      <c r="S14" s="11" t="s">
        <v>6</v>
      </c>
      <c r="T14" s="11" t="s">
        <v>6</v>
      </c>
      <c r="U14" s="8">
        <v>9401.2987660786985</v>
      </c>
      <c r="V14" s="8">
        <v>8708.6744217207997</v>
      </c>
      <c r="W14" s="8">
        <v>7787.3584364398321</v>
      </c>
      <c r="X14" s="8">
        <v>7282.8688240852489</v>
      </c>
      <c r="Y14" s="8">
        <v>6694.7685947058299</v>
      </c>
      <c r="Z14" s="8">
        <v>6545.179300314343</v>
      </c>
      <c r="AA14" s="8">
        <v>6510.8040335058422</v>
      </c>
      <c r="AB14" s="8">
        <v>6644.207922505846</v>
      </c>
      <c r="AC14" s="8">
        <v>6592.8075271533207</v>
      </c>
      <c r="AD14" s="8">
        <v>6868.0745223535368</v>
      </c>
      <c r="AE14" s="8">
        <v>7363.3266577729946</v>
      </c>
      <c r="AF14" s="8">
        <v>7737.4493765107009</v>
      </c>
      <c r="AG14" s="8">
        <v>8098.5029660648706</v>
      </c>
      <c r="AH14" s="8">
        <v>8638.4487301766912</v>
      </c>
      <c r="AI14" s="8">
        <v>9287.1856481857285</v>
      </c>
      <c r="AJ14" s="8">
        <v>9826.5263542237171</v>
      </c>
      <c r="AK14" s="8">
        <v>10574.064803635758</v>
      </c>
      <c r="AL14" s="8">
        <v>11370.744572669479</v>
      </c>
      <c r="AM14" s="8">
        <v>11939.751275174844</v>
      </c>
    </row>
    <row r="15" spans="1:39">
      <c r="A15" s="10" t="s">
        <v>12</v>
      </c>
      <c r="B15" s="11" t="s">
        <v>6</v>
      </c>
      <c r="C15" s="11" t="s">
        <v>6</v>
      </c>
      <c r="D15" s="11" t="s">
        <v>6</v>
      </c>
      <c r="E15" s="11" t="s">
        <v>6</v>
      </c>
      <c r="F15" s="11" t="s">
        <v>6</v>
      </c>
      <c r="G15" s="11" t="s">
        <v>6</v>
      </c>
      <c r="H15" s="11" t="s">
        <v>6</v>
      </c>
      <c r="I15" s="11" t="s">
        <v>6</v>
      </c>
      <c r="J15" s="11" t="s">
        <v>6</v>
      </c>
      <c r="K15" s="11" t="s">
        <v>6</v>
      </c>
      <c r="L15" s="11" t="s">
        <v>6</v>
      </c>
      <c r="M15" s="11" t="s">
        <v>6</v>
      </c>
      <c r="N15" s="11" t="s">
        <v>6</v>
      </c>
      <c r="O15" s="11" t="s">
        <v>6</v>
      </c>
      <c r="P15" s="11" t="s">
        <v>6</v>
      </c>
      <c r="Q15" s="11" t="s">
        <v>6</v>
      </c>
      <c r="R15" s="11" t="s">
        <v>6</v>
      </c>
      <c r="S15" s="11" t="s">
        <v>6</v>
      </c>
      <c r="T15" s="11" t="s">
        <v>6</v>
      </c>
      <c r="U15" s="8">
        <v>2679.7070946585291</v>
      </c>
      <c r="V15" s="8">
        <v>2741.3059794245833</v>
      </c>
      <c r="W15" s="8">
        <v>2840.5817384674397</v>
      </c>
      <c r="X15" s="8">
        <v>2941.4399330554315</v>
      </c>
      <c r="Y15" s="8">
        <v>3080.212079624233</v>
      </c>
      <c r="Z15" s="8">
        <v>3202.1646348483719</v>
      </c>
      <c r="AA15" s="8">
        <v>3353.932596620949</v>
      </c>
      <c r="AB15" s="8">
        <v>3481.6494038208243</v>
      </c>
      <c r="AC15" s="8">
        <v>3524.0254235213761</v>
      </c>
      <c r="AD15" s="8">
        <v>3624.643136551575</v>
      </c>
      <c r="AE15" s="8">
        <v>3776.8346368433595</v>
      </c>
      <c r="AF15" s="8">
        <v>3876.1350186691711</v>
      </c>
      <c r="AG15" s="8">
        <v>4004.309032786668</v>
      </c>
      <c r="AH15" s="8">
        <v>4197.7929055135846</v>
      </c>
      <c r="AI15" s="8">
        <v>4452.9430051308536</v>
      </c>
      <c r="AJ15" s="8">
        <v>4719.1062625793447</v>
      </c>
      <c r="AK15" s="8">
        <v>5038.7489486939903</v>
      </c>
      <c r="AL15" s="8">
        <v>5409.1769540545765</v>
      </c>
      <c r="AM15" s="8">
        <v>5676.8850827235019</v>
      </c>
    </row>
    <row r="16" spans="1:39">
      <c r="A16" s="10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spans="1:48">
      <c r="A17" s="10" t="s">
        <v>13</v>
      </c>
      <c r="B17" s="11" t="s">
        <v>6</v>
      </c>
      <c r="C17" s="11" t="s">
        <v>6</v>
      </c>
      <c r="D17" s="11" t="s">
        <v>6</v>
      </c>
      <c r="E17" s="11" t="s">
        <v>6</v>
      </c>
      <c r="F17" s="11" t="s">
        <v>6</v>
      </c>
      <c r="G17" s="11" t="s">
        <v>6</v>
      </c>
      <c r="H17" s="11" t="s">
        <v>6</v>
      </c>
      <c r="I17" s="11" t="s">
        <v>6</v>
      </c>
      <c r="J17" s="11" t="s">
        <v>6</v>
      </c>
      <c r="K17" s="11" t="s">
        <v>6</v>
      </c>
      <c r="L17" s="11" t="s">
        <v>6</v>
      </c>
      <c r="M17" s="11" t="s">
        <v>6</v>
      </c>
      <c r="N17" s="11" t="s">
        <v>6</v>
      </c>
      <c r="O17" s="11" t="s">
        <v>6</v>
      </c>
      <c r="P17" s="11" t="s">
        <v>6</v>
      </c>
      <c r="Q17" s="11" t="s">
        <v>6</v>
      </c>
      <c r="R17" s="11" t="s">
        <v>6</v>
      </c>
      <c r="S17" s="11" t="s">
        <v>6</v>
      </c>
      <c r="T17" s="11" t="s">
        <v>6</v>
      </c>
      <c r="U17" s="8">
        <v>17291.68023520874</v>
      </c>
      <c r="V17" s="8">
        <v>17240.790942248608</v>
      </c>
      <c r="W17" s="8">
        <v>17018.482222720435</v>
      </c>
      <c r="X17" s="8">
        <v>16813.226401634631</v>
      </c>
      <c r="Y17" s="8">
        <v>16931.472606758067</v>
      </c>
      <c r="Z17" s="8">
        <v>17212.526859430574</v>
      </c>
      <c r="AA17" s="8">
        <v>17488.256479272866</v>
      </c>
      <c r="AB17" s="8">
        <v>17902.848085670637</v>
      </c>
      <c r="AC17" s="8">
        <v>18154.239652234457</v>
      </c>
      <c r="AD17" s="8">
        <v>18620.942246631766</v>
      </c>
      <c r="AE17" s="8">
        <v>19359.777266912752</v>
      </c>
      <c r="AF17" s="8">
        <v>19723.404012416504</v>
      </c>
      <c r="AG17" s="8">
        <v>20003.122431460975</v>
      </c>
      <c r="AH17" s="8">
        <v>20372.02029154015</v>
      </c>
      <c r="AI17" s="8">
        <v>20975.30885221186</v>
      </c>
      <c r="AJ17" s="8">
        <v>21451.633330916604</v>
      </c>
      <c r="AK17" s="8">
        <v>22146.705903101229</v>
      </c>
      <c r="AL17" s="8">
        <v>22834.432755605812</v>
      </c>
      <c r="AM17" s="8">
        <v>23012.677109151507</v>
      </c>
    </row>
    <row r="18" spans="1:48">
      <c r="A18" s="7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2"/>
      <c r="AO18" s="2"/>
      <c r="AP18" s="2"/>
      <c r="AQ18" s="2"/>
      <c r="AR18" s="2"/>
      <c r="AS18" s="2"/>
      <c r="AT18" s="2"/>
      <c r="AU18" s="2"/>
      <c r="AV18" s="2"/>
    </row>
    <row r="19" spans="1:48">
      <c r="A19" s="7" t="s">
        <v>14</v>
      </c>
      <c r="B19" s="8">
        <v>13117.306056722951</v>
      </c>
      <c r="C19" s="9">
        <v>11472.611000000001</v>
      </c>
      <c r="D19" s="9">
        <v>12210.47</v>
      </c>
      <c r="E19" s="9">
        <v>12314.142</v>
      </c>
      <c r="F19" s="9">
        <v>12381.402</v>
      </c>
      <c r="G19" s="9">
        <v>12962.266</v>
      </c>
      <c r="H19" s="9">
        <v>13452.277</v>
      </c>
      <c r="I19" s="9">
        <v>14059.918</v>
      </c>
      <c r="J19" s="9">
        <v>14599.228999999999</v>
      </c>
      <c r="K19" s="9">
        <v>14785.981</v>
      </c>
      <c r="L19" s="9">
        <v>15067.913</v>
      </c>
      <c r="M19" s="9">
        <v>15084.638999999999</v>
      </c>
      <c r="N19" s="9">
        <v>15495.76</v>
      </c>
      <c r="O19" s="9">
        <v>16203.673000000001</v>
      </c>
      <c r="P19" s="9">
        <v>16817.373</v>
      </c>
      <c r="Q19" s="9">
        <v>17324.392</v>
      </c>
      <c r="R19" s="9">
        <v>17896.811000000002</v>
      </c>
      <c r="S19" s="9">
        <v>18723.311000000002</v>
      </c>
      <c r="T19" s="9">
        <v>19450.84</v>
      </c>
      <c r="U19" s="9">
        <v>20022.350999999999</v>
      </c>
      <c r="V19" s="9">
        <v>20274.564999999999</v>
      </c>
      <c r="W19" s="9">
        <v>20698.825000000001</v>
      </c>
      <c r="X19" s="9">
        <v>20984.317999999999</v>
      </c>
      <c r="Y19" s="9">
        <v>21633.866000000002</v>
      </c>
      <c r="Z19" s="9">
        <v>22166.14</v>
      </c>
      <c r="AA19" s="9">
        <v>22833.644</v>
      </c>
      <c r="AB19" s="9">
        <v>23615.433000000001</v>
      </c>
      <c r="AC19" s="9">
        <v>24188.871999999999</v>
      </c>
      <c r="AD19" s="9">
        <v>24981.239000000001</v>
      </c>
      <c r="AE19" s="9">
        <v>25979.018</v>
      </c>
      <c r="AF19" s="9">
        <v>26300.457999999999</v>
      </c>
      <c r="AG19" s="9">
        <v>26699.171999999999</v>
      </c>
      <c r="AH19" s="9">
        <v>27205.723999999998</v>
      </c>
      <c r="AI19" s="9">
        <v>28058.429</v>
      </c>
      <c r="AJ19" s="9">
        <v>28779.949000000001</v>
      </c>
      <c r="AK19" s="9">
        <v>29609.288</v>
      </c>
      <c r="AL19" s="9">
        <v>30371.409</v>
      </c>
      <c r="AM19" s="9">
        <v>30503.68</v>
      </c>
      <c r="AN19" s="12"/>
      <c r="AO19" s="12"/>
      <c r="AP19" s="12"/>
      <c r="AQ19" s="12"/>
      <c r="AR19" s="12"/>
      <c r="AS19" s="12"/>
      <c r="AT19" s="12"/>
      <c r="AU19" s="12"/>
      <c r="AV19" s="12"/>
    </row>
    <row r="20" spans="1:48">
      <c r="A20" s="7" t="s">
        <v>15</v>
      </c>
      <c r="B20" s="8">
        <v>2075.8684660219415</v>
      </c>
      <c r="C20" s="9">
        <v>2189.7849999999999</v>
      </c>
      <c r="D20" s="9">
        <v>2366.3330000000001</v>
      </c>
      <c r="E20" s="9">
        <v>2506.1350000000002</v>
      </c>
      <c r="F20" s="9">
        <v>2604.4389999999999</v>
      </c>
      <c r="G20" s="9">
        <v>2772.0889999999999</v>
      </c>
      <c r="H20" s="9">
        <v>2929.5070000000001</v>
      </c>
      <c r="I20" s="9">
        <v>3052.1</v>
      </c>
      <c r="J20" s="9">
        <v>3238.4949999999999</v>
      </c>
      <c r="K20" s="9">
        <v>3351.9110000000001</v>
      </c>
      <c r="L20" s="9">
        <v>3361.002</v>
      </c>
      <c r="M20" s="9">
        <v>3390.0120000000002</v>
      </c>
      <c r="N20" s="9">
        <v>3489.4650000000001</v>
      </c>
      <c r="O20" s="9">
        <v>3633</v>
      </c>
      <c r="P20" s="9">
        <v>3722.3119999999999</v>
      </c>
      <c r="Q20" s="9">
        <v>3887.6819999999998</v>
      </c>
      <c r="R20" s="9">
        <v>4045.6529999999998</v>
      </c>
      <c r="S20" s="9">
        <v>4190.5339999999997</v>
      </c>
      <c r="T20" s="9">
        <v>4314.2929999999997</v>
      </c>
      <c r="U20" s="9">
        <v>4206.4359999999997</v>
      </c>
      <c r="V20" s="9">
        <v>4308.6090000000004</v>
      </c>
      <c r="W20" s="9">
        <v>4436.201</v>
      </c>
      <c r="X20" s="9">
        <v>4596.3440000000001</v>
      </c>
      <c r="Y20" s="9">
        <v>4798.84</v>
      </c>
      <c r="Z20" s="9">
        <v>5024.5550000000003</v>
      </c>
      <c r="AA20" s="9">
        <v>5281.3559999999998</v>
      </c>
      <c r="AB20" s="9">
        <v>5547.7</v>
      </c>
      <c r="AC20" s="9">
        <v>5667.6</v>
      </c>
      <c r="AD20" s="9">
        <v>5855.0649999999996</v>
      </c>
      <c r="AE20" s="9">
        <v>6171.0950000000003</v>
      </c>
      <c r="AF20" s="9">
        <v>6373.8850000000002</v>
      </c>
      <c r="AG20" s="9">
        <v>6613.6090000000004</v>
      </c>
      <c r="AH20" s="9">
        <v>7001</v>
      </c>
      <c r="AI20" s="9">
        <v>7538.7830000000004</v>
      </c>
      <c r="AJ20" s="9">
        <v>8069.3239999999996</v>
      </c>
      <c r="AK20" s="9">
        <v>8691.3619999999992</v>
      </c>
      <c r="AL20" s="9">
        <v>9412.2610000000004</v>
      </c>
      <c r="AM20" s="9">
        <v>9977.8359999999993</v>
      </c>
      <c r="AN20" s="12"/>
      <c r="AO20" s="12"/>
      <c r="AP20" s="12"/>
      <c r="AQ20" s="12"/>
      <c r="AR20" s="12"/>
      <c r="AS20" s="12"/>
      <c r="AT20" s="12"/>
      <c r="AU20" s="12"/>
      <c r="AV20" s="12"/>
    </row>
    <row r="21" spans="1:48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5"/>
      <c r="AO21" s="15"/>
      <c r="AP21" s="15"/>
      <c r="AQ21" s="15"/>
      <c r="AR21" s="15"/>
      <c r="AS21" s="15"/>
      <c r="AT21" s="15"/>
      <c r="AU21" s="15"/>
      <c r="AV21" s="15"/>
    </row>
    <row r="22" spans="1:48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2"/>
      <c r="AO22" s="2"/>
      <c r="AP22" s="2"/>
      <c r="AQ22" s="2"/>
      <c r="AR22" s="2"/>
      <c r="AS22" s="2"/>
      <c r="AT22" s="2"/>
      <c r="AU22" s="2"/>
      <c r="AV22" s="2"/>
    </row>
    <row r="23" spans="1:48">
      <c r="A23" s="18" t="s">
        <v>16</v>
      </c>
      <c r="B23" s="4">
        <v>1971</v>
      </c>
      <c r="C23" s="4">
        <v>1972</v>
      </c>
      <c r="D23" s="4">
        <v>1973</v>
      </c>
      <c r="E23" s="4">
        <v>1974</v>
      </c>
      <c r="F23" s="4">
        <v>1975</v>
      </c>
      <c r="G23" s="4">
        <v>1976</v>
      </c>
      <c r="H23" s="4">
        <v>1977</v>
      </c>
      <c r="I23" s="4">
        <v>1978</v>
      </c>
      <c r="J23" s="4">
        <v>1979</v>
      </c>
      <c r="K23" s="4">
        <v>1980</v>
      </c>
      <c r="L23" s="4">
        <v>1981</v>
      </c>
      <c r="M23" s="4">
        <v>1982</v>
      </c>
      <c r="N23" s="4">
        <v>1983</v>
      </c>
      <c r="O23" s="4">
        <v>1984</v>
      </c>
      <c r="P23" s="4">
        <v>1985</v>
      </c>
      <c r="Q23" s="4">
        <v>1986</v>
      </c>
      <c r="R23" s="4">
        <v>1987</v>
      </c>
      <c r="S23" s="4">
        <v>1988</v>
      </c>
      <c r="T23" s="4">
        <v>1989</v>
      </c>
      <c r="U23" s="4">
        <v>1990</v>
      </c>
      <c r="V23" s="4">
        <v>1991</v>
      </c>
      <c r="W23" s="4">
        <v>1992</v>
      </c>
      <c r="X23" s="4">
        <v>1993</v>
      </c>
      <c r="Y23" s="4">
        <v>1994</v>
      </c>
      <c r="Z23" s="4">
        <v>1995</v>
      </c>
      <c r="AA23" s="4">
        <v>1996</v>
      </c>
      <c r="AB23" s="4">
        <v>1997</v>
      </c>
      <c r="AC23" s="4">
        <v>1998</v>
      </c>
      <c r="AD23" s="4">
        <v>1999</v>
      </c>
      <c r="AE23" s="4">
        <v>2000</v>
      </c>
      <c r="AF23" s="4">
        <v>2001</v>
      </c>
      <c r="AG23" s="4">
        <v>2002</v>
      </c>
      <c r="AH23" s="4">
        <v>2003</v>
      </c>
      <c r="AI23" s="4">
        <v>2004</v>
      </c>
      <c r="AJ23" s="4">
        <v>2005</v>
      </c>
      <c r="AK23" s="4">
        <v>2006</v>
      </c>
      <c r="AL23" s="4">
        <v>2007</v>
      </c>
      <c r="AM23" s="4">
        <v>2008</v>
      </c>
      <c r="AN23" s="2"/>
      <c r="AO23" s="2"/>
      <c r="AP23" s="2"/>
      <c r="AQ23" s="2"/>
      <c r="AR23" s="2"/>
      <c r="AS23" s="2"/>
      <c r="AT23" s="2"/>
      <c r="AU23" s="2"/>
      <c r="AV23" s="2"/>
    </row>
    <row r="24" spans="1:48">
      <c r="A24" s="19" t="s">
        <v>17</v>
      </c>
      <c r="B24" s="8">
        <v>15829.614789181313</v>
      </c>
      <c r="C24" s="8">
        <v>16499.324871725628</v>
      </c>
      <c r="D24" s="8">
        <v>17433.398541703715</v>
      </c>
      <c r="E24" s="8">
        <v>17826.420554191511</v>
      </c>
      <c r="F24" s="8">
        <v>17888.605625891199</v>
      </c>
      <c r="G24" s="8">
        <v>18572.324093816631</v>
      </c>
      <c r="H24" s="8">
        <v>18991.106802663744</v>
      </c>
      <c r="I24" s="8">
        <v>19546.676125693779</v>
      </c>
      <c r="J24" s="8">
        <v>20090.033881497395</v>
      </c>
      <c r="K24" s="8">
        <v>20261.625061184535</v>
      </c>
      <c r="L24" s="8">
        <v>20714.544721998387</v>
      </c>
      <c r="M24" s="8">
        <v>19884.381096468525</v>
      </c>
      <c r="N24" s="8">
        <v>20224.31601356146</v>
      </c>
      <c r="O24" s="8">
        <v>21198.851876440036</v>
      </c>
      <c r="P24" s="8">
        <v>22010.177230864487</v>
      </c>
      <c r="Q24" s="8">
        <v>22320.15325670498</v>
      </c>
      <c r="R24" s="8">
        <v>22964.154724543427</v>
      </c>
      <c r="S24" s="8">
        <v>23796.095849507314</v>
      </c>
      <c r="T24" s="8">
        <v>23985.225647981817</v>
      </c>
      <c r="U24" s="8">
        <v>23672.240078003684</v>
      </c>
      <c r="V24" s="8">
        <v>22890.92984270785</v>
      </c>
      <c r="W24" s="8">
        <v>22819.428289450498</v>
      </c>
      <c r="X24" s="8">
        <v>23097.437685201327</v>
      </c>
      <c r="Y24" s="8">
        <v>23943.312299575875</v>
      </c>
      <c r="Z24" s="8">
        <v>24362.910381543923</v>
      </c>
      <c r="AA24" s="8">
        <v>24499.763593380616</v>
      </c>
      <c r="AB24" s="8">
        <v>25282.351367618539</v>
      </c>
      <c r="AC24" s="8">
        <v>26100.978278892388</v>
      </c>
      <c r="AD24" s="8">
        <v>27321.930199664486</v>
      </c>
      <c r="AE24" s="8">
        <v>28484.716157205239</v>
      </c>
      <c r="AF24" s="8">
        <v>28681.582256036625</v>
      </c>
      <c r="AG24" s="8">
        <v>29204.981820501373</v>
      </c>
      <c r="AH24" s="8">
        <v>29485.398230088496</v>
      </c>
      <c r="AI24" s="8">
        <v>30118.812811120504</v>
      </c>
      <c r="AJ24" s="8">
        <v>30735.586912699644</v>
      </c>
      <c r="AK24" s="8">
        <v>31291.564341846759</v>
      </c>
      <c r="AL24" s="8">
        <v>31736.821328798731</v>
      </c>
      <c r="AM24" s="8">
        <v>31490.6232184115</v>
      </c>
      <c r="AN24" s="2"/>
      <c r="AO24" s="2"/>
      <c r="AP24" s="2"/>
      <c r="AQ24" s="2"/>
      <c r="AR24" s="2"/>
      <c r="AS24" s="2"/>
      <c r="AT24" s="2"/>
      <c r="AU24" s="2"/>
      <c r="AV24" s="2"/>
    </row>
    <row r="25" spans="1:48">
      <c r="A25" s="19" t="s">
        <v>18</v>
      </c>
      <c r="B25" s="8">
        <v>6465.0146357111353</v>
      </c>
      <c r="C25" s="8">
        <v>6786.2657613967031</v>
      </c>
      <c r="D25" s="8">
        <v>7119.1244931671426</v>
      </c>
      <c r="E25" s="8">
        <v>7316.4191044124864</v>
      </c>
      <c r="F25" s="8">
        <v>7491.054904380012</v>
      </c>
      <c r="G25" s="8">
        <v>7578.6916655262075</v>
      </c>
      <c r="H25" s="8">
        <v>7614.0094370970955</v>
      </c>
      <c r="I25" s="8">
        <v>8011.7411456903374</v>
      </c>
      <c r="J25" s="8">
        <v>8503.3605527638192</v>
      </c>
      <c r="K25" s="8">
        <v>8928.3833356165414</v>
      </c>
      <c r="L25" s="8">
        <v>9489.0930989873741</v>
      </c>
      <c r="M25" s="8">
        <v>9207.7278539874442</v>
      </c>
      <c r="N25" s="8">
        <v>8615.1299900554059</v>
      </c>
      <c r="O25" s="8">
        <v>8731.2310642910761</v>
      </c>
      <c r="P25" s="8">
        <v>8783.5881808782724</v>
      </c>
      <c r="Q25" s="8">
        <v>8280.9322655011129</v>
      </c>
      <c r="R25" s="8">
        <v>8265.5331818537961</v>
      </c>
      <c r="S25" s="8">
        <v>8202.0298981211272</v>
      </c>
      <c r="T25" s="8">
        <v>8379.7153828777955</v>
      </c>
      <c r="U25" s="8">
        <v>8634.9415384615386</v>
      </c>
      <c r="V25" s="8">
        <v>8635.9202088082093</v>
      </c>
      <c r="W25" s="8">
        <v>8786.6717688258068</v>
      </c>
      <c r="X25" s="8">
        <v>8798.9908539016142</v>
      </c>
      <c r="Y25" s="8">
        <v>9027.6099024084524</v>
      </c>
      <c r="Z25" s="8">
        <v>8306.5188762071994</v>
      </c>
      <c r="AA25" s="8">
        <v>8600.1793741355468</v>
      </c>
      <c r="AB25" s="8">
        <v>9049.1970865102012</v>
      </c>
      <c r="AC25" s="8">
        <v>9372.1714111704969</v>
      </c>
      <c r="AD25" s="8">
        <v>9591.6209218021759</v>
      </c>
      <c r="AE25" s="8">
        <v>10046.092938997333</v>
      </c>
      <c r="AF25" s="8">
        <v>9911.062231328593</v>
      </c>
      <c r="AG25" s="8">
        <v>9868.8195946884734</v>
      </c>
      <c r="AH25" s="8">
        <v>9897.19250024541</v>
      </c>
      <c r="AI25" s="8">
        <v>10194.59296560574</v>
      </c>
      <c r="AJ25" s="8">
        <v>10431.393321840298</v>
      </c>
      <c r="AK25" s="8">
        <v>10860.78015809371</v>
      </c>
      <c r="AL25" s="8">
        <v>11134.882708631016</v>
      </c>
      <c r="AM25" s="8">
        <v>11190.601306208242</v>
      </c>
      <c r="AN25" s="2"/>
      <c r="AO25" s="2"/>
      <c r="AP25" s="2"/>
      <c r="AQ25" s="2"/>
      <c r="AR25" s="2"/>
      <c r="AS25" s="2"/>
      <c r="AT25" s="2"/>
      <c r="AU25" s="2"/>
      <c r="AV25" s="2"/>
    </row>
    <row r="26" spans="1:48">
      <c r="A26" s="19" t="s">
        <v>19</v>
      </c>
      <c r="B26" s="8">
        <v>18619.344991622209</v>
      </c>
      <c r="C26" s="8">
        <v>19438.544425601645</v>
      </c>
      <c r="D26" s="8">
        <v>20392.136416610439</v>
      </c>
      <c r="E26" s="8">
        <v>20100.117813163284</v>
      </c>
      <c r="F26" s="8">
        <v>19867.275362184639</v>
      </c>
      <c r="G26" s="8">
        <v>20741.592766156467</v>
      </c>
      <c r="H26" s="8">
        <v>21486.978469192745</v>
      </c>
      <c r="I26" s="8">
        <v>22457.550453894146</v>
      </c>
      <c r="J26" s="8">
        <v>22908.962888594706</v>
      </c>
      <c r="K26" s="8">
        <v>22580.39486049024</v>
      </c>
      <c r="L26" s="8">
        <v>22924.785224861742</v>
      </c>
      <c r="M26" s="8">
        <v>22256.965437649105</v>
      </c>
      <c r="N26" s="8">
        <v>23052.028523511413</v>
      </c>
      <c r="O26" s="8">
        <v>24495.240995964363</v>
      </c>
      <c r="P26" s="8">
        <v>25276.550694741432</v>
      </c>
      <c r="Q26" s="8">
        <v>25906.740401274707</v>
      </c>
      <c r="R26" s="8">
        <v>26489.167898601154</v>
      </c>
      <c r="S26" s="8">
        <v>27325.829079290463</v>
      </c>
      <c r="T26" s="8">
        <v>28033.793206595336</v>
      </c>
      <c r="U26" s="8">
        <v>28235.505494022327</v>
      </c>
      <c r="V26" s="8">
        <v>27789.460813315978</v>
      </c>
      <c r="W26" s="8">
        <v>28356.481733755769</v>
      </c>
      <c r="X26" s="8">
        <v>28794.453707901434</v>
      </c>
      <c r="Y26" s="8">
        <v>29618.147311685108</v>
      </c>
      <c r="Z26" s="8">
        <v>30016.174771557606</v>
      </c>
      <c r="AA26" s="8">
        <v>30791.234418680524</v>
      </c>
      <c r="AB26" s="8">
        <v>31796.305658746031</v>
      </c>
      <c r="AC26" s="8">
        <v>32811.387848808998</v>
      </c>
      <c r="AD26" s="8">
        <v>34018.197244816132</v>
      </c>
      <c r="AE26" s="8">
        <v>35050.79440394033</v>
      </c>
      <c r="AF26" s="8">
        <v>35076.191577810961</v>
      </c>
      <c r="AG26" s="8">
        <v>35374.793008279667</v>
      </c>
      <c r="AH26" s="8">
        <v>35926.574232360719</v>
      </c>
      <c r="AI26" s="8">
        <v>36882.14339283036</v>
      </c>
      <c r="AJ26" s="8">
        <v>37665.571079193069</v>
      </c>
      <c r="AK26" s="8">
        <v>38312.505856368385</v>
      </c>
      <c r="AL26" s="8">
        <v>38752.89739077408</v>
      </c>
      <c r="AM26" s="8">
        <v>38558.849896069012</v>
      </c>
      <c r="AN26" s="2"/>
      <c r="AO26" s="2"/>
      <c r="AP26" s="2"/>
      <c r="AQ26" s="2"/>
      <c r="AR26" s="2"/>
      <c r="AS26" s="2"/>
      <c r="AT26" s="2"/>
      <c r="AU26" s="2"/>
      <c r="AV26" s="2"/>
    </row>
    <row r="27" spans="1:48">
      <c r="A27" s="20" t="s">
        <v>20</v>
      </c>
      <c r="B27" s="8">
        <v>16231.418943090595</v>
      </c>
      <c r="C27" s="8">
        <v>16909.29247211765</v>
      </c>
      <c r="D27" s="8">
        <v>17703.155684855563</v>
      </c>
      <c r="E27" s="8">
        <v>17511.921126876441</v>
      </c>
      <c r="F27" s="8">
        <v>17339.18859997499</v>
      </c>
      <c r="G27" s="8">
        <v>18007.12018987173</v>
      </c>
      <c r="H27" s="8">
        <v>18547.483095170002</v>
      </c>
      <c r="I27" s="8">
        <v>19332.14050714561</v>
      </c>
      <c r="J27" s="8">
        <v>19760.048308561352</v>
      </c>
      <c r="K27" s="8">
        <v>19580.627101425114</v>
      </c>
      <c r="L27" s="8">
        <v>19949.049767293116</v>
      </c>
      <c r="M27" s="8">
        <v>19320.937234593792</v>
      </c>
      <c r="N27" s="8">
        <v>19756.126378037439</v>
      </c>
      <c r="O27" s="8">
        <v>20845.964276624098</v>
      </c>
      <c r="P27" s="8">
        <v>21438.305076719076</v>
      </c>
      <c r="Q27" s="8">
        <v>21763.394241514688</v>
      </c>
      <c r="R27" s="8">
        <v>22184.764129667965</v>
      </c>
      <c r="S27" s="8">
        <v>22786.350843607583</v>
      </c>
      <c r="T27" s="8">
        <v>23302.347961055453</v>
      </c>
      <c r="U27" s="8">
        <v>23449.089724383357</v>
      </c>
      <c r="V27" s="8">
        <v>22986.328562301016</v>
      </c>
      <c r="W27" s="8">
        <v>23391.208270642288</v>
      </c>
      <c r="X27" s="8">
        <v>23701.184295739506</v>
      </c>
      <c r="Y27" s="8">
        <v>24368.436491639779</v>
      </c>
      <c r="Z27" s="8">
        <v>24476.690524792641</v>
      </c>
      <c r="AA27" s="8">
        <v>25075.17837639205</v>
      </c>
      <c r="AB27" s="8">
        <v>25921.541842670351</v>
      </c>
      <c r="AC27" s="8">
        <v>26748.412370312446</v>
      </c>
      <c r="AD27" s="8">
        <v>27712.28638447963</v>
      </c>
      <c r="AE27" s="8">
        <v>28588.284628680194</v>
      </c>
      <c r="AF27" s="8">
        <v>28574.520831880578</v>
      </c>
      <c r="AG27" s="8">
        <v>28797.753771678676</v>
      </c>
      <c r="AH27" s="8">
        <v>29195.906081241945</v>
      </c>
      <c r="AI27" s="8">
        <v>29965.795097569808</v>
      </c>
      <c r="AJ27" s="8">
        <v>30604.417373273594</v>
      </c>
      <c r="AK27" s="8">
        <v>31195.068601195933</v>
      </c>
      <c r="AL27" s="8">
        <v>31600.243899115696</v>
      </c>
      <c r="AM27" s="8">
        <v>31466.203445358489</v>
      </c>
      <c r="AN27" s="2"/>
      <c r="AO27" s="2"/>
      <c r="AP27" s="2"/>
      <c r="AQ27" s="2"/>
      <c r="AR27" s="2"/>
      <c r="AS27" s="2"/>
      <c r="AT27" s="2"/>
      <c r="AU27" s="2"/>
      <c r="AV27" s="2"/>
    </row>
    <row r="28" spans="1:48">
      <c r="A28" s="19" t="s">
        <v>21</v>
      </c>
      <c r="B28" s="8">
        <v>16279.890892559479</v>
      </c>
      <c r="C28" s="8">
        <v>16450.592885375492</v>
      </c>
      <c r="D28" s="8">
        <v>16856.985456148082</v>
      </c>
      <c r="E28" s="8">
        <v>16789.979757085021</v>
      </c>
      <c r="F28" s="8">
        <v>17075.094852888538</v>
      </c>
      <c r="G28" s="8">
        <v>17489.723600283487</v>
      </c>
      <c r="H28" s="8">
        <v>17433.902814731831</v>
      </c>
      <c r="I28" s="8">
        <v>17977.132561846029</v>
      </c>
      <c r="J28" s="8">
        <v>18323.654293932337</v>
      </c>
      <c r="K28" s="8">
        <v>18681.637063551021</v>
      </c>
      <c r="L28" s="8">
        <v>18957.552809884415</v>
      </c>
      <c r="M28" s="8">
        <v>18223.755641310745</v>
      </c>
      <c r="N28" s="8">
        <v>18837.111670864819</v>
      </c>
      <c r="O28" s="8">
        <v>19594.692862154749</v>
      </c>
      <c r="P28" s="8">
        <v>20177.410225771964</v>
      </c>
      <c r="Q28" s="8">
        <v>20360.617138608341</v>
      </c>
      <c r="R28" s="8">
        <v>21076.303751143641</v>
      </c>
      <c r="S28" s="8">
        <v>21473.122790195961</v>
      </c>
      <c r="T28" s="8">
        <v>21989.136210663044</v>
      </c>
      <c r="U28" s="8">
        <v>21550.844496214326</v>
      </c>
      <c r="V28" s="8">
        <v>21291.942255708287</v>
      </c>
      <c r="W28" s="8">
        <v>21836.528070075652</v>
      </c>
      <c r="X28" s="8">
        <v>22506.898687841414</v>
      </c>
      <c r="Y28" s="8">
        <v>23230.597804891637</v>
      </c>
      <c r="Z28" s="8">
        <v>23858.681910624964</v>
      </c>
      <c r="AA28" s="8">
        <v>24487.701580061897</v>
      </c>
      <c r="AB28" s="8">
        <v>25329.67859830162</v>
      </c>
      <c r="AC28" s="8">
        <v>26355.039336593662</v>
      </c>
      <c r="AD28" s="8">
        <v>27086.730405547383</v>
      </c>
      <c r="AE28" s="8">
        <v>27266.165023352361</v>
      </c>
      <c r="AF28" s="8">
        <v>27929.78952220003</v>
      </c>
      <c r="AG28" s="8">
        <v>28495.190360469827</v>
      </c>
      <c r="AH28" s="8">
        <v>29288.051636145301</v>
      </c>
      <c r="AI28" s="8">
        <v>29750.865222980323</v>
      </c>
      <c r="AJ28" s="8">
        <v>30207.281411443608</v>
      </c>
      <c r="AK28" s="8">
        <v>30748.535203150514</v>
      </c>
      <c r="AL28" s="8">
        <v>31381.269796246397</v>
      </c>
      <c r="AM28" s="8">
        <v>31560.611694710424</v>
      </c>
      <c r="AN28" s="2"/>
      <c r="AO28" s="2"/>
      <c r="AP28" s="2"/>
      <c r="AQ28" s="2"/>
      <c r="AR28" s="2"/>
      <c r="AS28" s="2"/>
      <c r="AT28" s="2"/>
      <c r="AU28" s="2"/>
      <c r="AV28" s="2"/>
    </row>
    <row r="29" spans="1:48">
      <c r="A29" s="19" t="s">
        <v>22</v>
      </c>
      <c r="B29" s="8">
        <v>12569.301696465142</v>
      </c>
      <c r="C29" s="8">
        <v>13443.326191550143</v>
      </c>
      <c r="D29" s="8">
        <v>14191.640190262806</v>
      </c>
      <c r="E29" s="8">
        <v>13826.92812825506</v>
      </c>
      <c r="F29" s="8">
        <v>14080.568677975807</v>
      </c>
      <c r="G29" s="8">
        <v>14477.9554242132</v>
      </c>
      <c r="H29" s="8">
        <v>14966.206388981373</v>
      </c>
      <c r="I29" s="8">
        <v>15612.679724942696</v>
      </c>
      <c r="J29" s="8">
        <v>16332.466548416538</v>
      </c>
      <c r="K29" s="8">
        <v>16660.387835298137</v>
      </c>
      <c r="L29" s="8">
        <v>17026.640769452595</v>
      </c>
      <c r="M29" s="8">
        <v>17375.589582912202</v>
      </c>
      <c r="N29" s="8">
        <v>17536.307053941906</v>
      </c>
      <c r="O29" s="8">
        <v>17967.657204604962</v>
      </c>
      <c r="P29" s="8">
        <v>18764.805987657888</v>
      </c>
      <c r="Q29" s="8">
        <v>19222.965641952986</v>
      </c>
      <c r="R29" s="8">
        <v>19857.966770016115</v>
      </c>
      <c r="S29" s="8">
        <v>21113.91910057436</v>
      </c>
      <c r="T29" s="8">
        <v>22148.037823140294</v>
      </c>
      <c r="U29" s="8">
        <v>23223.531886320798</v>
      </c>
      <c r="V29" s="8">
        <v>23906.914529294689</v>
      </c>
      <c r="W29" s="8">
        <v>24048.977658609423</v>
      </c>
      <c r="X29" s="8">
        <v>24036.930317437447</v>
      </c>
      <c r="Y29" s="8">
        <v>24237.576338163093</v>
      </c>
      <c r="Z29" s="8">
        <v>24652.647925459903</v>
      </c>
      <c r="AA29" s="8">
        <v>25271.470455033013</v>
      </c>
      <c r="AB29" s="8">
        <v>25607.726879998732</v>
      </c>
      <c r="AC29" s="8">
        <v>25020.463027389462</v>
      </c>
      <c r="AD29" s="8">
        <v>24946.544877513479</v>
      </c>
      <c r="AE29" s="8">
        <v>25607.692671320296</v>
      </c>
      <c r="AF29" s="8">
        <v>25576.321907694241</v>
      </c>
      <c r="AG29" s="8">
        <v>25609.19630390788</v>
      </c>
      <c r="AH29" s="8">
        <v>25928.892508653498</v>
      </c>
      <c r="AI29" s="8">
        <v>26621.056915022655</v>
      </c>
      <c r="AJ29" s="8">
        <v>27139.972450065743</v>
      </c>
      <c r="AK29" s="8">
        <v>27693.050011739844</v>
      </c>
      <c r="AL29" s="8">
        <v>28355.542337463117</v>
      </c>
      <c r="AM29" s="8">
        <v>28174.286564545939</v>
      </c>
      <c r="AN29" s="2"/>
      <c r="AO29" s="2"/>
      <c r="AP29" s="2"/>
      <c r="AQ29" s="2"/>
      <c r="AR29" s="2"/>
      <c r="AS29" s="2"/>
      <c r="AT29" s="2"/>
      <c r="AU29" s="2"/>
      <c r="AV29" s="2"/>
    </row>
    <row r="30" spans="1:48">
      <c r="A30" s="19" t="s">
        <v>23</v>
      </c>
      <c r="B30" s="8">
        <v>3179.2111425356566</v>
      </c>
      <c r="C30" s="8">
        <v>3259.6030443217428</v>
      </c>
      <c r="D30" s="8">
        <v>3587.8368471981935</v>
      </c>
      <c r="E30" s="8">
        <v>3780.2086936469505</v>
      </c>
      <c r="F30" s="8">
        <v>3938.1820243190386</v>
      </c>
      <c r="G30" s="8">
        <v>4285.5588719350617</v>
      </c>
      <c r="H30" s="8">
        <v>4640.9974733604304</v>
      </c>
      <c r="I30" s="8">
        <v>4995.9695961481239</v>
      </c>
      <c r="J30" s="8">
        <v>5254.542548089732</v>
      </c>
      <c r="K30" s="8">
        <v>5096.2385898646517</v>
      </c>
      <c r="L30" s="8">
        <v>5326.6275856725979</v>
      </c>
      <c r="M30" s="8">
        <v>5629.1511976809234</v>
      </c>
      <c r="N30" s="8">
        <v>6144.4249561513407</v>
      </c>
      <c r="O30" s="8">
        <v>6560.7335544226107</v>
      </c>
      <c r="P30" s="8">
        <v>6938.342400627359</v>
      </c>
      <c r="Q30" s="8">
        <v>7599.1410685689334</v>
      </c>
      <c r="R30" s="8">
        <v>8360.1941281053296</v>
      </c>
      <c r="S30" s="8">
        <v>9159.8106159739236</v>
      </c>
      <c r="T30" s="8">
        <v>9681.3116916770723</v>
      </c>
      <c r="U30" s="8">
        <v>10464.111595791832</v>
      </c>
      <c r="V30" s="8">
        <v>11334.118625277162</v>
      </c>
      <c r="W30" s="8">
        <v>11876.108622108441</v>
      </c>
      <c r="X30" s="8">
        <v>12477.067541577102</v>
      </c>
      <c r="Y30" s="8">
        <v>13406.590206531964</v>
      </c>
      <c r="Z30" s="8">
        <v>14489.432949681768</v>
      </c>
      <c r="AA30" s="8">
        <v>15356.397583745196</v>
      </c>
      <c r="AB30" s="8">
        <v>15920.572746659704</v>
      </c>
      <c r="AC30" s="8">
        <v>14722.621902478018</v>
      </c>
      <c r="AD30" s="8">
        <v>16005.148336443788</v>
      </c>
      <c r="AE30" s="8">
        <v>17218.962729748127</v>
      </c>
      <c r="AF30" s="8">
        <v>17771.205946322614</v>
      </c>
      <c r="AG30" s="8">
        <v>18935.890974759564</v>
      </c>
      <c r="AH30" s="8">
        <v>19370.212499216446</v>
      </c>
      <c r="AI30" s="8">
        <v>20189.013093528174</v>
      </c>
      <c r="AJ30" s="8">
        <v>20944.742199509743</v>
      </c>
      <c r="AK30" s="8">
        <v>21956.89173240574</v>
      </c>
      <c r="AL30" s="8">
        <v>23002.24946343074</v>
      </c>
      <c r="AM30" s="8">
        <v>23440.738988211575</v>
      </c>
      <c r="AN30" s="2"/>
      <c r="AO30" s="2"/>
      <c r="AP30" s="2"/>
      <c r="AQ30" s="2"/>
      <c r="AR30" s="2"/>
      <c r="AS30" s="2"/>
      <c r="AT30" s="2"/>
      <c r="AU30" s="2"/>
      <c r="AV30" s="2"/>
    </row>
    <row r="31" spans="1:48">
      <c r="A31" s="19" t="s">
        <v>24</v>
      </c>
      <c r="B31" s="8">
        <v>15269.553072625698</v>
      </c>
      <c r="C31" s="8">
        <v>15781.325094404396</v>
      </c>
      <c r="D31" s="8">
        <v>16680.242342645572</v>
      </c>
      <c r="E31" s="8">
        <v>17324.208443271767</v>
      </c>
      <c r="F31" s="8">
        <v>16720.7644962747</v>
      </c>
      <c r="G31" s="8">
        <v>16719.191270860076</v>
      </c>
      <c r="H31" s="8">
        <v>15999.360613810741</v>
      </c>
      <c r="I31" s="8">
        <v>15893.8958133589</v>
      </c>
      <c r="J31" s="8">
        <v>15837.794773741238</v>
      </c>
      <c r="K31" s="8">
        <v>15949.10941475827</v>
      </c>
      <c r="L31" s="8">
        <v>16400.380107697179</v>
      </c>
      <c r="M31" s="8">
        <v>16968.897266729502</v>
      </c>
      <c r="N31" s="8">
        <v>17201.17792932424</v>
      </c>
      <c r="O31" s="8">
        <v>17872.31430325353</v>
      </c>
      <c r="P31" s="8">
        <v>17933.068459657701</v>
      </c>
      <c r="Q31" s="8">
        <v>18071.191553544493</v>
      </c>
      <c r="R31" s="8">
        <v>18010.4821802935</v>
      </c>
      <c r="S31" s="8">
        <v>17939.647445473558</v>
      </c>
      <c r="T31" s="8">
        <v>17898.310109694634</v>
      </c>
      <c r="U31" s="8">
        <v>17315.080275229357</v>
      </c>
      <c r="V31" s="8">
        <v>16897.930252339098</v>
      </c>
      <c r="W31" s="8">
        <v>16908.249158249157</v>
      </c>
      <c r="X31" s="8">
        <v>17762.946552201603</v>
      </c>
      <c r="Y31" s="8">
        <v>18439.410480349343</v>
      </c>
      <c r="Z31" s="8">
        <v>18905.183991404781</v>
      </c>
      <c r="AA31" s="8">
        <v>19292.715231788079</v>
      </c>
      <c r="AB31" s="8">
        <v>19440.304382051956</v>
      </c>
      <c r="AC31" s="8">
        <v>19428.385076963212</v>
      </c>
      <c r="AD31" s="8">
        <v>20338.952282157676</v>
      </c>
      <c r="AE31" s="8">
        <v>20706.47407789528</v>
      </c>
      <c r="AF31" s="8">
        <v>21133.892276422765</v>
      </c>
      <c r="AG31" s="8">
        <v>21746.075255419884</v>
      </c>
      <c r="AH31" s="8">
        <v>22314.783035057615</v>
      </c>
      <c r="AI31" s="8">
        <v>22886.358129391811</v>
      </c>
      <c r="AJ31" s="8">
        <v>23288.314176245211</v>
      </c>
      <c r="AK31" s="8">
        <v>23451.574709921857</v>
      </c>
      <c r="AL31" s="8">
        <v>23943.011257035647</v>
      </c>
      <c r="AM31" s="8">
        <v>23457.607433217192</v>
      </c>
      <c r="AN31" s="2"/>
      <c r="AO31" s="2"/>
      <c r="AP31" s="2"/>
      <c r="AQ31" s="2"/>
      <c r="AR31" s="2"/>
      <c r="AS31" s="2"/>
      <c r="AT31" s="2"/>
      <c r="AU31" s="2"/>
      <c r="AV31" s="2"/>
    </row>
    <row r="32" spans="1:48">
      <c r="A32" s="20" t="s">
        <v>25</v>
      </c>
      <c r="B32" s="8">
        <v>10931.727820799335</v>
      </c>
      <c r="C32" s="8">
        <v>11561.189941309371</v>
      </c>
      <c r="D32" s="8">
        <v>12199.398458550035</v>
      </c>
      <c r="E32" s="8">
        <v>11993.449040201034</v>
      </c>
      <c r="F32" s="8">
        <v>12204.618993936809</v>
      </c>
      <c r="G32" s="8">
        <v>12575.998217898081</v>
      </c>
      <c r="H32" s="8">
        <v>12956.83393269666</v>
      </c>
      <c r="I32" s="8">
        <v>13506.154798031877</v>
      </c>
      <c r="J32" s="8">
        <v>14067.305672881712</v>
      </c>
      <c r="K32" s="8">
        <v>14273.930747682445</v>
      </c>
      <c r="L32" s="8">
        <v>14590.250291701937</v>
      </c>
      <c r="M32" s="8">
        <v>14824.875655710772</v>
      </c>
      <c r="N32" s="8">
        <v>15091.296904381017</v>
      </c>
      <c r="O32" s="8">
        <v>15542.266457366155</v>
      </c>
      <c r="P32" s="8">
        <v>16208.017544247299</v>
      </c>
      <c r="Q32" s="8">
        <v>16675.239129480935</v>
      </c>
      <c r="R32" s="8">
        <v>17326.555734088619</v>
      </c>
      <c r="S32" s="8">
        <v>18370.163952167091</v>
      </c>
      <c r="T32" s="8">
        <v>19210.771977371965</v>
      </c>
      <c r="U32" s="8">
        <v>20037.047526424351</v>
      </c>
      <c r="V32" s="8">
        <v>20643.488696889719</v>
      </c>
      <c r="W32" s="8">
        <v>20898.522115486117</v>
      </c>
      <c r="X32" s="8">
        <v>21093.574311945868</v>
      </c>
      <c r="Y32" s="8">
        <v>21507.649331662491</v>
      </c>
      <c r="Z32" s="8">
        <v>22086.77997081717</v>
      </c>
      <c r="AA32" s="8">
        <v>22748.491548539077</v>
      </c>
      <c r="AB32" s="8">
        <v>23171.877570324068</v>
      </c>
      <c r="AC32" s="8">
        <v>22599.916071318909</v>
      </c>
      <c r="AD32" s="8">
        <v>22938.922192317106</v>
      </c>
      <c r="AE32" s="8">
        <v>23672.545806039143</v>
      </c>
      <c r="AF32" s="8">
        <v>23854.493882989464</v>
      </c>
      <c r="AG32" s="8">
        <v>24219.894103271938</v>
      </c>
      <c r="AH32" s="8">
        <v>24618.902103016764</v>
      </c>
      <c r="AI32" s="8">
        <v>25316.731525284871</v>
      </c>
      <c r="AJ32" s="8">
        <v>25886.85443668993</v>
      </c>
      <c r="AK32" s="8">
        <v>26542.797048410837</v>
      </c>
      <c r="AL32" s="8">
        <v>27293.219733788261</v>
      </c>
      <c r="AM32" s="8">
        <v>27295.91129933999</v>
      </c>
      <c r="AN32" s="2"/>
      <c r="AO32" s="2"/>
      <c r="AP32" s="2"/>
      <c r="AQ32" s="2"/>
      <c r="AR32" s="2"/>
      <c r="AS32" s="2"/>
      <c r="AT32" s="2"/>
      <c r="AU32" s="2"/>
      <c r="AV32" s="2"/>
    </row>
    <row r="33" spans="1:48">
      <c r="A33" s="19" t="s">
        <v>26</v>
      </c>
      <c r="B33" s="8">
        <v>14239.168110918543</v>
      </c>
      <c r="C33" s="8">
        <v>15036.983032873808</v>
      </c>
      <c r="D33" s="8">
        <v>15684.550487740575</v>
      </c>
      <c r="E33" s="8">
        <v>16275.167785234898</v>
      </c>
      <c r="F33" s="8">
        <v>16259.005145797599</v>
      </c>
      <c r="G33" s="8">
        <v>17032.381707639437</v>
      </c>
      <c r="H33" s="8">
        <v>17880.813953488374</v>
      </c>
      <c r="I33" s="8">
        <v>17868.817773075905</v>
      </c>
      <c r="J33" s="8">
        <v>18876.275003311697</v>
      </c>
      <c r="K33" s="8">
        <v>19212.875877599679</v>
      </c>
      <c r="L33" s="8">
        <v>19134.495970405602</v>
      </c>
      <c r="M33" s="8">
        <v>19494.190652231318</v>
      </c>
      <c r="N33" s="8">
        <v>20101.692673895795</v>
      </c>
      <c r="O33" s="8">
        <v>20116.518978971035</v>
      </c>
      <c r="P33" s="8">
        <v>20599.735624586912</v>
      </c>
      <c r="Q33" s="8">
        <v>21063.011889035668</v>
      </c>
      <c r="R33" s="8">
        <v>21332.541254125412</v>
      </c>
      <c r="S33" s="8">
        <v>21915.622940013185</v>
      </c>
      <c r="T33" s="8">
        <v>22631.233595800524</v>
      </c>
      <c r="U33" s="8">
        <v>23396.978379786404</v>
      </c>
      <c r="V33" s="8">
        <v>23937.975499677628</v>
      </c>
      <c r="W33" s="8">
        <v>24122.433363091441</v>
      </c>
      <c r="X33" s="8">
        <v>24013.660511004302</v>
      </c>
      <c r="Y33" s="8">
        <v>24452.242943548386</v>
      </c>
      <c r="Z33" s="8">
        <v>25035.228988424758</v>
      </c>
      <c r="AA33" s="8">
        <v>25558.110315366252</v>
      </c>
      <c r="AB33" s="8">
        <v>26071.912650602411</v>
      </c>
      <c r="AC33" s="8">
        <v>26978.814090510215</v>
      </c>
      <c r="AD33" s="8">
        <v>27827.577577577576</v>
      </c>
      <c r="AE33" s="8">
        <v>28771.592611083372</v>
      </c>
      <c r="AF33" s="8">
        <v>28813.35488684407</v>
      </c>
      <c r="AG33" s="8">
        <v>29143.033902499377</v>
      </c>
      <c r="AH33" s="8">
        <v>29246.242916974625</v>
      </c>
      <c r="AI33" s="8">
        <v>29803.15828130738</v>
      </c>
      <c r="AJ33" s="8">
        <v>30328.389057750763</v>
      </c>
      <c r="AK33" s="8">
        <v>31214.441219158201</v>
      </c>
      <c r="AL33" s="8">
        <v>32193.229731357667</v>
      </c>
      <c r="AM33" s="8">
        <v>32710.807244812284</v>
      </c>
      <c r="AN33" s="2"/>
      <c r="AO33" s="2"/>
      <c r="AP33" s="2"/>
      <c r="AQ33" s="2"/>
      <c r="AR33" s="2"/>
      <c r="AS33" s="2"/>
      <c r="AT33" s="2"/>
      <c r="AU33" s="2"/>
      <c r="AV33" s="2"/>
    </row>
    <row r="34" spans="1:48">
      <c r="A34" s="19" t="s">
        <v>27</v>
      </c>
      <c r="B34" s="8">
        <v>14357.142857142857</v>
      </c>
      <c r="C34" s="8">
        <v>15055.5899339934</v>
      </c>
      <c r="D34" s="8">
        <v>15929.768637532134</v>
      </c>
      <c r="E34" s="8">
        <v>16547.719118400819</v>
      </c>
      <c r="F34" s="8">
        <v>16283.070946636679</v>
      </c>
      <c r="G34" s="8">
        <v>17175.341906511534</v>
      </c>
      <c r="H34" s="8">
        <v>17263.53348965236</v>
      </c>
      <c r="I34" s="8">
        <v>17739.635326474483</v>
      </c>
      <c r="J34" s="8">
        <v>18141.999185667752</v>
      </c>
      <c r="K34" s="8">
        <v>18887.412516482404</v>
      </c>
      <c r="L34" s="8">
        <v>18836.579427875837</v>
      </c>
      <c r="M34" s="8">
        <v>18952.516233766233</v>
      </c>
      <c r="N34" s="8">
        <v>19015.425208037348</v>
      </c>
      <c r="O34" s="8">
        <v>19482.496194824962</v>
      </c>
      <c r="P34" s="8">
        <v>19800.243481789592</v>
      </c>
      <c r="Q34" s="8">
        <v>20157.115326097981</v>
      </c>
      <c r="R34" s="8">
        <v>20599.088145896658</v>
      </c>
      <c r="S34" s="8">
        <v>21497.980613893378</v>
      </c>
      <c r="T34" s="8">
        <v>22163.179074446682</v>
      </c>
      <c r="U34" s="8">
        <v>22794.341894060995</v>
      </c>
      <c r="V34" s="8">
        <v>23124.025584649211</v>
      </c>
      <c r="W34" s="8">
        <v>23382.20364287847</v>
      </c>
      <c r="X34" s="8">
        <v>23067.717628395796</v>
      </c>
      <c r="Y34" s="8">
        <v>23741.498616053777</v>
      </c>
      <c r="Z34" s="8">
        <v>24257.275328006312</v>
      </c>
      <c r="AA34" s="8">
        <v>24555.09601181684</v>
      </c>
      <c r="AB34" s="8">
        <v>25411.689587426325</v>
      </c>
      <c r="AC34" s="8">
        <v>25843.379398216213</v>
      </c>
      <c r="AD34" s="8">
        <v>26709.352377225594</v>
      </c>
      <c r="AE34" s="8">
        <v>27627.854772594183</v>
      </c>
      <c r="AF34" s="8">
        <v>27750.218850306388</v>
      </c>
      <c r="AG34" s="8">
        <v>27996.127783155858</v>
      </c>
      <c r="AH34" s="8">
        <v>28099.103441627303</v>
      </c>
      <c r="AI34" s="8">
        <v>28885.475664778729</v>
      </c>
      <c r="AJ34" s="8">
        <v>29236.012984533128</v>
      </c>
      <c r="AK34" s="8">
        <v>29848.525087735939</v>
      </c>
      <c r="AL34" s="8">
        <v>30498.587836565617</v>
      </c>
      <c r="AM34" s="8">
        <v>30567.426223384384</v>
      </c>
    </row>
    <row r="35" spans="1:48">
      <c r="A35" s="19" t="s">
        <v>28</v>
      </c>
      <c r="B35" s="8">
        <v>10587.122368019531</v>
      </c>
      <c r="C35" s="8">
        <v>10926.428860964734</v>
      </c>
      <c r="D35" s="8">
        <v>11230.800241886716</v>
      </c>
      <c r="E35" s="8">
        <v>11546.901591750926</v>
      </c>
      <c r="F35" s="8">
        <v>11800.934207910952</v>
      </c>
      <c r="G35" s="8">
        <v>11980.9439178515</v>
      </c>
      <c r="H35" s="8">
        <v>12362.842280891156</v>
      </c>
      <c r="I35" s="8">
        <v>12489.752098379855</v>
      </c>
      <c r="J35" s="8">
        <v>12533.359230843937</v>
      </c>
      <c r="K35" s="8">
        <v>12798.392563183887</v>
      </c>
      <c r="L35" s="8">
        <v>12751.528680966707</v>
      </c>
      <c r="M35" s="8">
        <v>12951.037424859414</v>
      </c>
      <c r="N35" s="8">
        <v>13094.158674803835</v>
      </c>
      <c r="O35" s="8">
        <v>13355.338302197271</v>
      </c>
      <c r="P35" s="8">
        <v>13428.654348456999</v>
      </c>
      <c r="Q35" s="8">
        <v>13703.220191470846</v>
      </c>
      <c r="R35" s="8">
        <v>13769.929461783748</v>
      </c>
      <c r="S35" s="8">
        <v>14042.87369640788</v>
      </c>
      <c r="T35" s="8">
        <v>14670.623431769929</v>
      </c>
      <c r="U35" s="8">
        <v>14490.881019009939</v>
      </c>
      <c r="V35" s="8">
        <v>12874.866621398778</v>
      </c>
      <c r="W35" s="8">
        <v>12798.507462686568</v>
      </c>
      <c r="X35" s="8">
        <v>12790.339754138031</v>
      </c>
      <c r="Y35" s="8">
        <v>13067.821207430341</v>
      </c>
      <c r="Z35" s="8">
        <v>13850.450101635854</v>
      </c>
      <c r="AA35" s="8">
        <v>14430.634997576346</v>
      </c>
      <c r="AB35" s="8">
        <v>14340.450310559007</v>
      </c>
      <c r="AC35" s="8">
        <v>14244.099077221952</v>
      </c>
      <c r="AD35" s="8">
        <v>14451.716425167753</v>
      </c>
      <c r="AE35" s="8">
        <v>14993.478049255329</v>
      </c>
      <c r="AF35" s="8">
        <v>15435.348200312988</v>
      </c>
      <c r="AG35" s="8">
        <v>15763.65062248799</v>
      </c>
      <c r="AH35" s="8">
        <v>16329.837286806509</v>
      </c>
      <c r="AI35" s="8">
        <v>17053.884589007543</v>
      </c>
      <c r="AJ35" s="8">
        <v>18083.25190541333</v>
      </c>
      <c r="AK35" s="8">
        <v>19252.167137430602</v>
      </c>
      <c r="AL35" s="8">
        <v>20321.708805579772</v>
      </c>
      <c r="AM35" s="8">
        <v>20608.724832214764</v>
      </c>
    </row>
    <row r="36" spans="1:48">
      <c r="A36" s="19" t="s">
        <v>29</v>
      </c>
      <c r="B36" s="8">
        <v>16118.073745718315</v>
      </c>
      <c r="C36" s="8">
        <v>16693.509615384617</v>
      </c>
      <c r="D36" s="8">
        <v>17217.443249701315</v>
      </c>
      <c r="E36" s="8">
        <v>16999.207135777997</v>
      </c>
      <c r="F36" s="8">
        <v>16741.699604743084</v>
      </c>
      <c r="G36" s="8">
        <v>17716.34141533609</v>
      </c>
      <c r="H36" s="8">
        <v>18010.21811750835</v>
      </c>
      <c r="I36" s="8">
        <v>18362.193927522036</v>
      </c>
      <c r="J36" s="8">
        <v>19038.882375928097</v>
      </c>
      <c r="K36" s="8">
        <v>18947.306791569088</v>
      </c>
      <c r="L36" s="8">
        <v>18786.411557985164</v>
      </c>
      <c r="M36" s="8">
        <v>19499.413833528721</v>
      </c>
      <c r="N36" s="8">
        <v>20032.264372311303</v>
      </c>
      <c r="O36" s="8">
        <v>20878.888671492859</v>
      </c>
      <c r="P36" s="8">
        <v>21710.737336201837</v>
      </c>
      <c r="Q36" s="8">
        <v>22754.1015625</v>
      </c>
      <c r="R36" s="8">
        <v>22788.765359859568</v>
      </c>
      <c r="S36" s="8">
        <v>22743.079922027289</v>
      </c>
      <c r="T36" s="8">
        <v>22864.380358534687</v>
      </c>
      <c r="U36" s="8">
        <v>23167.315175097279</v>
      </c>
      <c r="V36" s="8">
        <v>23441.11931597357</v>
      </c>
      <c r="W36" s="8">
        <v>23788.628891897119</v>
      </c>
      <c r="X36" s="8">
        <v>23684.910387357872</v>
      </c>
      <c r="Y36" s="8">
        <v>24912.024587014981</v>
      </c>
      <c r="Z36" s="8">
        <v>25557.74378585086</v>
      </c>
      <c r="AA36" s="8">
        <v>26122.38692512353</v>
      </c>
      <c r="AB36" s="8">
        <v>26840.681173131503</v>
      </c>
      <c r="AC36" s="8">
        <v>27327.361870639263</v>
      </c>
      <c r="AD36" s="8">
        <v>27932.343544446536</v>
      </c>
      <c r="AE36" s="8">
        <v>28825.777444735857</v>
      </c>
      <c r="AF36" s="8">
        <v>28926.078028747434</v>
      </c>
      <c r="AG36" s="8">
        <v>28958.147321428569</v>
      </c>
      <c r="AH36" s="8">
        <v>28993.692022263451</v>
      </c>
      <c r="AI36" s="8">
        <v>29588.191745326672</v>
      </c>
      <c r="AJ36" s="8">
        <v>30222.181214246175</v>
      </c>
      <c r="AK36" s="8">
        <v>31144.748942431488</v>
      </c>
      <c r="AL36" s="8">
        <v>31538.461538461539</v>
      </c>
      <c r="AM36" s="8">
        <v>31081.937363437726</v>
      </c>
    </row>
    <row r="37" spans="1:48">
      <c r="A37" s="19" t="s">
        <v>30</v>
      </c>
      <c r="B37" s="8">
        <v>12276.019080659149</v>
      </c>
      <c r="C37" s="8">
        <v>13145.905172413793</v>
      </c>
      <c r="D37" s="8">
        <v>13985.640805829406</v>
      </c>
      <c r="E37" s="8">
        <v>14361.330206778939</v>
      </c>
      <c r="F37" s="8">
        <v>14558.480152833792</v>
      </c>
      <c r="G37" s="8">
        <v>14562.209056284384</v>
      </c>
      <c r="H37" s="8">
        <v>14555.602447773792</v>
      </c>
      <c r="I37" s="8">
        <v>14935.198821796759</v>
      </c>
      <c r="J37" s="8">
        <v>15960.965372507872</v>
      </c>
      <c r="K37" s="8">
        <v>16764.853556485356</v>
      </c>
      <c r="L37" s="8">
        <v>16910.416666666668</v>
      </c>
      <c r="M37" s="8">
        <v>17327.53262896209</v>
      </c>
      <c r="N37" s="8">
        <v>17743.616144975287</v>
      </c>
      <c r="O37" s="8">
        <v>18198.279393691111</v>
      </c>
      <c r="P37" s="8">
        <v>18722.358221134229</v>
      </c>
      <c r="Q37" s="8">
        <v>19153.721024806833</v>
      </c>
      <c r="R37" s="8">
        <v>19766.220600162203</v>
      </c>
      <c r="S37" s="8">
        <v>20738.374443995148</v>
      </c>
      <c r="T37" s="8">
        <v>21708.501208702659</v>
      </c>
      <c r="U37" s="8">
        <v>21727.436823104694</v>
      </c>
      <c r="V37" s="8">
        <v>20306.940566414039</v>
      </c>
      <c r="W37" s="8">
        <v>19489.884966283222</v>
      </c>
      <c r="X37" s="8">
        <v>19242.005527043031</v>
      </c>
      <c r="Y37" s="8">
        <v>19847.514246413833</v>
      </c>
      <c r="Z37" s="8">
        <v>20557.361002349258</v>
      </c>
      <c r="AA37" s="8">
        <v>21223.804878048781</v>
      </c>
      <c r="AB37" s="8">
        <v>22474.708171206228</v>
      </c>
      <c r="AC37" s="8">
        <v>23542.984669124784</v>
      </c>
      <c r="AD37" s="8">
        <v>24405.033881897387</v>
      </c>
      <c r="AE37" s="8">
        <v>25654.17310664606</v>
      </c>
      <c r="AF37" s="8">
        <v>26179.838087895143</v>
      </c>
      <c r="AG37" s="8">
        <v>26590.07883099404</v>
      </c>
      <c r="AH37" s="8">
        <v>27059.658545942835</v>
      </c>
      <c r="AI37" s="8">
        <v>28096.996365027739</v>
      </c>
      <c r="AJ37" s="8">
        <v>28817.540514775977</v>
      </c>
      <c r="AK37" s="8">
        <v>29968.287124952527</v>
      </c>
      <c r="AL37" s="8">
        <v>31313.291737568539</v>
      </c>
      <c r="AM37" s="8">
        <v>31547.713156408809</v>
      </c>
    </row>
    <row r="38" spans="1:48">
      <c r="A38" s="19" t="s">
        <v>31</v>
      </c>
      <c r="B38" s="8">
        <v>13911.977407598222</v>
      </c>
      <c r="C38" s="8">
        <v>14430.079055868668</v>
      </c>
      <c r="D38" s="8">
        <v>15253.461668355285</v>
      </c>
      <c r="E38" s="8">
        <v>15832.606345300675</v>
      </c>
      <c r="F38" s="8">
        <v>15606.468252495641</v>
      </c>
      <c r="G38" s="8">
        <v>16229.920532249122</v>
      </c>
      <c r="H38" s="8">
        <v>16731.169739117635</v>
      </c>
      <c r="I38" s="8">
        <v>17317.140187943067</v>
      </c>
      <c r="J38" s="8">
        <v>17851.663383672574</v>
      </c>
      <c r="K38" s="8">
        <v>18059.972055381153</v>
      </c>
      <c r="L38" s="8">
        <v>18124.596257601184</v>
      </c>
      <c r="M38" s="8">
        <v>18454.915606894945</v>
      </c>
      <c r="N38" s="8">
        <v>18576.138735749078</v>
      </c>
      <c r="O38" s="8">
        <v>18760.870723176082</v>
      </c>
      <c r="P38" s="8">
        <v>18987.385159010599</v>
      </c>
      <c r="Q38" s="8">
        <v>19355.131315262101</v>
      </c>
      <c r="R38" s="8">
        <v>19730.014687368861</v>
      </c>
      <c r="S38" s="8">
        <v>20519.880387350266</v>
      </c>
      <c r="T38" s="8">
        <v>21248.690782764996</v>
      </c>
      <c r="U38" s="8">
        <v>21693.421120489591</v>
      </c>
      <c r="V38" s="8">
        <v>21805.744196787491</v>
      </c>
      <c r="W38" s="8">
        <v>21996.135841348201</v>
      </c>
      <c r="X38" s="8">
        <v>21702.805322484957</v>
      </c>
      <c r="Y38" s="8">
        <v>22103.056916061476</v>
      </c>
      <c r="Z38" s="8">
        <v>22491.61042764099</v>
      </c>
      <c r="AA38" s="8">
        <v>22663.139004427747</v>
      </c>
      <c r="AB38" s="8">
        <v>23090.087078604734</v>
      </c>
      <c r="AC38" s="8">
        <v>23812.9964860859</v>
      </c>
      <c r="AD38" s="8">
        <v>24489.712343529802</v>
      </c>
      <c r="AE38" s="8">
        <v>25275.50432276657</v>
      </c>
      <c r="AF38" s="8">
        <v>25559.864624037411</v>
      </c>
      <c r="AG38" s="8">
        <v>25636.961285609934</v>
      </c>
      <c r="AH38" s="8">
        <v>25734.856055965698</v>
      </c>
      <c r="AI38" s="8">
        <v>26179.41783616841</v>
      </c>
      <c r="AJ38" s="8">
        <v>26477.90590552432</v>
      </c>
      <c r="AK38" s="8">
        <v>26883.815594332777</v>
      </c>
      <c r="AL38" s="8">
        <v>27346.434957181842</v>
      </c>
      <c r="AM38" s="8">
        <v>27308.718028696192</v>
      </c>
    </row>
    <row r="39" spans="1:48">
      <c r="A39" s="19" t="s">
        <v>32</v>
      </c>
      <c r="B39" s="8">
        <v>13618.329185014998</v>
      </c>
      <c r="C39" s="8">
        <v>14137.203836625802</v>
      </c>
      <c r="D39" s="8">
        <v>14767.389432088758</v>
      </c>
      <c r="E39" s="8">
        <v>14894.490940629788</v>
      </c>
      <c r="F39" s="8">
        <v>14821.693209115519</v>
      </c>
      <c r="G39" s="8">
        <v>15627.156300675462</v>
      </c>
      <c r="H39" s="8">
        <v>16181.641399603403</v>
      </c>
      <c r="I39" s="8">
        <v>16686.176071309652</v>
      </c>
      <c r="J39" s="8">
        <v>17373.822083376013</v>
      </c>
      <c r="K39" s="8">
        <v>17573.809432588791</v>
      </c>
      <c r="L39" s="8">
        <v>17640.911525415082</v>
      </c>
      <c r="M39" s="8">
        <v>17589.876811131679</v>
      </c>
      <c r="N39" s="8">
        <v>17915.171142571875</v>
      </c>
      <c r="O39" s="8">
        <v>18486.216375921689</v>
      </c>
      <c r="P39" s="8">
        <v>18959.919143019004</v>
      </c>
      <c r="Q39" s="8">
        <v>19388.106577423092</v>
      </c>
      <c r="R39" s="8">
        <v>19652.873208265781</v>
      </c>
      <c r="S39" s="8">
        <v>20277.872367663062</v>
      </c>
      <c r="T39" s="8">
        <v>20917.523545635951</v>
      </c>
      <c r="U39" s="8">
        <v>21826.155435713925</v>
      </c>
      <c r="V39" s="8">
        <v>22763.252650530107</v>
      </c>
      <c r="W39" s="8">
        <v>23093.815916817632</v>
      </c>
      <c r="X39" s="8">
        <v>22743.468138311633</v>
      </c>
      <c r="Y39" s="8">
        <v>23278.106654221217</v>
      </c>
      <c r="Z39" s="8">
        <v>23648.791956992933</v>
      </c>
      <c r="AA39" s="8">
        <v>23815.338966494091</v>
      </c>
      <c r="AB39" s="8">
        <v>24198.97138400039</v>
      </c>
      <c r="AC39" s="8">
        <v>24697.20464713699</v>
      </c>
      <c r="AD39" s="8">
        <v>25176.057110139242</v>
      </c>
      <c r="AE39" s="8">
        <v>25952.231469314254</v>
      </c>
      <c r="AF39" s="8">
        <v>26225.540442069469</v>
      </c>
      <c r="AG39" s="8">
        <v>26180.390873160206</v>
      </c>
      <c r="AH39" s="8">
        <v>26111.463887542413</v>
      </c>
      <c r="AI39" s="8">
        <v>26432.891722524575</v>
      </c>
      <c r="AJ39" s="8">
        <v>26643.917345750873</v>
      </c>
      <c r="AK39" s="8">
        <v>27519.838282786586</v>
      </c>
      <c r="AL39" s="8">
        <v>28233.616571241018</v>
      </c>
      <c r="AM39" s="8">
        <v>28638.626400389672</v>
      </c>
    </row>
    <row r="40" spans="1:48">
      <c r="A40" s="19" t="s">
        <v>33</v>
      </c>
      <c r="B40" s="8">
        <v>11404.719501335709</v>
      </c>
      <c r="C40" s="8">
        <v>12481.477385823289</v>
      </c>
      <c r="D40" s="8">
        <v>13432.125949576131</v>
      </c>
      <c r="E40" s="8">
        <v>12520.456290446418</v>
      </c>
      <c r="F40" s="8">
        <v>13194.631601825689</v>
      </c>
      <c r="G40" s="8">
        <v>13912.707774798928</v>
      </c>
      <c r="H40" s="8">
        <v>14104.129263913825</v>
      </c>
      <c r="I40" s="8">
        <v>14930.678619826956</v>
      </c>
      <c r="J40" s="8">
        <v>15230.206939153713</v>
      </c>
      <c r="K40" s="8">
        <v>15181.753312945973</v>
      </c>
      <c r="L40" s="8">
        <v>14814.489239163382</v>
      </c>
      <c r="M40" s="8">
        <v>14555.477457576062</v>
      </c>
      <c r="N40" s="8">
        <v>14315.06439053609</v>
      </c>
      <c r="O40" s="8">
        <v>14530.346677262341</v>
      </c>
      <c r="P40" s="8">
        <v>14837.522264001584</v>
      </c>
      <c r="Q40" s="8">
        <v>14865.765854620773</v>
      </c>
      <c r="R40" s="8">
        <v>14480.04717908394</v>
      </c>
      <c r="S40" s="8">
        <v>15047.698334965718</v>
      </c>
      <c r="T40" s="8">
        <v>15537.314886983633</v>
      </c>
      <c r="U40" s="8">
        <v>15427.590209925511</v>
      </c>
      <c r="V40" s="8">
        <v>15773.119723714506</v>
      </c>
      <c r="W40" s="8">
        <v>15768.571428571429</v>
      </c>
      <c r="X40" s="8">
        <v>15430.952831975754</v>
      </c>
      <c r="Y40" s="8">
        <v>15668.395247972845</v>
      </c>
      <c r="Z40" s="8">
        <v>15955.237916118111</v>
      </c>
      <c r="AA40" s="8">
        <v>16217.200485572883</v>
      </c>
      <c r="AB40" s="8">
        <v>16701.029971235039</v>
      </c>
      <c r="AC40" s="8">
        <v>17170.373788647899</v>
      </c>
      <c r="AD40" s="8">
        <v>17679.224478544522</v>
      </c>
      <c r="AE40" s="8">
        <v>18413.208756984521</v>
      </c>
      <c r="AF40" s="8">
        <v>19128.219178082192</v>
      </c>
      <c r="AG40" s="8">
        <v>19717.692027666548</v>
      </c>
      <c r="AH40" s="8">
        <v>20821.480406386068</v>
      </c>
      <c r="AI40" s="8">
        <v>21709.184595913939</v>
      </c>
      <c r="AJ40" s="8">
        <v>22111.761527377523</v>
      </c>
      <c r="AK40" s="8">
        <v>23018.387299309357</v>
      </c>
      <c r="AL40" s="8">
        <v>23953.185026355757</v>
      </c>
      <c r="AM40" s="8">
        <v>24340.126368247751</v>
      </c>
    </row>
    <row r="41" spans="1:48">
      <c r="A41" s="19" t="s">
        <v>34</v>
      </c>
      <c r="B41" s="8">
        <v>6488.1813796430297</v>
      </c>
      <c r="C41" s="8">
        <v>7126.7077159899945</v>
      </c>
      <c r="D41" s="8">
        <v>7692.8831766737003</v>
      </c>
      <c r="E41" s="8">
        <v>7994.5569136745607</v>
      </c>
      <c r="F41" s="8">
        <v>8184.2005317128751</v>
      </c>
      <c r="G41" s="8">
        <v>8447.5398998961191</v>
      </c>
      <c r="H41" s="8">
        <v>9042.20718180109</v>
      </c>
      <c r="I41" s="8">
        <v>8974.7048903878585</v>
      </c>
      <c r="J41" s="8">
        <v>9635.2589269022246</v>
      </c>
      <c r="K41" s="8">
        <v>9595.3114784720274</v>
      </c>
      <c r="L41" s="8">
        <v>9876.8224299065423</v>
      </c>
      <c r="M41" s="8">
        <v>10173.640363193859</v>
      </c>
      <c r="N41" s="8">
        <v>10273.179429429429</v>
      </c>
      <c r="O41" s="8">
        <v>10581.920903954802</v>
      </c>
      <c r="P41" s="8">
        <v>10596.086586633897</v>
      </c>
      <c r="Q41" s="8">
        <v>10804.632618188722</v>
      </c>
      <c r="R41" s="8">
        <v>11293.820331871066</v>
      </c>
      <c r="S41" s="8">
        <v>11332.95030163746</v>
      </c>
      <c r="T41" s="8">
        <v>11465.858819003655</v>
      </c>
      <c r="U41" s="8">
        <v>11100.144717800289</v>
      </c>
      <c r="V41" s="8">
        <v>9798.0862168954191</v>
      </c>
      <c r="W41" s="8">
        <v>9518.1131344440146</v>
      </c>
      <c r="X41" s="8">
        <v>9490.8684670681941</v>
      </c>
      <c r="Y41" s="8">
        <v>9801.9686190429784</v>
      </c>
      <c r="Z41" s="8">
        <v>9882.4668409332935</v>
      </c>
      <c r="AA41" s="8">
        <v>10000.775870429638</v>
      </c>
      <c r="AB41" s="8">
        <v>10453.352769679301</v>
      </c>
      <c r="AC41" s="8">
        <v>11017.824096620239</v>
      </c>
      <c r="AD41" s="8">
        <v>11516.702480953312</v>
      </c>
      <c r="AE41" s="8">
        <v>12113.994711585545</v>
      </c>
      <c r="AF41" s="8">
        <v>12643.207695327836</v>
      </c>
      <c r="AG41" s="8">
        <v>13238.409292253174</v>
      </c>
      <c r="AH41" s="8">
        <v>13842.744323790719</v>
      </c>
      <c r="AI41" s="8">
        <v>14548.629662610074</v>
      </c>
      <c r="AJ41" s="8">
        <v>15091.900465946268</v>
      </c>
      <c r="AK41" s="8">
        <v>15715.619104359052</v>
      </c>
      <c r="AL41" s="8">
        <v>15891.408114558473</v>
      </c>
      <c r="AM41" s="8">
        <v>16022.414823670053</v>
      </c>
    </row>
    <row r="42" spans="1:48">
      <c r="A42" s="19" t="s">
        <v>35</v>
      </c>
      <c r="B42" s="8">
        <v>14286.407766990293</v>
      </c>
      <c r="C42" s="8">
        <v>14947.368421052632</v>
      </c>
      <c r="D42" s="8">
        <v>15740.566037735849</v>
      </c>
      <c r="E42" s="8">
        <v>16404.651162790698</v>
      </c>
      <c r="F42" s="8">
        <v>16284.40366972477</v>
      </c>
      <c r="G42" s="8">
        <v>17100</v>
      </c>
      <c r="H42" s="8">
        <v>18441.441441441442</v>
      </c>
      <c r="I42" s="8">
        <v>19375</v>
      </c>
      <c r="J42" s="8">
        <v>20137.16814159292</v>
      </c>
      <c r="K42" s="8">
        <v>21109.649122807015</v>
      </c>
      <c r="L42" s="8">
        <v>21722.943722943721</v>
      </c>
      <c r="M42" s="8">
        <v>21905.982905982906</v>
      </c>
      <c r="N42" s="8">
        <v>21164.556962025319</v>
      </c>
      <c r="O42" s="8">
        <v>21853.55648535565</v>
      </c>
      <c r="P42" s="8">
        <v>22385.892116182575</v>
      </c>
      <c r="Q42" s="8">
        <v>23592.592592592595</v>
      </c>
      <c r="R42" s="8">
        <v>25296.747967479674</v>
      </c>
      <c r="S42" s="8">
        <v>24868</v>
      </c>
      <c r="T42" s="8">
        <v>24636.363636363636</v>
      </c>
      <c r="U42" s="8">
        <v>24729.411764705881</v>
      </c>
      <c r="V42" s="8">
        <v>24387.596899224805</v>
      </c>
      <c r="W42" s="8">
        <v>23295.019157088122</v>
      </c>
      <c r="X42" s="8">
        <v>23333.333333333332</v>
      </c>
      <c r="Y42" s="8">
        <v>23992.481203007519</v>
      </c>
      <c r="Z42" s="8">
        <v>23932.584269662919</v>
      </c>
      <c r="AA42" s="8">
        <v>24888.475836431226</v>
      </c>
      <c r="AB42" s="8">
        <v>25918.819188191879</v>
      </c>
      <c r="AC42" s="8">
        <v>27255.474452554743</v>
      </c>
      <c r="AD42" s="8">
        <v>28064.981949458481</v>
      </c>
      <c r="AE42" s="8">
        <v>28861.209964412807</v>
      </c>
      <c r="AF42" s="8">
        <v>29571.929824561405</v>
      </c>
      <c r="AG42" s="8">
        <v>29302.083333333336</v>
      </c>
      <c r="AH42" s="8">
        <v>29906.574394463671</v>
      </c>
      <c r="AI42" s="8">
        <v>31771.331058020478</v>
      </c>
      <c r="AJ42" s="8">
        <v>33800.67567567568</v>
      </c>
      <c r="AK42" s="8">
        <v>34338.815789473687</v>
      </c>
      <c r="AL42" s="8">
        <v>35434.083601286176</v>
      </c>
      <c r="AM42" s="8">
        <v>35003.134796238242</v>
      </c>
    </row>
    <row r="43" spans="1:48">
      <c r="A43" s="19" t="s">
        <v>36</v>
      </c>
      <c r="B43" s="8">
        <v>8415.7152451309594</v>
      </c>
      <c r="C43" s="8">
        <v>8825.3968253968251</v>
      </c>
      <c r="D43" s="8">
        <v>9095.02115196876</v>
      </c>
      <c r="E43" s="8">
        <v>9327.4647887323936</v>
      </c>
      <c r="F43" s="8">
        <v>9690.5886056027703</v>
      </c>
      <c r="G43" s="8">
        <v>9670.6939281288724</v>
      </c>
      <c r="H43" s="8">
        <v>10323.9608801956</v>
      </c>
      <c r="I43" s="8">
        <v>10925.769462884731</v>
      </c>
      <c r="J43" s="8">
        <v>11081.057007125892</v>
      </c>
      <c r="K43" s="8">
        <v>11311.379006174655</v>
      </c>
      <c r="L43" s="8">
        <v>11544.873656694743</v>
      </c>
      <c r="M43" s="8">
        <v>11683.045977011494</v>
      </c>
      <c r="N43" s="8">
        <v>11571.184022824536</v>
      </c>
      <c r="O43" s="8">
        <v>11992.915840181355</v>
      </c>
      <c r="P43" s="8">
        <v>12321.09573566789</v>
      </c>
      <c r="Q43" s="8">
        <v>12264.822134387352</v>
      </c>
      <c r="R43" s="8">
        <v>12833.192209991532</v>
      </c>
      <c r="S43" s="8">
        <v>13548.569810252053</v>
      </c>
      <c r="T43" s="8">
        <v>14422.222222222223</v>
      </c>
      <c r="U43" s="8">
        <v>15661.152310325158</v>
      </c>
      <c r="V43" s="8">
        <v>15872.66023823029</v>
      </c>
      <c r="W43" s="8">
        <v>16269.479606188466</v>
      </c>
      <c r="X43" s="8">
        <v>16618.914381645216</v>
      </c>
      <c r="Y43" s="8">
        <v>17516.731734523146</v>
      </c>
      <c r="Z43" s="8">
        <v>19124.132185504026</v>
      </c>
      <c r="AA43" s="8">
        <v>20528.130170987315</v>
      </c>
      <c r="AB43" s="8">
        <v>22668.942911772738</v>
      </c>
      <c r="AC43" s="8">
        <v>24248.989490703316</v>
      </c>
      <c r="AD43" s="8">
        <v>26546.254332178087</v>
      </c>
      <c r="AE43" s="8">
        <v>28679.473684210527</v>
      </c>
      <c r="AF43" s="8">
        <v>29862.658719875617</v>
      </c>
      <c r="AG43" s="8">
        <v>31254.202750891491</v>
      </c>
      <c r="AH43" s="8">
        <v>32093.460285642697</v>
      </c>
      <c r="AI43" s="8">
        <v>33005.912786400593</v>
      </c>
      <c r="AJ43" s="8">
        <v>34283.923837069175</v>
      </c>
      <c r="AK43" s="8">
        <v>35237.009169997647</v>
      </c>
      <c r="AL43" s="8">
        <v>36467.982556805138</v>
      </c>
      <c r="AM43" s="8">
        <v>34676.569885212695</v>
      </c>
    </row>
    <row r="44" spans="1:48">
      <c r="A44" s="19" t="s">
        <v>37</v>
      </c>
      <c r="B44" s="8">
        <v>12729.111957687614</v>
      </c>
      <c r="C44" s="8">
        <v>13124.3816774241</v>
      </c>
      <c r="D44" s="8">
        <v>13964.585121732936</v>
      </c>
      <c r="E44" s="8">
        <v>14636.424670211029</v>
      </c>
      <c r="F44" s="8">
        <v>14245.197597445933</v>
      </c>
      <c r="G44" s="8">
        <v>15184.356940306543</v>
      </c>
      <c r="H44" s="8">
        <v>15507.193280314539</v>
      </c>
      <c r="I44" s="8">
        <v>15952.631110319651</v>
      </c>
      <c r="J44" s="8">
        <v>16854.344969636706</v>
      </c>
      <c r="K44" s="8">
        <v>17396.622603395117</v>
      </c>
      <c r="L44" s="8">
        <v>17519.890284905327</v>
      </c>
      <c r="M44" s="8">
        <v>17581.777023203169</v>
      </c>
      <c r="N44" s="8">
        <v>17781.04448058836</v>
      </c>
      <c r="O44" s="8">
        <v>18350.425084398255</v>
      </c>
      <c r="P44" s="8">
        <v>18858.551410951884</v>
      </c>
      <c r="Q44" s="8">
        <v>19396.865502862394</v>
      </c>
      <c r="R44" s="8">
        <v>20013.886435108303</v>
      </c>
      <c r="S44" s="8">
        <v>20843.401790601991</v>
      </c>
      <c r="T44" s="8">
        <v>21533.314511575383</v>
      </c>
      <c r="U44" s="8">
        <v>21957.086690526983</v>
      </c>
      <c r="V44" s="8">
        <v>22271.470339580104</v>
      </c>
      <c r="W44" s="8">
        <v>22435.322288149022</v>
      </c>
      <c r="X44" s="8">
        <v>22222.357122747748</v>
      </c>
      <c r="Y44" s="8">
        <v>22696.163115950952</v>
      </c>
      <c r="Z44" s="8">
        <v>23337.361902751389</v>
      </c>
      <c r="AA44" s="8">
        <v>23586.352444600772</v>
      </c>
      <c r="AB44" s="8">
        <v>24015.275092283355</v>
      </c>
      <c r="AC44" s="8">
        <v>24344.544607868982</v>
      </c>
      <c r="AD44" s="8">
        <v>24697.097476983625</v>
      </c>
      <c r="AE44" s="8">
        <v>25597.520283797548</v>
      </c>
      <c r="AF44" s="8">
        <v>26046.931217859841</v>
      </c>
      <c r="AG44" s="8">
        <v>26082.789509596376</v>
      </c>
      <c r="AH44" s="8">
        <v>25875.56635708706</v>
      </c>
      <c r="AI44" s="8">
        <v>26014.525139664805</v>
      </c>
      <c r="AJ44" s="8">
        <v>25992.134045421197</v>
      </c>
      <c r="AK44" s="8">
        <v>26370.601608360761</v>
      </c>
      <c r="AL44" s="8">
        <v>26587.654736842105</v>
      </c>
      <c r="AM44" s="8">
        <v>26085.458097480336</v>
      </c>
    </row>
    <row r="45" spans="1:48">
      <c r="A45" s="19" t="s">
        <v>38</v>
      </c>
      <c r="B45" s="8">
        <v>20540.935672514617</v>
      </c>
      <c r="C45" s="8">
        <v>21579.250720461096</v>
      </c>
      <c r="D45" s="8">
        <v>23108.262108262112</v>
      </c>
      <c r="E45" s="8">
        <v>23808.450704225354</v>
      </c>
      <c r="F45" s="8">
        <v>21997.214484679665</v>
      </c>
      <c r="G45" s="8">
        <v>22429.362880886423</v>
      </c>
      <c r="H45" s="8">
        <v>22718.232044198896</v>
      </c>
      <c r="I45" s="8">
        <v>23643.646408839781</v>
      </c>
      <c r="J45" s="8">
        <v>24132.231404958678</v>
      </c>
      <c r="K45" s="8">
        <v>24269.23076923077</v>
      </c>
      <c r="L45" s="8">
        <v>24068.493150684932</v>
      </c>
      <c r="M45" s="8">
        <v>24273.224043715847</v>
      </c>
      <c r="N45" s="8">
        <v>25000</v>
      </c>
      <c r="O45" s="8">
        <v>26546.448087431694</v>
      </c>
      <c r="P45" s="8">
        <v>27212.534059945505</v>
      </c>
      <c r="Q45" s="8">
        <v>29847.826086956524</v>
      </c>
      <c r="R45" s="8">
        <v>30776.280323450133</v>
      </c>
      <c r="S45" s="8">
        <v>33114.973262032086</v>
      </c>
      <c r="T45" s="8">
        <v>35973.544973544973</v>
      </c>
      <c r="U45" s="8">
        <v>37492.146596858642</v>
      </c>
      <c r="V45" s="8">
        <v>40206.718346253227</v>
      </c>
      <c r="W45" s="8">
        <v>40415.816326530614</v>
      </c>
      <c r="X45" s="8">
        <v>41477.386934673363</v>
      </c>
      <c r="Y45" s="8">
        <v>42423.267326732668</v>
      </c>
      <c r="Z45" s="8">
        <v>42402.439024390245</v>
      </c>
      <c r="AA45" s="8">
        <v>42423.076923076922</v>
      </c>
      <c r="AB45" s="8">
        <v>44410.926365795727</v>
      </c>
      <c r="AC45" s="8">
        <v>46737.089201877934</v>
      </c>
      <c r="AD45" s="8">
        <v>49967.592592592591</v>
      </c>
      <c r="AE45" s="8">
        <v>53321.184510250569</v>
      </c>
      <c r="AF45" s="8">
        <v>54294.117647058825</v>
      </c>
      <c r="AG45" s="8">
        <v>56015.695067264576</v>
      </c>
      <c r="AH45" s="8">
        <v>56128.318584070796</v>
      </c>
      <c r="AI45" s="8">
        <v>57827.510917030566</v>
      </c>
      <c r="AJ45" s="8">
        <v>60051.612903225803</v>
      </c>
      <c r="AK45" s="8">
        <v>62325.58139534884</v>
      </c>
      <c r="AL45" s="8">
        <v>65391.666666666672</v>
      </c>
      <c r="AM45" s="8">
        <v>64210.633946830269</v>
      </c>
    </row>
    <row r="46" spans="1:48">
      <c r="A46" s="19" t="s">
        <v>39</v>
      </c>
      <c r="B46" s="8">
        <v>15996.361982719416</v>
      </c>
      <c r="C46" s="8">
        <v>16230.082520630158</v>
      </c>
      <c r="D46" s="8">
        <v>17030.882571811282</v>
      </c>
      <c r="E46" s="8">
        <v>17618.031455364395</v>
      </c>
      <c r="F46" s="8">
        <v>17488.57979502196</v>
      </c>
      <c r="G46" s="8">
        <v>18175.560879982575</v>
      </c>
      <c r="H46" s="8">
        <v>18413.755773672056</v>
      </c>
      <c r="I46" s="8">
        <v>18730.755434392711</v>
      </c>
      <c r="J46" s="8">
        <v>18980.119709277467</v>
      </c>
      <c r="K46" s="8">
        <v>19439.284704551879</v>
      </c>
      <c r="L46" s="8">
        <v>19152.944479539554</v>
      </c>
      <c r="M46" s="8">
        <v>18829.373951928454</v>
      </c>
      <c r="N46" s="8">
        <v>19144.209354120267</v>
      </c>
      <c r="O46" s="8">
        <v>19655.134160715523</v>
      </c>
      <c r="P46" s="8">
        <v>20071.783545002763</v>
      </c>
      <c r="Q46" s="8">
        <v>20519.324500583509</v>
      </c>
      <c r="R46" s="8">
        <v>20777.209492635026</v>
      </c>
      <c r="S46" s="8">
        <v>21352.439024390245</v>
      </c>
      <c r="T46" s="8">
        <v>22167.048363195474</v>
      </c>
      <c r="U46" s="8">
        <v>22938.315381012915</v>
      </c>
      <c r="V46" s="8">
        <v>23309.131935226971</v>
      </c>
      <c r="W46" s="8">
        <v>23528.718218943486</v>
      </c>
      <c r="X46" s="8">
        <v>23656.376716808372</v>
      </c>
      <c r="Y46" s="8">
        <v>24212.729991548014</v>
      </c>
      <c r="Z46" s="8">
        <v>24839.715394566621</v>
      </c>
      <c r="AA46" s="8">
        <v>25576.645626690712</v>
      </c>
      <c r="AB46" s="8">
        <v>26532.453386301018</v>
      </c>
      <c r="AC46" s="8">
        <v>27404.890785200281</v>
      </c>
      <c r="AD46" s="8">
        <v>28496.362831298629</v>
      </c>
      <c r="AE46" s="8">
        <v>29409.119457354602</v>
      </c>
      <c r="AF46" s="8">
        <v>29749.423424546534</v>
      </c>
      <c r="AG46" s="8">
        <v>29580.355483990836</v>
      </c>
      <c r="AH46" s="8">
        <v>29540.590519632624</v>
      </c>
      <c r="AI46" s="8">
        <v>30102.912263455393</v>
      </c>
      <c r="AJ46" s="8">
        <v>30641.784641784641</v>
      </c>
      <c r="AK46" s="8">
        <v>31635.334434857104</v>
      </c>
      <c r="AL46" s="8">
        <v>32704.298449139089</v>
      </c>
      <c r="AM46" s="8">
        <v>33231.204379562041</v>
      </c>
    </row>
    <row r="47" spans="1:48">
      <c r="A47" s="19" t="s">
        <v>40</v>
      </c>
      <c r="B47" s="8">
        <v>15062.00358698437</v>
      </c>
      <c r="C47" s="8">
        <v>15734.045258072718</v>
      </c>
      <c r="D47" s="8">
        <v>16326.515151515154</v>
      </c>
      <c r="E47" s="8">
        <v>16843.412797992471</v>
      </c>
      <c r="F47" s="8">
        <v>17592.712752682808</v>
      </c>
      <c r="G47" s="8">
        <v>18524.093392945852</v>
      </c>
      <c r="H47" s="8">
        <v>19209.745238684143</v>
      </c>
      <c r="I47" s="8">
        <v>19871.39689578714</v>
      </c>
      <c r="J47" s="8">
        <v>20666.093788362385</v>
      </c>
      <c r="K47" s="8">
        <v>21528.389623103278</v>
      </c>
      <c r="L47" s="8">
        <v>21786.829268292684</v>
      </c>
      <c r="M47" s="8">
        <v>21734.629404617252</v>
      </c>
      <c r="N47" s="8">
        <v>22503.875968992248</v>
      </c>
      <c r="O47" s="8">
        <v>23761.111111111113</v>
      </c>
      <c r="P47" s="8">
        <v>24954.972309174093</v>
      </c>
      <c r="Q47" s="8">
        <v>25875.449964002881</v>
      </c>
      <c r="R47" s="8">
        <v>26210.174349176021</v>
      </c>
      <c r="S47" s="8">
        <v>26028.035162746499</v>
      </c>
      <c r="T47" s="8">
        <v>26175.774781168675</v>
      </c>
      <c r="U47" s="8">
        <v>26592.313133694886</v>
      </c>
      <c r="V47" s="8">
        <v>27282.731112153921</v>
      </c>
      <c r="W47" s="8">
        <v>28085.860942603827</v>
      </c>
      <c r="X47" s="8">
        <v>28694.341372912801</v>
      </c>
      <c r="Y47" s="8">
        <v>29970.025363154251</v>
      </c>
      <c r="Z47" s="8">
        <v>31074.346030289125</v>
      </c>
      <c r="AA47" s="8">
        <v>32487.559917826977</v>
      </c>
      <c r="AB47" s="8">
        <v>34052.894438138479</v>
      </c>
      <c r="AC47" s="8">
        <v>34753.384476534295</v>
      </c>
      <c r="AD47" s="8">
        <v>35219.184222321834</v>
      </c>
      <c r="AE47" s="8">
        <v>36130.037853484748</v>
      </c>
      <c r="AF47" s="8">
        <v>36669.621094615555</v>
      </c>
      <c r="AG47" s="8">
        <v>37007.050011015643</v>
      </c>
      <c r="AH47" s="8">
        <v>37169.331872946328</v>
      </c>
      <c r="AI47" s="8">
        <v>38387.061642343717</v>
      </c>
      <c r="AJ47" s="8">
        <v>39173.950670705322</v>
      </c>
      <c r="AK47" s="8">
        <v>39732.246299077451</v>
      </c>
      <c r="AL47" s="8">
        <v>40426.901827454312</v>
      </c>
      <c r="AM47" s="8">
        <v>40625.629194630877</v>
      </c>
    </row>
    <row r="48" spans="1:48">
      <c r="A48" s="19" t="s">
        <v>41</v>
      </c>
      <c r="B48" s="8">
        <v>6418.8109756097565</v>
      </c>
      <c r="C48" s="8">
        <v>6832.9603870577566</v>
      </c>
      <c r="D48" s="8">
        <v>7272.751790476761</v>
      </c>
      <c r="E48" s="8">
        <v>7628.179632542814</v>
      </c>
      <c r="F48" s="8">
        <v>7915.7016048439245</v>
      </c>
      <c r="G48" s="8">
        <v>8031.4882719282923</v>
      </c>
      <c r="H48" s="8">
        <v>8106.1156262608793</v>
      </c>
      <c r="I48" s="8">
        <v>8330.6769494430173</v>
      </c>
      <c r="J48" s="8">
        <v>7931.1606535057863</v>
      </c>
      <c r="K48" s="8">
        <v>7894.541570633537</v>
      </c>
      <c r="L48" s="8">
        <v>7042.7831318589488</v>
      </c>
      <c r="M48" s="8">
        <v>6646.8932012035229</v>
      </c>
      <c r="N48" s="8">
        <v>6950.04238330918</v>
      </c>
      <c r="O48" s="8">
        <v>7275.0988784742913</v>
      </c>
      <c r="P48" s="8">
        <v>7615.5686369378809</v>
      </c>
      <c r="Q48" s="8">
        <v>7886.9073045706955</v>
      </c>
      <c r="R48" s="8">
        <v>7966.8118096856415</v>
      </c>
      <c r="S48" s="8">
        <v>8239.3692884686498</v>
      </c>
      <c r="T48" s="8">
        <v>8246.5930358225487</v>
      </c>
      <c r="U48" s="8">
        <v>7334.6217559359475</v>
      </c>
      <c r="V48" s="8">
        <v>6806.1087931984575</v>
      </c>
      <c r="W48" s="8">
        <v>6965.5777643884421</v>
      </c>
      <c r="X48" s="8">
        <v>7216.8964705266744</v>
      </c>
      <c r="Y48" s="8">
        <v>7592.7271776639127</v>
      </c>
      <c r="Z48" s="8">
        <v>8115.6890920966689</v>
      </c>
      <c r="AA48" s="8">
        <v>8618.8461438010909</v>
      </c>
      <c r="AB48" s="8">
        <v>9228.8989867335204</v>
      </c>
      <c r="AC48" s="8">
        <v>9690.9071911814644</v>
      </c>
      <c r="AD48" s="8">
        <v>10132.793310687222</v>
      </c>
      <c r="AE48" s="8">
        <v>10568.303011292346</v>
      </c>
      <c r="AF48" s="8">
        <v>10697.0798149068</v>
      </c>
      <c r="AG48" s="8">
        <v>10856.873822975518</v>
      </c>
      <c r="AH48" s="8">
        <v>11287.655452284331</v>
      </c>
      <c r="AI48" s="8">
        <v>11895.625982189627</v>
      </c>
      <c r="AJ48" s="8">
        <v>12332.040564974712</v>
      </c>
      <c r="AK48" s="8">
        <v>13109.986363159553</v>
      </c>
      <c r="AL48" s="8">
        <v>14005.404554517789</v>
      </c>
      <c r="AM48" s="8">
        <v>14706.238849826845</v>
      </c>
    </row>
    <row r="49" spans="1:39">
      <c r="A49" s="19" t="s">
        <v>42</v>
      </c>
      <c r="B49" s="8">
        <v>7339.7112740604962</v>
      </c>
      <c r="C49" s="8">
        <v>7939.7590361445782</v>
      </c>
      <c r="D49" s="8">
        <v>8826.1069052534986</v>
      </c>
      <c r="E49" s="8">
        <v>8803.7330316742082</v>
      </c>
      <c r="F49" s="8">
        <v>8107.3840121977782</v>
      </c>
      <c r="G49" s="8">
        <v>8423.6265481105129</v>
      </c>
      <c r="H49" s="8">
        <v>8801.5291160452452</v>
      </c>
      <c r="I49" s="8">
        <v>8951.8234562784928</v>
      </c>
      <c r="J49" s="8">
        <v>9355.7810578105782</v>
      </c>
      <c r="K49" s="8">
        <v>9679.9837761103227</v>
      </c>
      <c r="L49" s="8">
        <v>9752.5887202171525</v>
      </c>
      <c r="M49" s="8">
        <v>9900.1798561151081</v>
      </c>
      <c r="N49" s="8">
        <v>9839.7333863907679</v>
      </c>
      <c r="O49" s="8">
        <v>9622.2486615110047</v>
      </c>
      <c r="P49" s="8">
        <v>9870.7954095765726</v>
      </c>
      <c r="Q49" s="8">
        <v>10279.580530273051</v>
      </c>
      <c r="R49" s="8">
        <v>10953.919334060054</v>
      </c>
      <c r="S49" s="8">
        <v>11804.769001490313</v>
      </c>
      <c r="T49" s="8">
        <v>12605.103159573408</v>
      </c>
      <c r="U49" s="8">
        <v>13152.876438219111</v>
      </c>
      <c r="V49" s="8">
        <v>13766.027892043743</v>
      </c>
      <c r="W49" s="8">
        <v>13921.60995684031</v>
      </c>
      <c r="X49" s="8">
        <v>13622.117505514338</v>
      </c>
      <c r="Y49" s="8">
        <v>13720.444088817765</v>
      </c>
      <c r="Z49" s="8">
        <v>14262.412761714857</v>
      </c>
      <c r="AA49" s="8">
        <v>14737.422946907935</v>
      </c>
      <c r="AB49" s="8">
        <v>15304.132395203647</v>
      </c>
      <c r="AC49" s="8">
        <v>15986.474479218088</v>
      </c>
      <c r="AD49" s="8">
        <v>16530.377506881636</v>
      </c>
      <c r="AE49" s="8">
        <v>17088.402112262858</v>
      </c>
      <c r="AF49" s="8">
        <v>17319.440396385893</v>
      </c>
      <c r="AG49" s="8">
        <v>17324.74922839506</v>
      </c>
      <c r="AH49" s="8">
        <v>17065.127861315963</v>
      </c>
      <c r="AI49" s="8">
        <v>17223.100361835841</v>
      </c>
      <c r="AJ49" s="8">
        <v>17302.398331595414</v>
      </c>
      <c r="AK49" s="8">
        <v>17481.009070294785</v>
      </c>
      <c r="AL49" s="8">
        <v>17768.099547511312</v>
      </c>
      <c r="AM49" s="8">
        <v>17738.184899265674</v>
      </c>
    </row>
    <row r="50" spans="1:39">
      <c r="A50" s="19" t="s">
        <v>43</v>
      </c>
      <c r="B50" s="8">
        <v>8197.4117130949762</v>
      </c>
      <c r="C50" s="8">
        <v>8424.281984334204</v>
      </c>
      <c r="D50" s="8">
        <v>8620.9868562809734</v>
      </c>
      <c r="E50" s="8">
        <v>8829.0343210402898</v>
      </c>
      <c r="F50" s="8">
        <v>8997.2568052331717</v>
      </c>
      <c r="G50" s="8">
        <v>9098.141574441428</v>
      </c>
      <c r="H50" s="8">
        <v>9343.7306341664935</v>
      </c>
      <c r="I50" s="8">
        <v>9393.7040065412912</v>
      </c>
      <c r="J50" s="8">
        <v>9381.5789473684199</v>
      </c>
      <c r="K50" s="8">
        <v>9523.073836276084</v>
      </c>
      <c r="L50" s="8">
        <v>9404.6242774566472</v>
      </c>
      <c r="M50" s="8">
        <v>9490.0098911968362</v>
      </c>
      <c r="N50" s="8">
        <v>9534.7604084838968</v>
      </c>
      <c r="O50" s="8">
        <v>9663.611544461779</v>
      </c>
      <c r="P50" s="8">
        <v>9935.6838434715228</v>
      </c>
      <c r="Q50" s="8">
        <v>10287.88754092047</v>
      </c>
      <c r="R50" s="8">
        <v>10478.560490045942</v>
      </c>
      <c r="S50" s="8">
        <v>10626.928204151589</v>
      </c>
      <c r="T50" s="8">
        <v>10704.510993176649</v>
      </c>
      <c r="U50" s="8">
        <v>10375.235938089845</v>
      </c>
      <c r="V50" s="8">
        <v>8888.321029717963</v>
      </c>
      <c r="W50" s="8">
        <v>8253.4388543433197</v>
      </c>
      <c r="X50" s="8">
        <v>8381.9718309859145</v>
      </c>
      <c r="Y50" s="8">
        <v>8865.5320740602201</v>
      </c>
      <c r="Z50" s="8">
        <v>9355.5845608801028</v>
      </c>
      <c r="AA50" s="8">
        <v>9984.3691849646457</v>
      </c>
      <c r="AB50" s="8">
        <v>10403.492476314323</v>
      </c>
      <c r="AC50" s="8">
        <v>10840.660359859025</v>
      </c>
      <c r="AD50" s="8">
        <v>10833.765752409192</v>
      </c>
      <c r="AE50" s="8">
        <v>10972.042214404741</v>
      </c>
      <c r="AF50" s="8">
        <v>11398.698884758365</v>
      </c>
      <c r="AG50" s="8">
        <v>11923.963562000372</v>
      </c>
      <c r="AH50" s="8">
        <v>12493.772076594163</v>
      </c>
      <c r="AI50" s="8">
        <v>13115.013006317355</v>
      </c>
      <c r="AJ50" s="8">
        <v>13976.239094115464</v>
      </c>
      <c r="AK50" s="8">
        <v>15153.403821183454</v>
      </c>
      <c r="AL50" s="8">
        <v>16738.002594033722</v>
      </c>
      <c r="AM50" s="8">
        <v>17741.213466518682</v>
      </c>
    </row>
    <row r="51" spans="1:39">
      <c r="A51" s="21" t="s">
        <v>44</v>
      </c>
      <c r="B51" s="8">
        <v>10414.923982058599</v>
      </c>
      <c r="C51" s="8">
        <v>11163.265306122448</v>
      </c>
      <c r="D51" s="8">
        <v>11924.962810390203</v>
      </c>
      <c r="E51" s="8">
        <v>12474.03314917127</v>
      </c>
      <c r="F51" s="8">
        <v>12411.899955136832</v>
      </c>
      <c r="G51" s="8">
        <v>12671.331190423409</v>
      </c>
      <c r="H51" s="8">
        <v>12876.861993428258</v>
      </c>
      <c r="I51" s="8">
        <v>12919.150894863673</v>
      </c>
      <c r="J51" s="8">
        <v>12809.709102619148</v>
      </c>
      <c r="K51" s="8">
        <v>12952.214080917491</v>
      </c>
      <c r="L51" s="8">
        <v>12855.883905013194</v>
      </c>
      <c r="M51" s="8">
        <v>12946.436069703968</v>
      </c>
      <c r="N51" s="8">
        <v>13113.993156231225</v>
      </c>
      <c r="O51" s="8">
        <v>13293.522372528616</v>
      </c>
      <c r="P51" s="8">
        <v>13552.070913897673</v>
      </c>
      <c r="Q51" s="8">
        <v>13950.644719501797</v>
      </c>
      <c r="R51" s="8">
        <v>14688.078360613481</v>
      </c>
      <c r="S51" s="8">
        <v>15402.597736625514</v>
      </c>
      <c r="T51" s="8">
        <v>16114.978821717366</v>
      </c>
      <c r="U51" s="8">
        <v>16699.082380683856</v>
      </c>
      <c r="V51" s="8">
        <v>17093.567700337731</v>
      </c>
      <c r="W51" s="8">
        <v>17212.329291640079</v>
      </c>
      <c r="X51" s="8">
        <v>16997.452943124219</v>
      </c>
      <c r="Y51" s="8">
        <v>17371.564414838165</v>
      </c>
      <c r="Z51" s="8">
        <v>17824.768965167055</v>
      </c>
      <c r="AA51" s="8">
        <v>18213.505914536843</v>
      </c>
      <c r="AB51" s="8">
        <v>18868.428365712552</v>
      </c>
      <c r="AC51" s="8">
        <v>19642.515482604096</v>
      </c>
      <c r="AD51" s="8">
        <v>20469.106118666568</v>
      </c>
      <c r="AE51" s="8">
        <v>21322.794555930854</v>
      </c>
      <c r="AF51" s="8">
        <v>21852.606763095209</v>
      </c>
      <c r="AG51" s="8">
        <v>22121.411628019556</v>
      </c>
      <c r="AH51" s="8">
        <v>22431.186763480535</v>
      </c>
      <c r="AI51" s="8">
        <v>22791.225522346107</v>
      </c>
      <c r="AJ51" s="8">
        <v>23230.817088345084</v>
      </c>
      <c r="AK51" s="8">
        <v>23796.972860125261</v>
      </c>
      <c r="AL51" s="8">
        <v>24202.299772696882</v>
      </c>
      <c r="AM51" s="8">
        <v>24024.959971925513</v>
      </c>
    </row>
    <row r="52" spans="1:39">
      <c r="A52" s="19" t="s">
        <v>45</v>
      </c>
      <c r="B52" s="8">
        <v>16700.049394912323</v>
      </c>
      <c r="C52" s="8">
        <v>17031.765574981531</v>
      </c>
      <c r="D52" s="8">
        <v>17674.941624677398</v>
      </c>
      <c r="E52" s="8">
        <v>18186.619286852103</v>
      </c>
      <c r="F52" s="8">
        <v>18580.322265625</v>
      </c>
      <c r="G52" s="8">
        <v>18708.343468742398</v>
      </c>
      <c r="H52" s="8">
        <v>18345.049084959399</v>
      </c>
      <c r="I52" s="8">
        <v>18612.205438066463</v>
      </c>
      <c r="J52" s="8">
        <v>19282.613937786351</v>
      </c>
      <c r="K52" s="8">
        <v>19572.683513838747</v>
      </c>
      <c r="L52" s="8">
        <v>19509.615384615383</v>
      </c>
      <c r="M52" s="8">
        <v>19730.570570570573</v>
      </c>
      <c r="N52" s="8">
        <v>20078.04058110217</v>
      </c>
      <c r="O52" s="8">
        <v>20915.557154851867</v>
      </c>
      <c r="P52" s="8">
        <v>21340.239520958086</v>
      </c>
      <c r="Q52" s="8">
        <v>21898.327359617684</v>
      </c>
      <c r="R52" s="8">
        <v>22579.780900214337</v>
      </c>
      <c r="S52" s="8">
        <v>23077.524893314367</v>
      </c>
      <c r="T52" s="8">
        <v>23559.637348404569</v>
      </c>
      <c r="U52" s="8">
        <v>23614.207267204114</v>
      </c>
      <c r="V52" s="8">
        <v>23192.178252291978</v>
      </c>
      <c r="W52" s="8">
        <v>22778.264882325799</v>
      </c>
      <c r="X52" s="8">
        <v>22179.034292923501</v>
      </c>
      <c r="Y52" s="8">
        <v>22891.697984284248</v>
      </c>
      <c r="Z52" s="8">
        <v>23677.126996714625</v>
      </c>
      <c r="AA52" s="8">
        <v>23984.843343513177</v>
      </c>
      <c r="AB52" s="8">
        <v>24561.04453990504</v>
      </c>
      <c r="AC52" s="8">
        <v>25483.448197943733</v>
      </c>
      <c r="AD52" s="8">
        <v>26633.438699480696</v>
      </c>
      <c r="AE52" s="8">
        <v>27761.158701532913</v>
      </c>
      <c r="AF52" s="8">
        <v>27979.091726618703</v>
      </c>
      <c r="AG52" s="8">
        <v>28560.672268907561</v>
      </c>
      <c r="AH52" s="8">
        <v>28999.665103817817</v>
      </c>
      <c r="AI52" s="8">
        <v>30075.605959528577</v>
      </c>
      <c r="AJ52" s="8">
        <v>30943.743078626801</v>
      </c>
      <c r="AK52" s="8">
        <v>32076.643541460195</v>
      </c>
      <c r="AL52" s="8">
        <v>32651.94578049847</v>
      </c>
      <c r="AM52" s="8">
        <v>32200.518582541055</v>
      </c>
    </row>
    <row r="53" spans="1:39">
      <c r="A53" s="19" t="s">
        <v>46</v>
      </c>
      <c r="B53" s="8">
        <v>23893.11051552893</v>
      </c>
      <c r="C53" s="8">
        <v>24434.463365099204</v>
      </c>
      <c r="D53" s="8">
        <v>25023.288309268748</v>
      </c>
      <c r="E53" s="8">
        <v>25312.693498452012</v>
      </c>
      <c r="F53" s="8">
        <v>23674.26608369769</v>
      </c>
      <c r="G53" s="8">
        <v>23603.663350702667</v>
      </c>
      <c r="H53" s="8">
        <v>24243.191893603547</v>
      </c>
      <c r="I53" s="8">
        <v>24276.961945365543</v>
      </c>
      <c r="J53" s="8">
        <v>24811.368288458511</v>
      </c>
      <c r="K53" s="8">
        <v>25815.035238841036</v>
      </c>
      <c r="L53" s="8">
        <v>26091.927204853007</v>
      </c>
      <c r="M53" s="8">
        <v>25594.093087985158</v>
      </c>
      <c r="N53" s="8">
        <v>25670.317803147176</v>
      </c>
      <c r="O53" s="8">
        <v>26379.861644888548</v>
      </c>
      <c r="P53" s="8">
        <v>27189.652533292512</v>
      </c>
      <c r="Q53" s="8">
        <v>27485.775140727215</v>
      </c>
      <c r="R53" s="8">
        <v>27637.256383139447</v>
      </c>
      <c r="S53" s="8">
        <v>28316.696642685853</v>
      </c>
      <c r="T53" s="8">
        <v>29380.633645693888</v>
      </c>
      <c r="U53" s="8">
        <v>30168.92289582107</v>
      </c>
      <c r="V53" s="8">
        <v>29518.60465116279</v>
      </c>
      <c r="W53" s="8">
        <v>29279.85020884344</v>
      </c>
      <c r="X53" s="8">
        <v>29033.338102732865</v>
      </c>
      <c r="Y53" s="8">
        <v>29178.627255932926</v>
      </c>
      <c r="Z53" s="8">
        <v>29098.856093772065</v>
      </c>
      <c r="AA53" s="8">
        <v>29182.82899366643</v>
      </c>
      <c r="AB53" s="8">
        <v>29755.096302544636</v>
      </c>
      <c r="AC53" s="8">
        <v>30458.777341559173</v>
      </c>
      <c r="AD53" s="8">
        <v>30707.548486116924</v>
      </c>
      <c r="AE53" s="8">
        <v>31622.138992925513</v>
      </c>
      <c r="AF53" s="8">
        <v>31652.711050102949</v>
      </c>
      <c r="AG53" s="8">
        <v>31541.876617186437</v>
      </c>
      <c r="AH53" s="8">
        <v>31215.935178933152</v>
      </c>
      <c r="AI53" s="8">
        <v>31796.216796350953</v>
      </c>
      <c r="AJ53" s="8">
        <v>32431.275829889346</v>
      </c>
      <c r="AK53" s="8">
        <v>33355.252712357767</v>
      </c>
      <c r="AL53" s="8">
        <v>34281.139257120361</v>
      </c>
      <c r="AM53" s="8">
        <v>34479.507133592735</v>
      </c>
    </row>
    <row r="54" spans="1:39">
      <c r="A54" s="19" t="s">
        <v>47</v>
      </c>
      <c r="B54" s="8">
        <v>4841.3916885268527</v>
      </c>
      <c r="C54" s="8">
        <v>5072.4711838845205</v>
      </c>
      <c r="D54" s="8">
        <v>5108.5837360790074</v>
      </c>
      <c r="E54" s="8">
        <v>5261.1691771697915</v>
      </c>
      <c r="F54" s="8">
        <v>5491.965666949448</v>
      </c>
      <c r="G54" s="8">
        <v>5942.4905291457899</v>
      </c>
      <c r="H54" s="8">
        <v>6019.3210113005171</v>
      </c>
      <c r="I54" s="8">
        <v>5984.9202626641654</v>
      </c>
      <c r="J54" s="8">
        <v>5825.9591086606933</v>
      </c>
      <c r="K54" s="8">
        <v>5567.3297628156079</v>
      </c>
      <c r="L54" s="8">
        <v>5696.376811594203</v>
      </c>
      <c r="M54" s="8">
        <v>5754.262337217272</v>
      </c>
      <c r="N54" s="8">
        <v>5891.7975931806786</v>
      </c>
      <c r="O54" s="8">
        <v>6132.7287548400245</v>
      </c>
      <c r="P54" s="8">
        <v>6235.7770444877351</v>
      </c>
      <c r="Q54" s="8">
        <v>6521.0567210567215</v>
      </c>
      <c r="R54" s="8">
        <v>7018.1974412831778</v>
      </c>
      <c r="S54" s="8">
        <v>7046.1815724262224</v>
      </c>
      <c r="T54" s="8">
        <v>6943.4602893416004</v>
      </c>
      <c r="U54" s="8">
        <v>7458.381712626996</v>
      </c>
      <c r="V54" s="8">
        <v>7401.9266791544023</v>
      </c>
      <c r="W54" s="8">
        <v>7716.719896114836</v>
      </c>
      <c r="X54" s="8">
        <v>8203.8402431233062</v>
      </c>
      <c r="Y54" s="8">
        <v>7634.464707581963</v>
      </c>
      <c r="Z54" s="8">
        <v>8057.617645090033</v>
      </c>
      <c r="AA54" s="8">
        <v>8492.0472713487507</v>
      </c>
      <c r="AB54" s="8">
        <v>8996.3138579455026</v>
      </c>
      <c r="AC54" s="8">
        <v>9143.5066598360663</v>
      </c>
      <c r="AD54" s="8">
        <v>8710.0179907205766</v>
      </c>
      <c r="AE54" s="8">
        <v>9170.8398823511106</v>
      </c>
      <c r="AF54" s="8">
        <v>8532.018116220157</v>
      </c>
      <c r="AG54" s="8">
        <v>8937.9933039434018</v>
      </c>
      <c r="AH54" s="8">
        <v>9287.0366216559742</v>
      </c>
      <c r="AI54" s="8">
        <v>10027.460359642131</v>
      </c>
      <c r="AJ54" s="8">
        <v>10735.528272724623</v>
      </c>
      <c r="AK54" s="8">
        <v>11336.886532893504</v>
      </c>
      <c r="AL54" s="8">
        <v>11725.133796401731</v>
      </c>
      <c r="AM54" s="8">
        <v>11693.453762714727</v>
      </c>
    </row>
    <row r="55" spans="1:39">
      <c r="A55" s="19" t="s">
        <v>48</v>
      </c>
      <c r="B55" s="8">
        <v>13777.624803318553</v>
      </c>
      <c r="C55" s="8">
        <v>14226.019216713907</v>
      </c>
      <c r="D55" s="8">
        <v>15205.876598545079</v>
      </c>
      <c r="E55" s="8">
        <v>14995.607795718046</v>
      </c>
      <c r="F55" s="8">
        <v>14904.296944474087</v>
      </c>
      <c r="G55" s="8">
        <v>15301.106446563255</v>
      </c>
      <c r="H55" s="8">
        <v>15674.72859939491</v>
      </c>
      <c r="I55" s="8">
        <v>16186.24728541422</v>
      </c>
      <c r="J55" s="8">
        <v>16602.969416785207</v>
      </c>
      <c r="K55" s="8">
        <v>16230.463341026096</v>
      </c>
      <c r="L55" s="8">
        <v>16008.126763312455</v>
      </c>
      <c r="M55" s="8">
        <v>16362.260396866284</v>
      </c>
      <c r="N55" s="8">
        <v>16947.705802968962</v>
      </c>
      <c r="O55" s="8">
        <v>17371.625095286214</v>
      </c>
      <c r="P55" s="8">
        <v>17950.825759451145</v>
      </c>
      <c r="Q55" s="8">
        <v>18628.272528403078</v>
      </c>
      <c r="R55" s="8">
        <v>19436.993873670868</v>
      </c>
      <c r="S55" s="8">
        <v>20374.885796612554</v>
      </c>
      <c r="T55" s="8">
        <v>20781.309131684069</v>
      </c>
      <c r="U55" s="8">
        <v>20884.340548945613</v>
      </c>
      <c r="V55" s="8">
        <v>20521.109350789535</v>
      </c>
      <c r="W55" s="8">
        <v>20499.105669879307</v>
      </c>
      <c r="X55" s="8">
        <v>20907.8039990297</v>
      </c>
      <c r="Y55" s="8">
        <v>21746.915073796274</v>
      </c>
      <c r="Z55" s="8">
        <v>22347.7638948729</v>
      </c>
      <c r="AA55" s="8">
        <v>22937.624647548309</v>
      </c>
      <c r="AB55" s="8">
        <v>23635.319134341669</v>
      </c>
      <c r="AC55" s="8">
        <v>24420.350577169731</v>
      </c>
      <c r="AD55" s="8">
        <v>25178.379115261399</v>
      </c>
      <c r="AE55" s="8">
        <v>26074.499881126241</v>
      </c>
      <c r="AF55" s="8">
        <v>26613.689036252603</v>
      </c>
      <c r="AG55" s="8">
        <v>27075.586197596211</v>
      </c>
      <c r="AH55" s="8">
        <v>27726.564467652835</v>
      </c>
      <c r="AI55" s="8">
        <v>28406.894362196304</v>
      </c>
      <c r="AJ55" s="8">
        <v>28835.353099372489</v>
      </c>
      <c r="AK55" s="8">
        <v>29487.11769851618</v>
      </c>
      <c r="AL55" s="8">
        <v>30049.298892988929</v>
      </c>
      <c r="AM55" s="8">
        <v>30029.258353708232</v>
      </c>
    </row>
    <row r="56" spans="1:39">
      <c r="A56" s="20" t="s">
        <v>49</v>
      </c>
      <c r="B56" s="8">
        <v>11926.163659477663</v>
      </c>
      <c r="C56" s="8">
        <v>12407.487504593086</v>
      </c>
      <c r="D56" s="8">
        <v>13068.685883066535</v>
      </c>
      <c r="E56" s="8">
        <v>13334.622169436463</v>
      </c>
      <c r="F56" s="8">
        <v>13239.705339900622</v>
      </c>
      <c r="G56" s="8">
        <v>13760.157986748107</v>
      </c>
      <c r="H56" s="8">
        <v>14079.955008135456</v>
      </c>
      <c r="I56" s="8">
        <v>14409.702191981451</v>
      </c>
      <c r="J56" s="8">
        <v>14779.583741232384</v>
      </c>
      <c r="K56" s="8">
        <v>14904.160967867214</v>
      </c>
      <c r="L56" s="8">
        <v>14822.044358241288</v>
      </c>
      <c r="M56" s="8">
        <v>14876.239206239437</v>
      </c>
      <c r="N56" s="8">
        <v>15100.484699715005</v>
      </c>
      <c r="O56" s="8">
        <v>15457.698179415316</v>
      </c>
      <c r="P56" s="8">
        <v>15806.262218812641</v>
      </c>
      <c r="Q56" s="8">
        <v>16208.668392516573</v>
      </c>
      <c r="R56" s="8">
        <v>16631.824883793695</v>
      </c>
      <c r="S56" s="8">
        <v>17210.32909908388</v>
      </c>
      <c r="T56" s="8">
        <v>17695.51446271368</v>
      </c>
      <c r="U56" s="8">
        <v>18047.622020980038</v>
      </c>
      <c r="V56" s="8">
        <v>18133.499881800006</v>
      </c>
      <c r="W56" s="8">
        <v>18271.889290731386</v>
      </c>
      <c r="X56" s="8">
        <v>18228.929994646998</v>
      </c>
      <c r="Y56" s="8">
        <v>18603.786400865643</v>
      </c>
      <c r="Z56" s="8">
        <v>19084.00494019454</v>
      </c>
      <c r="AA56" s="8">
        <v>19445.590352948089</v>
      </c>
      <c r="AB56" s="8">
        <v>19983.228118668088</v>
      </c>
      <c r="AC56" s="8">
        <v>20519.743817715254</v>
      </c>
      <c r="AD56" s="8">
        <v>20992.784785840115</v>
      </c>
      <c r="AE56" s="8">
        <v>21745.121871225892</v>
      </c>
      <c r="AF56" s="8">
        <v>21976.572488222893</v>
      </c>
      <c r="AG56" s="8">
        <v>22178.343705853153</v>
      </c>
      <c r="AH56" s="8">
        <v>22388.35478398166</v>
      </c>
      <c r="AI56" s="8">
        <v>22903.332578929501</v>
      </c>
      <c r="AJ56" s="8">
        <v>23307.138358649856</v>
      </c>
      <c r="AK56" s="8">
        <v>23971.234472411448</v>
      </c>
      <c r="AL56" s="8">
        <v>24549.222490807886</v>
      </c>
      <c r="AM56" s="8">
        <v>24604.366112926236</v>
      </c>
    </row>
    <row r="57" spans="1:39">
      <c r="A57" s="19" t="s">
        <v>50</v>
      </c>
      <c r="B57" s="8">
        <v>3659.6075109416911</v>
      </c>
      <c r="C57" s="8">
        <v>4524.2791589617145</v>
      </c>
      <c r="D57" s="8">
        <v>4556.0722827531226</v>
      </c>
      <c r="E57" s="8">
        <v>4748.6472558618916</v>
      </c>
      <c r="F57" s="8">
        <v>4834.3738294418781</v>
      </c>
      <c r="G57" s="8">
        <v>5076.6346095687413</v>
      </c>
      <c r="H57" s="8">
        <v>5176.1190531989687</v>
      </c>
      <c r="I57" s="8">
        <v>5474.3829787234044</v>
      </c>
      <c r="J57" s="8">
        <v>5696.2922274100529</v>
      </c>
      <c r="K57" s="8">
        <v>5556.3765881664985</v>
      </c>
      <c r="L57" s="8">
        <v>5537.0570385228611</v>
      </c>
      <c r="M57" s="8">
        <v>5699.9900477707006</v>
      </c>
      <c r="N57" s="8">
        <v>5814.5347717202849</v>
      </c>
      <c r="O57" s="8">
        <v>5948.4906452666446</v>
      </c>
      <c r="P57" s="8">
        <v>5983.2103905507529</v>
      </c>
      <c r="Q57" s="8">
        <v>5834.7252747252751</v>
      </c>
      <c r="R57" s="8">
        <v>5634.8751709986318</v>
      </c>
      <c r="S57" s="8">
        <v>5431.5088449531731</v>
      </c>
      <c r="T57" s="8">
        <v>5525.6134658284318</v>
      </c>
      <c r="U57" s="8">
        <v>5431.4756951311156</v>
      </c>
      <c r="V57" s="8">
        <v>5236.2317162595036</v>
      </c>
      <c r="W57" s="8">
        <v>5204.9291528489593</v>
      </c>
      <c r="X57" s="8">
        <v>4981.139026007515</v>
      </c>
      <c r="Y57" s="8">
        <v>4833.0447954988103</v>
      </c>
      <c r="Z57" s="8">
        <v>4921.0330797806473</v>
      </c>
      <c r="AA57" s="8">
        <v>5034.6314325452013</v>
      </c>
      <c r="AB57" s="8">
        <v>5010.5421686746986</v>
      </c>
      <c r="AC57" s="8">
        <v>5189.7051878836937</v>
      </c>
      <c r="AD57" s="8">
        <v>5279.9281723862732</v>
      </c>
      <c r="AE57" s="8">
        <v>5319.3142332655871</v>
      </c>
      <c r="AF57" s="8">
        <v>5378.6263487756023</v>
      </c>
      <c r="AG57" s="8">
        <v>5548.9590628382248</v>
      </c>
      <c r="AH57" s="8">
        <v>5844.1900580210131</v>
      </c>
      <c r="AI57" s="8">
        <v>6056.7261941543593</v>
      </c>
      <c r="AJ57" s="8">
        <v>6271.0781031229071</v>
      </c>
      <c r="AK57" s="8">
        <v>6301.160384995952</v>
      </c>
      <c r="AL57" s="8">
        <v>6393.9680382831648</v>
      </c>
      <c r="AM57" s="8">
        <v>6488.2428263779757</v>
      </c>
    </row>
    <row r="58" spans="1:39">
      <c r="A58" s="19" t="s">
        <v>51</v>
      </c>
      <c r="B58" s="8">
        <v>2380.1706100112665</v>
      </c>
      <c r="C58" s="8">
        <v>2363.464566929134</v>
      </c>
      <c r="D58" s="8">
        <v>2468.7403757314446</v>
      </c>
      <c r="E58" s="8">
        <v>2290.4196119717249</v>
      </c>
      <c r="F58" s="8">
        <v>2189.1415994130593</v>
      </c>
      <c r="G58" s="8">
        <v>1914.9027459954234</v>
      </c>
      <c r="H58" s="8">
        <v>1908.0779944289695</v>
      </c>
      <c r="I58" s="8">
        <v>1935.1212244345118</v>
      </c>
      <c r="J58" s="8">
        <v>1920.9938214802155</v>
      </c>
      <c r="K58" s="8">
        <v>1905.1438757321109</v>
      </c>
      <c r="L58" s="8">
        <v>1720.9645669291338</v>
      </c>
      <c r="M58" s="8">
        <v>1660.0996914312841</v>
      </c>
      <c r="N58" s="8">
        <v>1669.5662126588074</v>
      </c>
      <c r="O58" s="8">
        <v>1708.8033620880337</v>
      </c>
      <c r="P58" s="8">
        <v>1715.2502411317114</v>
      </c>
      <c r="Q58" s="8">
        <v>1714.2112940195873</v>
      </c>
      <c r="R58" s="8">
        <v>1802.70105605199</v>
      </c>
      <c r="S58" s="8">
        <v>1857.0579494799404</v>
      </c>
      <c r="T58" s="8">
        <v>1816.6200173728403</v>
      </c>
      <c r="U58" s="8">
        <v>1760.2476315542633</v>
      </c>
      <c r="V58" s="8">
        <v>1685.0858856675452</v>
      </c>
      <c r="W58" s="8">
        <v>1516.9171280428861</v>
      </c>
      <c r="X58" s="8">
        <v>1103.9578732801087</v>
      </c>
      <c r="Y58" s="8">
        <v>1105.7866184448462</v>
      </c>
      <c r="Z58" s="8">
        <v>1184.4644708509452</v>
      </c>
      <c r="AA58" s="8">
        <v>1281.4245810055866</v>
      </c>
      <c r="AB58" s="8">
        <v>1348.0596111657464</v>
      </c>
      <c r="AC58" s="8">
        <v>1404.9605078615191</v>
      </c>
      <c r="AD58" s="8">
        <v>1414.0040299366724</v>
      </c>
      <c r="AE58" s="8">
        <v>1417.4369747899161</v>
      </c>
      <c r="AF58" s="8">
        <v>1419.8177366702937</v>
      </c>
      <c r="AG58" s="8">
        <v>1576.2331838565024</v>
      </c>
      <c r="AH58" s="8">
        <v>1578.1299929698985</v>
      </c>
      <c r="AI58" s="8">
        <v>1701.518438177874</v>
      </c>
      <c r="AJ58" s="8">
        <v>1992.6585630039717</v>
      </c>
      <c r="AK58" s="8">
        <v>2297.4427994616422</v>
      </c>
      <c r="AL58" s="8">
        <v>2690.0028481913987</v>
      </c>
      <c r="AM58" s="8">
        <v>3008.2126408079462</v>
      </c>
    </row>
    <row r="59" spans="1:39">
      <c r="A59" s="19" t="s">
        <v>52</v>
      </c>
      <c r="B59" s="8">
        <v>903.90070921985819</v>
      </c>
      <c r="C59" s="8">
        <v>939.72982334603398</v>
      </c>
      <c r="D59" s="8">
        <v>950.98039215686265</v>
      </c>
      <c r="E59" s="8">
        <v>959.08940943582968</v>
      </c>
      <c r="F59" s="8">
        <v>889.35348986812483</v>
      </c>
      <c r="G59" s="8">
        <v>874.02068317141971</v>
      </c>
      <c r="H59" s="8">
        <v>893.50015257857797</v>
      </c>
      <c r="I59" s="8">
        <v>880.60588060588066</v>
      </c>
      <c r="J59" s="8">
        <v>912.74198208610233</v>
      </c>
      <c r="K59" s="8">
        <v>947.47191011235952</v>
      </c>
      <c r="L59" s="8">
        <v>1012.2816593886463</v>
      </c>
      <c r="M59" s="8">
        <v>1005.0357805459846</v>
      </c>
      <c r="N59" s="8">
        <v>933.35048893463716</v>
      </c>
      <c r="O59" s="8">
        <v>978.01099450274864</v>
      </c>
      <c r="P59" s="8">
        <v>1021.1062590975255</v>
      </c>
      <c r="Q59" s="8">
        <v>1013.430725730443</v>
      </c>
      <c r="R59" s="8">
        <v>969.78021978021968</v>
      </c>
      <c r="S59" s="8">
        <v>973.54967770615701</v>
      </c>
      <c r="T59" s="8">
        <v>916.82826976944625</v>
      </c>
      <c r="U59" s="8">
        <v>915.95411887382693</v>
      </c>
      <c r="V59" s="8">
        <v>926.48539778449151</v>
      </c>
      <c r="W59" s="8">
        <v>929.11244901922703</v>
      </c>
      <c r="X59" s="8">
        <v>927.16719715409101</v>
      </c>
      <c r="Y59" s="8">
        <v>934.04409107336471</v>
      </c>
      <c r="Z59" s="8">
        <v>944.78420408876468</v>
      </c>
      <c r="AA59" s="8">
        <v>966.30545208262788</v>
      </c>
      <c r="AB59" s="8">
        <v>995.56285949055052</v>
      </c>
      <c r="AC59" s="8">
        <v>1010.6926268751995</v>
      </c>
      <c r="AD59" s="8">
        <v>1027.1107668474051</v>
      </c>
      <c r="AE59" s="8">
        <v>1053.4614807028083</v>
      </c>
      <c r="AF59" s="8">
        <v>1070.6498037505453</v>
      </c>
      <c r="AG59" s="8">
        <v>1082.1031913398003</v>
      </c>
      <c r="AH59" s="8">
        <v>1086.8442511552053</v>
      </c>
      <c r="AI59" s="8">
        <v>1083.3004861384838</v>
      </c>
      <c r="AJ59" s="8">
        <v>1078.2918149466191</v>
      </c>
      <c r="AK59" s="8">
        <v>1083.4153543307086</v>
      </c>
      <c r="AL59" s="8">
        <v>1097.581317764804</v>
      </c>
      <c r="AM59" s="8">
        <v>1117.6402678365273</v>
      </c>
    </row>
    <row r="60" spans="1:39">
      <c r="A60" s="19" t="s">
        <v>53</v>
      </c>
      <c r="B60" s="8" t="e">
        <v>#VALUE!</v>
      </c>
      <c r="C60" s="8" t="e">
        <v>#VALUE!</v>
      </c>
      <c r="D60" s="8" t="e">
        <v>#VALUE!</v>
      </c>
      <c r="E60" s="8" t="e">
        <v>#VALUE!</v>
      </c>
      <c r="F60" s="8" t="e">
        <v>#VALUE!</v>
      </c>
      <c r="G60" s="8" t="e">
        <v>#VALUE!</v>
      </c>
      <c r="H60" s="8" t="e">
        <v>#VALUE!</v>
      </c>
      <c r="I60" s="8" t="e">
        <v>#VALUE!</v>
      </c>
      <c r="J60" s="8" t="e">
        <v>#VALUE!</v>
      </c>
      <c r="K60" s="8" t="e">
        <v>#VALUE!</v>
      </c>
      <c r="L60" s="8">
        <v>3032.0077594568384</v>
      </c>
      <c r="M60" s="8">
        <v>3289.8686679174484</v>
      </c>
      <c r="N60" s="8">
        <v>3603.9963669391464</v>
      </c>
      <c r="O60" s="8">
        <v>3788.0386983289359</v>
      </c>
      <c r="P60" s="8">
        <v>3930.15332197615</v>
      </c>
      <c r="Q60" s="8">
        <v>4121.3872832369943</v>
      </c>
      <c r="R60" s="8">
        <v>4470.7766212970373</v>
      </c>
      <c r="S60" s="8">
        <v>5178.5714285714284</v>
      </c>
      <c r="T60" s="8">
        <v>5682.7430293896005</v>
      </c>
      <c r="U60" s="8">
        <v>5890.2706656912951</v>
      </c>
      <c r="V60" s="8">
        <v>6144.886363636364</v>
      </c>
      <c r="W60" s="8">
        <v>6149.1712707182323</v>
      </c>
      <c r="X60" s="8">
        <v>6094.69442578912</v>
      </c>
      <c r="Y60" s="8">
        <v>6154.4502617801045</v>
      </c>
      <c r="Z60" s="8">
        <v>6269.4763729246488</v>
      </c>
      <c r="AA60" s="8">
        <v>6465.3774173424827</v>
      </c>
      <c r="AB60" s="8">
        <v>6970.6959706959715</v>
      </c>
      <c r="AC60" s="8">
        <v>7555.3560742070613</v>
      </c>
      <c r="AD60" s="8">
        <v>7957.671957671957</v>
      </c>
      <c r="AE60" s="8">
        <v>8473.6842105263149</v>
      </c>
      <c r="AF60" s="8">
        <v>8793.4968625213933</v>
      </c>
      <c r="AG60" s="8">
        <v>8973.5211267605646</v>
      </c>
      <c r="AH60" s="8">
        <v>9430.640668523678</v>
      </c>
      <c r="AI60" s="8">
        <v>9936.6391184573004</v>
      </c>
      <c r="AJ60" s="8">
        <v>10283.224400871459</v>
      </c>
      <c r="AK60" s="8">
        <v>10461.786867599569</v>
      </c>
      <c r="AL60" s="8">
        <v>10772.993088782563</v>
      </c>
      <c r="AM60" s="8">
        <v>10530.708661417322</v>
      </c>
    </row>
    <row r="61" spans="1:39">
      <c r="A61" s="19" t="s">
        <v>54</v>
      </c>
      <c r="B61" s="8">
        <v>1377.2267350719681</v>
      </c>
      <c r="C61" s="8">
        <v>1377.4292059966685</v>
      </c>
      <c r="D61" s="8">
        <v>1412.7027027027027</v>
      </c>
      <c r="E61" s="8">
        <v>1521.7562771131852</v>
      </c>
      <c r="F61" s="8">
        <v>1645.7507987220447</v>
      </c>
      <c r="G61" s="8">
        <v>1510.862818125388</v>
      </c>
      <c r="H61" s="8">
        <v>1668.2333092311401</v>
      </c>
      <c r="I61" s="8">
        <v>1974.9736872880364</v>
      </c>
      <c r="J61" s="8">
        <v>2032.2287789378122</v>
      </c>
      <c r="K61" s="8">
        <v>1933.9061467283543</v>
      </c>
      <c r="L61" s="8">
        <v>2198.630869611723</v>
      </c>
      <c r="M61" s="8">
        <v>2296.1038961038962</v>
      </c>
      <c r="N61" s="8">
        <v>2383.3888384297102</v>
      </c>
      <c r="O61" s="8">
        <v>2487.2121509064186</v>
      </c>
      <c r="P61" s="8">
        <v>2608.5592011412268</v>
      </c>
      <c r="Q61" s="8">
        <v>2701.6605166051659</v>
      </c>
      <c r="R61" s="8">
        <v>2564.0153887447436</v>
      </c>
      <c r="S61" s="8">
        <v>2291.8618774943607</v>
      </c>
      <c r="T61" s="8">
        <v>2183.0808080808079</v>
      </c>
      <c r="U61" s="8">
        <v>1989.7050412615408</v>
      </c>
      <c r="V61" s="8">
        <v>1859.047619047619</v>
      </c>
      <c r="W61" s="8">
        <v>1750.7134593135365</v>
      </c>
      <c r="X61" s="8">
        <v>1648.1884329757709</v>
      </c>
      <c r="Y61" s="8">
        <v>1564.106308411215</v>
      </c>
      <c r="Z61" s="8">
        <v>1574.1214966567079</v>
      </c>
      <c r="AA61" s="8">
        <v>1611.5966153419338</v>
      </c>
      <c r="AB61" s="8">
        <v>1652.9714363070259</v>
      </c>
      <c r="AC61" s="8">
        <v>1695.3734302709847</v>
      </c>
      <c r="AD61" s="8">
        <v>1728.6166160996709</v>
      </c>
      <c r="AE61" s="8">
        <v>1759.22073009268</v>
      </c>
      <c r="AF61" s="8">
        <v>1795.7512315270938</v>
      </c>
      <c r="AG61" s="8">
        <v>1824.2617429482168</v>
      </c>
      <c r="AH61" s="8">
        <v>1854.1042364416242</v>
      </c>
      <c r="AI61" s="8">
        <v>1879.6599460049401</v>
      </c>
      <c r="AJ61" s="8">
        <v>1881.0901938746838</v>
      </c>
      <c r="AK61" s="8">
        <v>1901.127922971114</v>
      </c>
      <c r="AL61" s="8">
        <v>1929.6390222845732</v>
      </c>
      <c r="AM61" s="8">
        <v>1966.1868980844533</v>
      </c>
    </row>
    <row r="62" spans="1:39">
      <c r="A62" s="19" t="s">
        <v>55</v>
      </c>
      <c r="B62" s="8">
        <v>829.57028404952655</v>
      </c>
      <c r="C62" s="8">
        <v>874.20494699646645</v>
      </c>
      <c r="D62" s="8">
        <v>918.3813443072703</v>
      </c>
      <c r="E62" s="8">
        <v>960.77127659574467</v>
      </c>
      <c r="F62" s="8">
        <v>1003.8684719535784</v>
      </c>
      <c r="G62" s="8">
        <v>981.875</v>
      </c>
      <c r="H62" s="8">
        <v>866.14173228346453</v>
      </c>
      <c r="I62" s="8">
        <v>892.6056338028169</v>
      </c>
      <c r="J62" s="8">
        <v>949.40306992609442</v>
      </c>
      <c r="K62" s="8">
        <v>1082.6446280991736</v>
      </c>
      <c r="L62" s="8">
        <v>1234.5085470085469</v>
      </c>
      <c r="M62" s="8">
        <v>1479.5442775763852</v>
      </c>
      <c r="N62" s="8">
        <v>1518.0722891566265</v>
      </c>
      <c r="O62" s="8">
        <v>1574.9756572541385</v>
      </c>
      <c r="P62" s="8">
        <v>1510.1558809636279</v>
      </c>
      <c r="Q62" s="8">
        <v>1364.9701971572672</v>
      </c>
      <c r="R62" s="8">
        <v>1328.1389136242208</v>
      </c>
      <c r="S62" s="8">
        <v>1313.1487889273358</v>
      </c>
      <c r="T62" s="8">
        <v>1308.953341740227</v>
      </c>
      <c r="U62" s="8">
        <v>1286.1815208503679</v>
      </c>
      <c r="V62" s="8">
        <v>1280.2066772655007</v>
      </c>
      <c r="W62" s="8">
        <v>1277.5415539234634</v>
      </c>
      <c r="X62" s="8">
        <v>1231.4640572073768</v>
      </c>
      <c r="Y62" s="8">
        <v>1135.9294636296841</v>
      </c>
      <c r="Z62" s="8">
        <v>1156.0028756290437</v>
      </c>
      <c r="AA62" s="8">
        <v>1183.068783068783</v>
      </c>
      <c r="AB62" s="8">
        <v>1156.4342698577871</v>
      </c>
      <c r="AC62" s="8">
        <v>1180.6693989071039</v>
      </c>
      <c r="AD62" s="8">
        <v>1130.6245802552048</v>
      </c>
      <c r="AE62" s="8">
        <v>1193.3465085638998</v>
      </c>
      <c r="AF62" s="8">
        <v>1212.0528520786336</v>
      </c>
      <c r="AG62" s="8">
        <v>1239.3081761006288</v>
      </c>
      <c r="AH62" s="8">
        <v>1229.377491567004</v>
      </c>
      <c r="AI62" s="8">
        <v>1243.04100568692</v>
      </c>
      <c r="AJ62" s="8">
        <v>1309.043020193152</v>
      </c>
      <c r="AK62" s="8">
        <v>1363.1669535283993</v>
      </c>
      <c r="AL62" s="8">
        <v>1317.0937764010137</v>
      </c>
      <c r="AM62" s="8">
        <v>1365.6984785615491</v>
      </c>
    </row>
    <row r="63" spans="1:39">
      <c r="A63" s="19" t="s">
        <v>56</v>
      </c>
      <c r="B63" s="8">
        <v>2348.9215409249314</v>
      </c>
      <c r="C63" s="8">
        <v>2282.8352070194678</v>
      </c>
      <c r="D63" s="8">
        <v>2395.5829526808284</v>
      </c>
      <c r="E63" s="8">
        <v>2396.6014196601418</v>
      </c>
      <c r="F63" s="8">
        <v>2207.7911244577913</v>
      </c>
      <c r="G63" s="8">
        <v>2025.4172222895704</v>
      </c>
      <c r="H63" s="8">
        <v>1976.4029114815685</v>
      </c>
      <c r="I63" s="8">
        <v>1811.6875734263083</v>
      </c>
      <c r="J63" s="8">
        <v>1763.2303793749311</v>
      </c>
      <c r="K63" s="8">
        <v>1747.8536567988315</v>
      </c>
      <c r="L63" s="8">
        <v>1736.9859223133062</v>
      </c>
      <c r="M63" s="8">
        <v>1679.9300981314693</v>
      </c>
      <c r="N63" s="8">
        <v>1655.7468073292614</v>
      </c>
      <c r="O63" s="8">
        <v>1698.0449409673733</v>
      </c>
      <c r="P63" s="8">
        <v>1656.8443115618163</v>
      </c>
      <c r="Q63" s="8">
        <v>1684.5129432889421</v>
      </c>
      <c r="R63" s="8">
        <v>1678.984370460752</v>
      </c>
      <c r="S63" s="8">
        <v>1635.9845603358408</v>
      </c>
      <c r="T63" s="8">
        <v>1563.8570649208948</v>
      </c>
      <c r="U63" s="8">
        <v>1411.7864108375943</v>
      </c>
      <c r="V63" s="8">
        <v>1246.1894116451581</v>
      </c>
      <c r="W63" s="8">
        <v>1073.31622051094</v>
      </c>
      <c r="X63" s="8">
        <v>894.2635877880565</v>
      </c>
      <c r="Y63" s="8">
        <v>830.01409539398901</v>
      </c>
      <c r="Z63" s="8">
        <v>810.86922958159641</v>
      </c>
      <c r="AA63" s="8">
        <v>782.3862048205724</v>
      </c>
      <c r="AB63" s="8">
        <v>722.54481191618288</v>
      </c>
      <c r="AC63" s="8">
        <v>696.71100113413763</v>
      </c>
      <c r="AD63" s="8">
        <v>653.18981359936993</v>
      </c>
      <c r="AE63" s="8">
        <v>594.05393675156347</v>
      </c>
      <c r="AF63" s="8">
        <v>566.53086324852029</v>
      </c>
      <c r="AG63" s="8">
        <v>569.73681752806476</v>
      </c>
      <c r="AH63" s="8">
        <v>584.84821024014502</v>
      </c>
      <c r="AI63" s="8">
        <v>604.57148880846125</v>
      </c>
      <c r="AJ63" s="8">
        <v>631.99468854803285</v>
      </c>
      <c r="AK63" s="8">
        <v>646.36237715190293</v>
      </c>
      <c r="AL63" s="8">
        <v>667.49467138896455</v>
      </c>
      <c r="AM63" s="8">
        <v>688.91830854294835</v>
      </c>
    </row>
    <row r="64" spans="1:39">
      <c r="A64" s="19" t="s">
        <v>57</v>
      </c>
      <c r="B64" s="8">
        <v>2355.6691619499725</v>
      </c>
      <c r="C64" s="8">
        <v>2344.0822729649644</v>
      </c>
      <c r="D64" s="8">
        <v>2368.9723977386097</v>
      </c>
      <c r="E64" s="8">
        <v>2355.9993659851007</v>
      </c>
      <c r="F64" s="8">
        <v>2430.1465035493125</v>
      </c>
      <c r="G64" s="8">
        <v>2614.2446043165469</v>
      </c>
      <c r="H64" s="8">
        <v>2672.057009730026</v>
      </c>
      <c r="I64" s="8">
        <v>2823.8443457821886</v>
      </c>
      <c r="J64" s="8">
        <v>2756.379932777294</v>
      </c>
      <c r="K64" s="8">
        <v>2341.8458249198243</v>
      </c>
      <c r="L64" s="8">
        <v>2314.655172413793</v>
      </c>
      <c r="M64" s="8">
        <v>2216.7172593235036</v>
      </c>
      <c r="N64" s="8">
        <v>2038.8047312720482</v>
      </c>
      <c r="O64" s="8">
        <v>1901.2529832935563</v>
      </c>
      <c r="P64" s="8">
        <v>1907.2164948453606</v>
      </c>
      <c r="Q64" s="8">
        <v>1893.7947494033413</v>
      </c>
      <c r="R64" s="8">
        <v>1817.450495049505</v>
      </c>
      <c r="S64" s="8">
        <v>1772.0957981760844</v>
      </c>
      <c r="T64" s="8">
        <v>1759.5561035758324</v>
      </c>
      <c r="U64" s="8">
        <v>1678.9056304520223</v>
      </c>
      <c r="V64" s="8">
        <v>1620.4284621270083</v>
      </c>
      <c r="W64" s="8">
        <v>1560.2983531496934</v>
      </c>
      <c r="X64" s="8">
        <v>1504.0656205420828</v>
      </c>
      <c r="Y64" s="8">
        <v>1465.8667769962763</v>
      </c>
      <c r="Z64" s="8">
        <v>1520.1254922902342</v>
      </c>
      <c r="AA64" s="8">
        <v>1587.0746539008928</v>
      </c>
      <c r="AB64" s="8">
        <v>1627.8164815163498</v>
      </c>
      <c r="AC64" s="8">
        <v>1656.6463414634147</v>
      </c>
      <c r="AD64" s="8">
        <v>1637.8849919886061</v>
      </c>
      <c r="AE64" s="8">
        <v>1537.9896996701582</v>
      </c>
      <c r="AF64" s="8">
        <v>1502.3179556761647</v>
      </c>
      <c r="AG64" s="8">
        <v>1449.1286307053942</v>
      </c>
      <c r="AH64" s="8">
        <v>1397.3337668671761</v>
      </c>
      <c r="AI64" s="8">
        <v>1393.2798980837624</v>
      </c>
      <c r="AJ64" s="8">
        <v>1380.9820732657834</v>
      </c>
      <c r="AK64" s="8">
        <v>1360.1890916484524</v>
      </c>
      <c r="AL64" s="8">
        <v>1352.5816230184366</v>
      </c>
      <c r="AM64" s="8">
        <v>1351.1242775970084</v>
      </c>
    </row>
    <row r="65" spans="1:39">
      <c r="A65" s="19" t="s">
        <v>58</v>
      </c>
      <c r="B65" s="8">
        <v>1374.8212517874822</v>
      </c>
      <c r="C65" s="8">
        <v>1373.0551816958277</v>
      </c>
      <c r="D65" s="8">
        <v>1353.8822413156925</v>
      </c>
      <c r="E65" s="8">
        <v>1358.4053670494129</v>
      </c>
      <c r="F65" s="8">
        <v>1448.2941488421427</v>
      </c>
      <c r="G65" s="8">
        <v>1624.0920994120263</v>
      </c>
      <c r="H65" s="8">
        <v>1792.1528834770845</v>
      </c>
      <c r="I65" s="8">
        <v>1852.8654749816999</v>
      </c>
      <c r="J65" s="8">
        <v>1918.8902469961488</v>
      </c>
      <c r="K65" s="8">
        <v>2060.0679675016318</v>
      </c>
      <c r="L65" s="8">
        <v>2084.3410512454734</v>
      </c>
      <c r="M65" s="8">
        <v>2232.5312800769971</v>
      </c>
      <c r="N65" s="8">
        <v>2335.5346763609091</v>
      </c>
      <c r="O65" s="8">
        <v>2412.417346152286</v>
      </c>
      <c r="P65" s="8">
        <v>2502.990820254664</v>
      </c>
      <c r="Q65" s="8">
        <v>2499.7599062674071</v>
      </c>
      <c r="R65" s="8">
        <v>2493.1609238358624</v>
      </c>
      <c r="S65" s="8">
        <v>2555.3554864407702</v>
      </c>
      <c r="T65" s="8">
        <v>2614.2338030665605</v>
      </c>
      <c r="U65" s="8">
        <v>2697.7762395085233</v>
      </c>
      <c r="V65" s="8">
        <v>2667.2026812011236</v>
      </c>
      <c r="W65" s="8">
        <v>2728.7455434872732</v>
      </c>
      <c r="X65" s="8">
        <v>2753.8258875571241</v>
      </c>
      <c r="Y65" s="8">
        <v>2809.555725775565</v>
      </c>
      <c r="Z65" s="8">
        <v>2885.0104920291901</v>
      </c>
      <c r="AA65" s="8">
        <v>2972.2478333026002</v>
      </c>
      <c r="AB65" s="8">
        <v>3076.9683169212672</v>
      </c>
      <c r="AC65" s="8">
        <v>3141.4766252793279</v>
      </c>
      <c r="AD65" s="8">
        <v>3270.9846064478652</v>
      </c>
      <c r="AE65" s="8">
        <v>3382.0360817396754</v>
      </c>
      <c r="AF65" s="8">
        <v>3435.7923879303112</v>
      </c>
      <c r="AG65" s="8">
        <v>3450.8464345487964</v>
      </c>
      <c r="AH65" s="8">
        <v>3494.2661785291266</v>
      </c>
      <c r="AI65" s="8">
        <v>3568.5306003856413</v>
      </c>
      <c r="AJ65" s="8">
        <v>3658.9418565466472</v>
      </c>
      <c r="AK65" s="8">
        <v>3837.5104959161345</v>
      </c>
      <c r="AL65" s="8">
        <v>4034.111489988883</v>
      </c>
      <c r="AM65" s="8">
        <v>4241.4292197676841</v>
      </c>
    </row>
    <row r="66" spans="1:39">
      <c r="A66" s="19" t="s">
        <v>59</v>
      </c>
      <c r="B66" s="8" t="e">
        <v>#VALUE!</v>
      </c>
      <c r="C66" s="8" t="e">
        <v>#VALUE!</v>
      </c>
      <c r="D66" s="8" t="e">
        <v>#VALUE!</v>
      </c>
      <c r="E66" s="8" t="e">
        <v>#VALUE!</v>
      </c>
      <c r="F66" s="8" t="e">
        <v>#VALUE!</v>
      </c>
      <c r="G66" s="8" t="e">
        <v>#VALUE!</v>
      </c>
      <c r="H66" s="8" t="e">
        <v>#VALUE!</v>
      </c>
      <c r="I66" s="8" t="e">
        <v>#VALUE!</v>
      </c>
      <c r="J66" s="8" t="e">
        <v>#VALUE!</v>
      </c>
      <c r="K66" s="8" t="e">
        <v>#VALUE!</v>
      </c>
      <c r="L66" s="8" t="e">
        <v>#VALUE!</v>
      </c>
      <c r="M66" s="8" t="e">
        <v>#VALUE!</v>
      </c>
      <c r="N66" s="8" t="e">
        <v>#VALUE!</v>
      </c>
      <c r="O66" s="8" t="e">
        <v>#VALUE!</v>
      </c>
      <c r="P66" s="8" t="e">
        <v>#VALUE!</v>
      </c>
      <c r="Q66" s="8" t="e">
        <v>#VALUE!</v>
      </c>
      <c r="R66" s="8" t="e">
        <v>#VALUE!</v>
      </c>
      <c r="S66" s="8" t="e">
        <v>#VALUE!</v>
      </c>
      <c r="T66" s="8" t="e">
        <v>#VALUE!</v>
      </c>
      <c r="U66" s="8" t="e">
        <v>#VALUE!</v>
      </c>
      <c r="V66" s="8" t="e">
        <v>#VALUE!</v>
      </c>
      <c r="W66" s="8">
        <v>774.1834170854271</v>
      </c>
      <c r="X66" s="8">
        <v>879.24528301886789</v>
      </c>
      <c r="Y66" s="8">
        <v>1064.030131826742</v>
      </c>
      <c r="Z66" s="8">
        <v>1085.2785558667911</v>
      </c>
      <c r="AA66" s="8">
        <v>1166.2584200857318</v>
      </c>
      <c r="AB66" s="8">
        <v>1230.4699191858724</v>
      </c>
      <c r="AC66" s="8">
        <v>1217.340704102415</v>
      </c>
      <c r="AD66" s="8">
        <v>1177.5963974106389</v>
      </c>
      <c r="AE66" s="8">
        <v>986.69923995656893</v>
      </c>
      <c r="AF66" s="8">
        <v>1032.6115314375163</v>
      </c>
      <c r="AG66" s="8">
        <v>1019.5048762190547</v>
      </c>
      <c r="AH66" s="8">
        <v>950.43103448275861</v>
      </c>
      <c r="AI66" s="8">
        <v>924.66697289848412</v>
      </c>
      <c r="AJ66" s="8">
        <v>912.30395405345701</v>
      </c>
      <c r="AK66" s="8">
        <v>871.69650468883208</v>
      </c>
      <c r="AL66" s="8">
        <v>855.8446922759191</v>
      </c>
      <c r="AM66" s="8">
        <v>846.07686148919129</v>
      </c>
    </row>
    <row r="67" spans="1:39">
      <c r="A67" s="19" t="s">
        <v>60</v>
      </c>
      <c r="B67" s="8">
        <v>885.06727307182109</v>
      </c>
      <c r="C67" s="8">
        <v>901.28004420296531</v>
      </c>
      <c r="D67" s="8">
        <v>900.26575890590948</v>
      </c>
      <c r="E67" s="8">
        <v>890.79840377501375</v>
      </c>
      <c r="F67" s="8">
        <v>873.18881916714201</v>
      </c>
      <c r="G67" s="8">
        <v>878.6076907974084</v>
      </c>
      <c r="H67" s="8">
        <v>871.97011621472052</v>
      </c>
      <c r="I67" s="8">
        <v>851.23763728758001</v>
      </c>
      <c r="J67" s="8">
        <v>883.13505948215527</v>
      </c>
      <c r="K67" s="8">
        <v>900.89233856064209</v>
      </c>
      <c r="L67" s="8">
        <v>879.46186953944482</v>
      </c>
      <c r="M67" s="8">
        <v>863.03601413498404</v>
      </c>
      <c r="N67" s="8">
        <v>905.84746998493165</v>
      </c>
      <c r="O67" s="8">
        <v>852.4648053109845</v>
      </c>
      <c r="P67" s="8">
        <v>733.65103976650846</v>
      </c>
      <c r="Q67" s="8">
        <v>779.37798197561415</v>
      </c>
      <c r="R67" s="8">
        <v>859.57592485610974</v>
      </c>
      <c r="S67" s="8">
        <v>836.77360523916104</v>
      </c>
      <c r="T67" s="8">
        <v>807.45840274571981</v>
      </c>
      <c r="U67" s="8">
        <v>803.23025791529801</v>
      </c>
      <c r="V67" s="8">
        <v>722.25986148750371</v>
      </c>
      <c r="W67" s="8">
        <v>678.11399605308986</v>
      </c>
      <c r="X67" s="8">
        <v>741.84375935348692</v>
      </c>
      <c r="Y67" s="8">
        <v>740.91978996921966</v>
      </c>
      <c r="Z67" s="8">
        <v>762.12203639682014</v>
      </c>
      <c r="AA67" s="8">
        <v>831.71504497138187</v>
      </c>
      <c r="AB67" s="8">
        <v>833.66444819707954</v>
      </c>
      <c r="AC67" s="8">
        <v>782.95672341316504</v>
      </c>
      <c r="AD67" s="8">
        <v>801.45168370226384</v>
      </c>
      <c r="AE67" s="8">
        <v>827.71884301305045</v>
      </c>
      <c r="AF67" s="8">
        <v>873.00808657390883</v>
      </c>
      <c r="AG67" s="8">
        <v>863.30528967983901</v>
      </c>
      <c r="AH67" s="8">
        <v>822.94267857394789</v>
      </c>
      <c r="AI67" s="8">
        <v>910.66175459819101</v>
      </c>
      <c r="AJ67" s="8">
        <v>992.17797779295745</v>
      </c>
      <c r="AK67" s="8">
        <v>1071.6709296862766</v>
      </c>
      <c r="AL67" s="8">
        <v>1160.0971441649924</v>
      </c>
      <c r="AM67" s="8">
        <v>1258.3350885235341</v>
      </c>
    </row>
    <row r="68" spans="1:39">
      <c r="A68" s="19" t="s">
        <v>61</v>
      </c>
      <c r="B68" s="8">
        <v>5162.9629629629626</v>
      </c>
      <c r="C68" s="8">
        <v>5623.188405797101</v>
      </c>
      <c r="D68" s="8">
        <v>6053.0973451327436</v>
      </c>
      <c r="E68" s="8">
        <v>8225.8620689655181</v>
      </c>
      <c r="F68" s="8">
        <v>9556.3025210084033</v>
      </c>
      <c r="G68" s="8">
        <v>12621.931260229132</v>
      </c>
      <c r="H68" s="8">
        <v>10752.791068580542</v>
      </c>
      <c r="I68" s="8">
        <v>7937.9844961240306</v>
      </c>
      <c r="J68" s="8">
        <v>7760.1809954751125</v>
      </c>
      <c r="K68" s="8">
        <v>7736.0703812316706</v>
      </c>
      <c r="L68" s="8">
        <v>7898.8603988603991</v>
      </c>
      <c r="M68" s="8">
        <v>7431.5352697095441</v>
      </c>
      <c r="N68" s="8">
        <v>7616.1073825503354</v>
      </c>
      <c r="O68" s="8">
        <v>7942.708333333333</v>
      </c>
      <c r="P68" s="8">
        <v>7522.7272727272721</v>
      </c>
      <c r="Q68" s="8">
        <v>7233.7821297429628</v>
      </c>
      <c r="R68" s="8">
        <v>5809.0154211150657</v>
      </c>
      <c r="S68" s="8">
        <v>6359.0333716915993</v>
      </c>
      <c r="T68" s="8">
        <v>6686.7335562987737</v>
      </c>
      <c r="U68" s="8">
        <v>6813.1749460043193</v>
      </c>
      <c r="V68" s="8">
        <v>6995.8202716823407</v>
      </c>
      <c r="W68" s="8">
        <v>6566.8016194331985</v>
      </c>
      <c r="X68" s="8">
        <v>6605.2889324191974</v>
      </c>
      <c r="Y68" s="8">
        <v>6642.9249762583104</v>
      </c>
      <c r="Z68" s="8">
        <v>6773.9852398523981</v>
      </c>
      <c r="AA68" s="8">
        <v>6824.2152466367716</v>
      </c>
      <c r="AB68" s="8">
        <v>7020.0698080279235</v>
      </c>
      <c r="AC68" s="8">
        <v>7079.0816326530612</v>
      </c>
      <c r="AD68" s="8">
        <v>6292.116182572614</v>
      </c>
      <c r="AE68" s="8">
        <v>6033.2522303325222</v>
      </c>
      <c r="AF68" s="8">
        <v>6024.5836637589218</v>
      </c>
      <c r="AG68" s="8">
        <v>5878.2001551590383</v>
      </c>
      <c r="AH68" s="8">
        <v>5900.4559270516711</v>
      </c>
      <c r="AI68" s="8">
        <v>5859.2702903946392</v>
      </c>
      <c r="AJ68" s="8">
        <v>5921.8407596785964</v>
      </c>
      <c r="AK68" s="8">
        <v>5876.0744985673355</v>
      </c>
      <c r="AL68" s="8">
        <v>6088.6075949367096</v>
      </c>
      <c r="AM68" s="8">
        <v>6102.209944751381</v>
      </c>
    </row>
    <row r="69" spans="1:39">
      <c r="A69" s="19" t="s">
        <v>62</v>
      </c>
      <c r="B69" s="8">
        <v>2294.2487739634421</v>
      </c>
      <c r="C69" s="8">
        <v>2173.9412975197661</v>
      </c>
      <c r="D69" s="8">
        <v>2172.6459758022093</v>
      </c>
      <c r="E69" s="8">
        <v>2259.4716362891663</v>
      </c>
      <c r="F69" s="8">
        <v>1932.1067893210679</v>
      </c>
      <c r="G69" s="8">
        <v>1827.1907469123701</v>
      </c>
      <c r="H69" s="8">
        <v>1837.0591636153401</v>
      </c>
      <c r="I69" s="8">
        <v>1959.5414061019519</v>
      </c>
      <c r="J69" s="8">
        <v>1873.3506783125813</v>
      </c>
      <c r="K69" s="8">
        <v>1837.1122800653002</v>
      </c>
      <c r="L69" s="8">
        <v>1721.3562307353588</v>
      </c>
      <c r="M69" s="8">
        <v>1549.6592844974446</v>
      </c>
      <c r="N69" s="8">
        <v>1427.6786448482856</v>
      </c>
      <c r="O69" s="8">
        <v>1498.3320095313741</v>
      </c>
      <c r="P69" s="8">
        <v>1524.2195909580194</v>
      </c>
      <c r="Q69" s="8">
        <v>1556.1110282047457</v>
      </c>
      <c r="R69" s="8">
        <v>1585.3039315247354</v>
      </c>
      <c r="S69" s="8">
        <v>1629.6060991105464</v>
      </c>
      <c r="T69" s="8">
        <v>1666.483478738751</v>
      </c>
      <c r="U69" s="8">
        <v>1674.7060395510423</v>
      </c>
      <c r="V69" s="8">
        <v>1713.5900266216479</v>
      </c>
      <c r="W69" s="8">
        <v>1729.3256796820792</v>
      </c>
      <c r="X69" s="8">
        <v>1761.7063005638638</v>
      </c>
      <c r="Y69" s="8">
        <v>1769.3361935406983</v>
      </c>
      <c r="Z69" s="8">
        <v>1792.6355465352276</v>
      </c>
      <c r="AA69" s="8">
        <v>1826.6395526182005</v>
      </c>
      <c r="AB69" s="8">
        <v>1855.7030346422866</v>
      </c>
      <c r="AC69" s="8">
        <v>1895.5937667920473</v>
      </c>
      <c r="AD69" s="8">
        <v>1931.5571406094298</v>
      </c>
      <c r="AE69" s="8">
        <v>1955.655691535665</v>
      </c>
      <c r="AF69" s="8">
        <v>1986.0993049652484</v>
      </c>
      <c r="AG69" s="8">
        <v>2027.203907203907</v>
      </c>
      <c r="AH69" s="8">
        <v>2083.798616082081</v>
      </c>
      <c r="AI69" s="8">
        <v>2151.2013062747842</v>
      </c>
      <c r="AJ69" s="8">
        <v>2228.1998631074607</v>
      </c>
      <c r="AK69" s="8">
        <v>2320.2340016969588</v>
      </c>
      <c r="AL69" s="8">
        <v>2410.3012548642387</v>
      </c>
      <c r="AM69" s="8">
        <v>2507.1303156181748</v>
      </c>
    </row>
    <row r="70" spans="1:39">
      <c r="A70" s="19" t="s">
        <v>63</v>
      </c>
      <c r="B70" s="8">
        <v>855.21020635328364</v>
      </c>
      <c r="C70" s="8">
        <v>965.9672889476293</v>
      </c>
      <c r="D70" s="8">
        <v>986.30027877339705</v>
      </c>
      <c r="E70" s="8">
        <v>989.55693772556253</v>
      </c>
      <c r="F70" s="8">
        <v>962.10775606867969</v>
      </c>
      <c r="G70" s="8">
        <v>947.21825962910134</v>
      </c>
      <c r="H70" s="8">
        <v>999.10646779847411</v>
      </c>
      <c r="I70" s="8">
        <v>1029.1371432355472</v>
      </c>
      <c r="J70" s="8">
        <v>1066.7176935833652</v>
      </c>
      <c r="K70" s="8">
        <v>1084.5719199115588</v>
      </c>
      <c r="L70" s="8">
        <v>1083.4170854271358</v>
      </c>
      <c r="M70" s="8">
        <v>1058.5557389176577</v>
      </c>
      <c r="N70" s="8">
        <v>1032.3199123527802</v>
      </c>
      <c r="O70" s="8">
        <v>1011.5524608324101</v>
      </c>
      <c r="P70" s="8">
        <v>1016.6209210125038</v>
      </c>
      <c r="Q70" s="8">
        <v>1050.526831658907</v>
      </c>
      <c r="R70" s="8">
        <v>1073.71158392435</v>
      </c>
      <c r="S70" s="8">
        <v>1100.9769013055784</v>
      </c>
      <c r="T70" s="8">
        <v>1113.6153133683235</v>
      </c>
      <c r="U70" s="8">
        <v>1121.9772252313728</v>
      </c>
      <c r="V70" s="8">
        <v>1101.361947998349</v>
      </c>
      <c r="W70" s="8">
        <v>1058.0335731414868</v>
      </c>
      <c r="X70" s="8">
        <v>1029.2112195877885</v>
      </c>
      <c r="Y70" s="8">
        <v>1025</v>
      </c>
      <c r="Z70" s="8">
        <v>1039.700511322133</v>
      </c>
      <c r="AA70" s="8">
        <v>1053.1793960923624</v>
      </c>
      <c r="AB70" s="8">
        <v>1030.2275714186899</v>
      </c>
      <c r="AC70" s="8">
        <v>1036.727542287216</v>
      </c>
      <c r="AD70" s="8">
        <v>1033.557708093909</v>
      </c>
      <c r="AE70" s="8">
        <v>1013.2471521822604</v>
      </c>
      <c r="AF70" s="8">
        <v>1024.6952075083409</v>
      </c>
      <c r="AG70" s="8">
        <v>1003.9498070671165</v>
      </c>
      <c r="AH70" s="8">
        <v>1006.8679692125518</v>
      </c>
      <c r="AI70" s="8">
        <v>1030.7714491708725</v>
      </c>
      <c r="AJ70" s="8">
        <v>1062.2770302536589</v>
      </c>
      <c r="AK70" s="8">
        <v>1100.7304462014063</v>
      </c>
      <c r="AL70" s="8">
        <v>1146.6787455703286</v>
      </c>
      <c r="AM70" s="8">
        <v>1157.0301551876266</v>
      </c>
    </row>
    <row r="71" spans="1:39">
      <c r="A71" s="19" t="s">
        <v>64</v>
      </c>
      <c r="B71" s="8">
        <v>22473.076923076922</v>
      </c>
      <c r="C71" s="8">
        <v>18719.354838709678</v>
      </c>
      <c r="D71" s="8">
        <v>18125</v>
      </c>
      <c r="E71" s="8">
        <v>14862.46297079983</v>
      </c>
      <c r="F71" s="8">
        <v>15315.08515815085</v>
      </c>
      <c r="G71" s="8">
        <v>18013.21928460342</v>
      </c>
      <c r="H71" s="8">
        <v>18816.927665920954</v>
      </c>
      <c r="I71" s="8">
        <v>18627.948534667619</v>
      </c>
      <c r="J71" s="8">
        <v>20230.16415868673</v>
      </c>
      <c r="K71" s="8">
        <v>19447.273914462945</v>
      </c>
      <c r="L71" s="8">
        <v>16114.116915422885</v>
      </c>
      <c r="M71" s="8">
        <v>13967.751479289942</v>
      </c>
      <c r="N71" s="8">
        <v>13789.399492528897</v>
      </c>
      <c r="O71" s="8">
        <v>13672.692930383162</v>
      </c>
      <c r="P71" s="8">
        <v>13292.987012987012</v>
      </c>
      <c r="Q71" s="8">
        <v>12308.427672955975</v>
      </c>
      <c r="R71" s="8">
        <v>11848.188050930461</v>
      </c>
      <c r="S71" s="8">
        <v>12270.574162679426</v>
      </c>
      <c r="T71" s="8">
        <v>11874.297752808989</v>
      </c>
      <c r="U71" s="8">
        <v>9275.8936755270388</v>
      </c>
      <c r="V71" s="8">
        <v>10310.816876122082</v>
      </c>
      <c r="W71" s="8">
        <v>10069.685645196745</v>
      </c>
      <c r="X71" s="8">
        <v>10023.691578720654</v>
      </c>
      <c r="Y71" s="8">
        <v>9697.0656533671099</v>
      </c>
      <c r="Z71" s="8">
        <v>8934.2023587833646</v>
      </c>
      <c r="AA71" s="8">
        <v>9073.8336713995941</v>
      </c>
      <c r="AB71" s="8">
        <v>9195.6262425447312</v>
      </c>
      <c r="AC71" s="8">
        <v>8930.0603935320469</v>
      </c>
      <c r="AD71" s="8">
        <v>8847.2699503627337</v>
      </c>
      <c r="AE71" s="8">
        <v>8770.2955480733253</v>
      </c>
      <c r="AF71" s="8">
        <v>8991.9354838709678</v>
      </c>
      <c r="AG71" s="8">
        <v>9079.5617816091963</v>
      </c>
      <c r="AH71" s="8">
        <v>9708.9565370402961</v>
      </c>
      <c r="AI71" s="8">
        <v>9959.9931022590099</v>
      </c>
      <c r="AJ71" s="8">
        <v>10104.258195336262</v>
      </c>
      <c r="AK71" s="8">
        <v>10456.201357840702</v>
      </c>
      <c r="AL71" s="8">
        <v>10954.840805717999</v>
      </c>
      <c r="AM71" s="8">
        <v>11465.509001115182</v>
      </c>
    </row>
    <row r="72" spans="1:39">
      <c r="A72" s="19" t="s">
        <v>65</v>
      </c>
      <c r="B72" s="8">
        <v>2512.6001172103929</v>
      </c>
      <c r="C72" s="8">
        <v>2506.1501394876996</v>
      </c>
      <c r="D72" s="8">
        <v>2527.4141763398366</v>
      </c>
      <c r="E72" s="8">
        <v>2599.158147925436</v>
      </c>
      <c r="F72" s="8">
        <v>2723.2310215557641</v>
      </c>
      <c r="G72" s="8">
        <v>2940.3572855430625</v>
      </c>
      <c r="H72" s="8">
        <v>3039.2702191567469</v>
      </c>
      <c r="I72" s="8">
        <v>3029.284164859002</v>
      </c>
      <c r="J72" s="8">
        <v>3095.9382272054154</v>
      </c>
      <c r="K72" s="8">
        <v>3130.5469556243552</v>
      </c>
      <c r="L72" s="8">
        <v>2971.1911357340718</v>
      </c>
      <c r="M72" s="8">
        <v>3180.2399921314054</v>
      </c>
      <c r="N72" s="8">
        <v>3089.4547201537353</v>
      </c>
      <c r="O72" s="8">
        <v>3150.4437244682349</v>
      </c>
      <c r="P72" s="8">
        <v>3275.5865742228752</v>
      </c>
      <c r="Q72" s="8">
        <v>3470.6437266969142</v>
      </c>
      <c r="R72" s="8">
        <v>3310.7906076862191</v>
      </c>
      <c r="S72" s="8">
        <v>3580.3186907838071</v>
      </c>
      <c r="T72" s="8">
        <v>3591.450033760972</v>
      </c>
      <c r="U72" s="8">
        <v>3663.5080895435922</v>
      </c>
      <c r="V72" s="8">
        <v>3841.9663879191362</v>
      </c>
      <c r="W72" s="8">
        <v>3619.3664076509267</v>
      </c>
      <c r="X72" s="8">
        <v>3519.0809816431174</v>
      </c>
      <c r="Y72" s="8">
        <v>3816.817971995692</v>
      </c>
      <c r="Z72" s="8">
        <v>3506.4497824853415</v>
      </c>
      <c r="AA72" s="8">
        <v>3872.0220369267422</v>
      </c>
      <c r="AB72" s="8">
        <v>3727.7325709258853</v>
      </c>
      <c r="AC72" s="8">
        <v>3954.169525804471</v>
      </c>
      <c r="AD72" s="8">
        <v>3919.1710582538099</v>
      </c>
      <c r="AE72" s="8">
        <v>3928.1599100681515</v>
      </c>
      <c r="AF72" s="8">
        <v>4171.0540006242845</v>
      </c>
      <c r="AG72" s="8">
        <v>4257.3924961452803</v>
      </c>
      <c r="AH72" s="8">
        <v>4474.9661246612468</v>
      </c>
      <c r="AI72" s="8">
        <v>4639.699721840544</v>
      </c>
      <c r="AJ72" s="8">
        <v>4729.7216600869187</v>
      </c>
      <c r="AK72" s="8">
        <v>5037.577466636063</v>
      </c>
      <c r="AL72" s="8">
        <v>5113.3145393862806</v>
      </c>
      <c r="AM72" s="8">
        <v>5346.1526145569824</v>
      </c>
    </row>
    <row r="73" spans="1:39">
      <c r="A73" s="19" t="s">
        <v>66</v>
      </c>
      <c r="B73" s="8">
        <v>1116.8737060041408</v>
      </c>
      <c r="C73" s="8">
        <v>1128.1895504252734</v>
      </c>
      <c r="D73" s="8">
        <v>1165.1984559041869</v>
      </c>
      <c r="E73" s="8">
        <v>1014.3036628974583</v>
      </c>
      <c r="F73" s="8">
        <v>859.88881560350512</v>
      </c>
      <c r="G73" s="8">
        <v>797.26630584350062</v>
      </c>
      <c r="H73" s="8">
        <v>781.02971357187471</v>
      </c>
      <c r="I73" s="8">
        <v>765.83926401666372</v>
      </c>
      <c r="J73" s="8">
        <v>756.40050697084916</v>
      </c>
      <c r="K73" s="8">
        <v>768.72373733212487</v>
      </c>
      <c r="L73" s="8">
        <v>787.966537966538</v>
      </c>
      <c r="M73" s="8">
        <v>716.92477006524643</v>
      </c>
      <c r="N73" s="8">
        <v>592.20459097211528</v>
      </c>
      <c r="O73" s="8">
        <v>545.11677282377912</v>
      </c>
      <c r="P73" s="8">
        <v>544.8814169918943</v>
      </c>
      <c r="Q73" s="8">
        <v>530.35740989980559</v>
      </c>
      <c r="R73" s="8">
        <v>609.16442048517513</v>
      </c>
      <c r="S73" s="8">
        <v>660.48919567827136</v>
      </c>
      <c r="T73" s="8">
        <v>701.16661681124742</v>
      </c>
      <c r="U73" s="8">
        <v>699.12876550502062</v>
      </c>
      <c r="V73" s="8">
        <v>716.35655560363477</v>
      </c>
      <c r="W73" s="8">
        <v>658.2861931699141</v>
      </c>
      <c r="X73" s="8">
        <v>689.32561582985591</v>
      </c>
      <c r="Y73" s="8">
        <v>709.37398637690569</v>
      </c>
      <c r="Z73" s="8">
        <v>704.3843693156872</v>
      </c>
      <c r="AA73" s="8">
        <v>734.26275417021805</v>
      </c>
      <c r="AB73" s="8">
        <v>787.77106292214717</v>
      </c>
      <c r="AC73" s="8">
        <v>850.90404944832767</v>
      </c>
      <c r="AD73" s="8">
        <v>897.49225133840514</v>
      </c>
      <c r="AE73" s="8">
        <v>884.8521490601297</v>
      </c>
      <c r="AF73" s="8">
        <v>965.43408360128615</v>
      </c>
      <c r="AG73" s="8">
        <v>1024.5113410682554</v>
      </c>
      <c r="AH73" s="8">
        <v>1059.8674145843956</v>
      </c>
      <c r="AI73" s="8">
        <v>1116.7945014443669</v>
      </c>
      <c r="AJ73" s="8">
        <v>1183.6555788243315</v>
      </c>
      <c r="AK73" s="8">
        <v>1259.5489008630966</v>
      </c>
      <c r="AL73" s="8">
        <v>1322.6651693804979</v>
      </c>
      <c r="AM73" s="8">
        <v>1381.7088287957395</v>
      </c>
    </row>
    <row r="74" spans="1:39">
      <c r="A74" s="19" t="s">
        <v>67</v>
      </c>
      <c r="B74" s="8" t="e">
        <v>#VALUE!</v>
      </c>
      <c r="C74" s="8" t="e">
        <v>#VALUE!</v>
      </c>
      <c r="D74" s="8" t="e">
        <v>#VALUE!</v>
      </c>
      <c r="E74" s="8" t="e">
        <v>#VALUE!</v>
      </c>
      <c r="F74" s="8" t="e">
        <v>#VALUE!</v>
      </c>
      <c r="G74" s="8" t="e">
        <v>#VALUE!</v>
      </c>
      <c r="H74" s="8" t="e">
        <v>#VALUE!</v>
      </c>
      <c r="I74" s="8" t="e">
        <v>#VALUE!</v>
      </c>
      <c r="J74" s="8" t="e">
        <v>#VALUE!</v>
      </c>
      <c r="K74" s="8" t="e">
        <v>#VALUE!</v>
      </c>
      <c r="L74" s="8" t="e">
        <v>#VALUE!</v>
      </c>
      <c r="M74" s="8" t="e">
        <v>#VALUE!</v>
      </c>
      <c r="N74" s="8" t="e">
        <v>#VALUE!</v>
      </c>
      <c r="O74" s="8" t="e">
        <v>#VALUE!</v>
      </c>
      <c r="P74" s="8" t="e">
        <v>#VALUE!</v>
      </c>
      <c r="Q74" s="8" t="e">
        <v>#VALUE!</v>
      </c>
      <c r="R74" s="8" t="e">
        <v>#VALUE!</v>
      </c>
      <c r="S74" s="8" t="e">
        <v>#VALUE!</v>
      </c>
      <c r="T74" s="8" t="e">
        <v>#VALUE!</v>
      </c>
      <c r="U74" s="8" t="e">
        <v>#VALUE!</v>
      </c>
      <c r="V74" s="8">
        <v>6171.9918422841602</v>
      </c>
      <c r="W74" s="8">
        <v>6406.8466096115872</v>
      </c>
      <c r="X74" s="8">
        <v>6093.9297124600644</v>
      </c>
      <c r="Y74" s="8">
        <v>6353.196772191186</v>
      </c>
      <c r="Z74" s="8">
        <v>6430.8992154496073</v>
      </c>
      <c r="AA74" s="8">
        <v>6453.051643192488</v>
      </c>
      <c r="AB74" s="8">
        <v>6541.0958904109593</v>
      </c>
      <c r="AC74" s="8">
        <v>6583.4260289210233</v>
      </c>
      <c r="AD74" s="8">
        <v>6646.38783269962</v>
      </c>
      <c r="AE74" s="8">
        <v>6739.2229909526341</v>
      </c>
      <c r="AF74" s="8">
        <v>6697.8567694720332</v>
      </c>
      <c r="AG74" s="8">
        <v>6913.4912461380027</v>
      </c>
      <c r="AH74" s="8">
        <v>7107.6688674454035</v>
      </c>
      <c r="AI74" s="8">
        <v>7880.1404212637917</v>
      </c>
      <c r="AJ74" s="8">
        <v>7975.2475247524753</v>
      </c>
      <c r="AK74" s="8">
        <v>8432.3400097703943</v>
      </c>
      <c r="AL74" s="8">
        <v>8635.576923076922</v>
      </c>
      <c r="AM74" s="8">
        <v>8723.7464522232731</v>
      </c>
    </row>
    <row r="75" spans="1:39">
      <c r="A75" s="19" t="s">
        <v>68</v>
      </c>
      <c r="B75" s="8">
        <v>942.42006315101798</v>
      </c>
      <c r="C75" s="8">
        <v>950.27350457611226</v>
      </c>
      <c r="D75" s="8">
        <v>976.47485242845801</v>
      </c>
      <c r="E75" s="8">
        <v>1057.1534233219588</v>
      </c>
      <c r="F75" s="8">
        <v>974.47803410558674</v>
      </c>
      <c r="G75" s="8">
        <v>1031.9963160569105</v>
      </c>
      <c r="H75" s="8">
        <v>1061.4640458438598</v>
      </c>
      <c r="I75" s="8">
        <v>969.96041526626345</v>
      </c>
      <c r="J75" s="8">
        <v>1004.5937368672743</v>
      </c>
      <c r="K75" s="8">
        <v>1016.5060156195033</v>
      </c>
      <c r="L75" s="8">
        <v>858.45804492353147</v>
      </c>
      <c r="M75" s="8">
        <v>833.26235093696766</v>
      </c>
      <c r="N75" s="8">
        <v>768.04404145077717</v>
      </c>
      <c r="O75" s="8">
        <v>711.30044616974612</v>
      </c>
      <c r="P75" s="8">
        <v>758.75634206720758</v>
      </c>
      <c r="Q75" s="8">
        <v>755.79027590887972</v>
      </c>
      <c r="R75" s="8">
        <v>728.89922050285668</v>
      </c>
      <c r="S75" s="8">
        <v>777.76654876200098</v>
      </c>
      <c r="T75" s="8">
        <v>809.52225202241561</v>
      </c>
      <c r="U75" s="8">
        <v>850.54100408664544</v>
      </c>
      <c r="V75" s="8">
        <v>865.39430522278326</v>
      </c>
      <c r="W75" s="8">
        <v>865.23880403184728</v>
      </c>
      <c r="X75" s="8">
        <v>859.24789842551786</v>
      </c>
      <c r="Y75" s="8">
        <v>836.00973695135303</v>
      </c>
      <c r="Z75" s="8">
        <v>833.15292175029811</v>
      </c>
      <c r="AA75" s="8">
        <v>845.18063151883939</v>
      </c>
      <c r="AB75" s="8">
        <v>844.53916470618879</v>
      </c>
      <c r="AC75" s="8">
        <v>837.47084868354341</v>
      </c>
      <c r="AD75" s="8">
        <v>824.43928847641143</v>
      </c>
      <c r="AE75" s="8">
        <v>846.4571662138444</v>
      </c>
      <c r="AF75" s="8">
        <v>850.43619522176846</v>
      </c>
      <c r="AG75" s="8">
        <v>841.93214350977632</v>
      </c>
      <c r="AH75" s="8">
        <v>905.73225703443518</v>
      </c>
      <c r="AI75" s="8">
        <v>977.47842406939071</v>
      </c>
      <c r="AJ75" s="8">
        <v>1005.8080307875152</v>
      </c>
      <c r="AK75" s="8">
        <v>1043.338861249309</v>
      </c>
      <c r="AL75" s="8">
        <v>1086.1450301723846</v>
      </c>
      <c r="AM75" s="8">
        <v>1118.3394021900754</v>
      </c>
    </row>
    <row r="76" spans="1:39">
      <c r="A76" s="19" t="s">
        <v>69</v>
      </c>
      <c r="B76" s="8">
        <v>1774.0886928256325</v>
      </c>
      <c r="C76" s="8">
        <v>1826.7415730337077</v>
      </c>
      <c r="D76" s="8">
        <v>1670.2937976060937</v>
      </c>
      <c r="E76" s="8">
        <v>1686.6301138760016</v>
      </c>
      <c r="F76" s="8">
        <v>1759.4108019639934</v>
      </c>
      <c r="G76" s="8">
        <v>1860.9455701231625</v>
      </c>
      <c r="H76" s="8">
        <v>1759.84555984556</v>
      </c>
      <c r="I76" s="8">
        <v>1643.7018960015018</v>
      </c>
      <c r="J76" s="8">
        <v>1709.9835736448256</v>
      </c>
      <c r="K76" s="8">
        <v>1607.3456352022711</v>
      </c>
      <c r="L76" s="8">
        <v>1641.3174685290567</v>
      </c>
      <c r="M76" s="8">
        <v>1719.5510135701122</v>
      </c>
      <c r="N76" s="8">
        <v>1581.7057291666667</v>
      </c>
      <c r="O76" s="8">
        <v>1593.7401201391085</v>
      </c>
      <c r="P76" s="8">
        <v>1598.5569542523795</v>
      </c>
      <c r="Q76" s="8">
        <v>1600.6261180679785</v>
      </c>
      <c r="R76" s="8">
        <v>1648.9577301679212</v>
      </c>
      <c r="S76" s="8">
        <v>1591.790834973292</v>
      </c>
      <c r="T76" s="8">
        <v>1607.591480065538</v>
      </c>
      <c r="U76" s="8">
        <v>1551.4725391350489</v>
      </c>
      <c r="V76" s="8">
        <v>1546.8145473304103</v>
      </c>
      <c r="W76" s="8">
        <v>1522.6332288401254</v>
      </c>
      <c r="X76" s="8">
        <v>1500.4879238838741</v>
      </c>
      <c r="Y76" s="8">
        <v>1459.3568292393497</v>
      </c>
      <c r="Z76" s="8">
        <v>1496.3048498845264</v>
      </c>
      <c r="AA76" s="8">
        <v>1485.6147448864915</v>
      </c>
      <c r="AB76" s="8">
        <v>1491.1397943557208</v>
      </c>
      <c r="AC76" s="8">
        <v>1537.3801916932907</v>
      </c>
      <c r="AD76" s="8">
        <v>1592.0356735455771</v>
      </c>
      <c r="AE76" s="8">
        <v>1599.97980206019</v>
      </c>
      <c r="AF76" s="8">
        <v>1630.004918839154</v>
      </c>
      <c r="AG76" s="8">
        <v>1598.4855746189974</v>
      </c>
      <c r="AH76" s="8">
        <v>1661.3430466050247</v>
      </c>
      <c r="AI76" s="8">
        <v>1714.2597142597142</v>
      </c>
      <c r="AJ76" s="8">
        <v>1763.8507224536831</v>
      </c>
      <c r="AK76" s="8">
        <v>1758.9570922904256</v>
      </c>
      <c r="AL76" s="8">
        <v>1792.9033885478852</v>
      </c>
      <c r="AM76" s="8">
        <v>1789.861600196544</v>
      </c>
    </row>
    <row r="77" spans="1:39">
      <c r="A77" s="19" t="s">
        <v>70</v>
      </c>
      <c r="B77" s="8">
        <v>9179.8955844615521</v>
      </c>
      <c r="C77" s="8">
        <v>9120.3407420219664</v>
      </c>
      <c r="D77" s="8">
        <v>9323.6388231315523</v>
      </c>
      <c r="E77" s="8">
        <v>9675.0310045473325</v>
      </c>
      <c r="F77" s="8">
        <v>9625</v>
      </c>
      <c r="G77" s="8">
        <v>9631.2331803071083</v>
      </c>
      <c r="H77" s="8">
        <v>9421.5686274509808</v>
      </c>
      <c r="I77" s="8">
        <v>9503.3959400493259</v>
      </c>
      <c r="J77" s="8">
        <v>9649.0850376749204</v>
      </c>
      <c r="K77" s="8">
        <v>10050.986364955033</v>
      </c>
      <c r="L77" s="8">
        <v>10335.338878074677</v>
      </c>
      <c r="M77" s="8">
        <v>10040.901560127018</v>
      </c>
      <c r="N77" s="8">
        <v>9606.1768268066207</v>
      </c>
      <c r="O77" s="8">
        <v>9837.5020488444516</v>
      </c>
      <c r="P77" s="8">
        <v>9469.0494442315066</v>
      </c>
      <c r="Q77" s="8">
        <v>9231.032657762833</v>
      </c>
      <c r="R77" s="8">
        <v>9192.5727993198307</v>
      </c>
      <c r="S77" s="8">
        <v>9352.8818785578751</v>
      </c>
      <c r="T77" s="8">
        <v>9365.0227595604647</v>
      </c>
      <c r="U77" s="8">
        <v>9147.2159090909081</v>
      </c>
      <c r="V77" s="8">
        <v>8869.3958199983299</v>
      </c>
      <c r="W77" s="8">
        <v>8500.5314654819977</v>
      </c>
      <c r="X77" s="8">
        <v>8425.6017505470463</v>
      </c>
      <c r="Y77" s="8">
        <v>8514.2752657837682</v>
      </c>
      <c r="Z77" s="8">
        <v>8591.6922290388557</v>
      </c>
      <c r="AA77" s="8">
        <v>8764.5750000000007</v>
      </c>
      <c r="AB77" s="8">
        <v>8792.9922298783167</v>
      </c>
      <c r="AC77" s="8">
        <v>8633.0310262529838</v>
      </c>
      <c r="AD77" s="8">
        <v>8626.004706101623</v>
      </c>
      <c r="AE77" s="8">
        <v>8764.454545454546</v>
      </c>
      <c r="AF77" s="8">
        <v>8841.0470409711688</v>
      </c>
      <c r="AG77" s="8">
        <v>9077.4212085046183</v>
      </c>
      <c r="AH77" s="8">
        <v>9247.1998427981925</v>
      </c>
      <c r="AI77" s="8">
        <v>9582.5709847242597</v>
      </c>
      <c r="AJ77" s="8">
        <v>9941.6531604538086</v>
      </c>
      <c r="AK77" s="8">
        <v>10360.4481863645</v>
      </c>
      <c r="AL77" s="8">
        <v>10783.912561910931</v>
      </c>
      <c r="AM77" s="8">
        <v>10923.306015979626</v>
      </c>
    </row>
    <row r="78" spans="1:39">
      <c r="A78" s="19" t="s">
        <v>71</v>
      </c>
      <c r="B78" s="8">
        <v>1033.2751825289138</v>
      </c>
      <c r="C78" s="8">
        <v>952.14500752634217</v>
      </c>
      <c r="D78" s="8">
        <v>929.42751110299923</v>
      </c>
      <c r="E78" s="8">
        <v>1004.1285756414038</v>
      </c>
      <c r="F78" s="8">
        <v>1126.1647516149317</v>
      </c>
      <c r="G78" s="8">
        <v>1273.2963988919666</v>
      </c>
      <c r="H78" s="8">
        <v>1310.7484161924192</v>
      </c>
      <c r="I78" s="8">
        <v>1194.6525176862256</v>
      </c>
      <c r="J78" s="8">
        <v>1098.8363306634426</v>
      </c>
      <c r="K78" s="8">
        <v>1079.8186162172703</v>
      </c>
      <c r="L78" s="8">
        <v>1122.152525586002</v>
      </c>
      <c r="M78" s="8">
        <v>1149.7696903361152</v>
      </c>
      <c r="N78" s="8">
        <v>1135.5251544571934</v>
      </c>
      <c r="O78" s="8">
        <v>1045.6917943013605</v>
      </c>
      <c r="P78" s="8">
        <v>952.39481124230838</v>
      </c>
      <c r="Q78" s="8">
        <v>978.28464935380623</v>
      </c>
      <c r="R78" s="8">
        <v>1091.1500573644023</v>
      </c>
      <c r="S78" s="8">
        <v>1063.1574876237623</v>
      </c>
      <c r="T78" s="8">
        <v>1131.9699088950215</v>
      </c>
      <c r="U78" s="8">
        <v>1044.8488427891182</v>
      </c>
      <c r="V78" s="8">
        <v>1095.579235366117</v>
      </c>
      <c r="W78" s="8">
        <v>1137.8354674618488</v>
      </c>
      <c r="X78" s="8">
        <v>1158.927045959337</v>
      </c>
      <c r="Y78" s="8">
        <v>1140.113821679369</v>
      </c>
      <c r="Z78" s="8">
        <v>1177.3937291268116</v>
      </c>
      <c r="AA78" s="8">
        <v>1215.2358684318619</v>
      </c>
      <c r="AB78" s="8">
        <v>1309.5898004434589</v>
      </c>
      <c r="AC78" s="8">
        <v>1332.1520812060783</v>
      </c>
      <c r="AD78" s="8">
        <v>1340.7012195121949</v>
      </c>
      <c r="AE78" s="8">
        <v>1420.0951180380471</v>
      </c>
      <c r="AF78" s="8">
        <v>1475.3974261922785</v>
      </c>
      <c r="AG78" s="8">
        <v>1522.8939489658583</v>
      </c>
      <c r="AH78" s="8">
        <v>1599.40229389909</v>
      </c>
      <c r="AI78" s="8">
        <v>1647.5725593667546</v>
      </c>
      <c r="AJ78" s="8">
        <v>1715.6959015969817</v>
      </c>
      <c r="AK78" s="8">
        <v>1868.5042356808699</v>
      </c>
      <c r="AL78" s="8">
        <v>2013.2320933913732</v>
      </c>
      <c r="AM78" s="8">
        <v>2132.8722066363548</v>
      </c>
    </row>
    <row r="79" spans="1:39">
      <c r="A79" s="19" t="s">
        <v>72</v>
      </c>
      <c r="B79" s="8">
        <v>493.30484330484336</v>
      </c>
      <c r="C79" s="8">
        <v>509.68898696641611</v>
      </c>
      <c r="D79" s="8">
        <v>508.44515655250689</v>
      </c>
      <c r="E79" s="8">
        <v>504.58952811893988</v>
      </c>
      <c r="F79" s="8">
        <v>517.59328825444527</v>
      </c>
      <c r="G79" s="8">
        <v>533.7620578778135</v>
      </c>
      <c r="H79" s="8">
        <v>519.40719830628086</v>
      </c>
      <c r="I79" s="8">
        <v>509.55014539027309</v>
      </c>
      <c r="J79" s="8">
        <v>510.69592615112487</v>
      </c>
      <c r="K79" s="8">
        <v>511.44097315256414</v>
      </c>
      <c r="L79" s="8">
        <v>501.63610865839092</v>
      </c>
      <c r="M79" s="8">
        <v>486.66062619550991</v>
      </c>
      <c r="N79" s="8">
        <v>467.41145477607569</v>
      </c>
      <c r="O79" s="8">
        <v>455.33645434340571</v>
      </c>
      <c r="P79" s="8">
        <v>459.12612901746826</v>
      </c>
      <c r="Q79" s="8">
        <v>470.29526858769123</v>
      </c>
      <c r="R79" s="8">
        <v>484.53341386599942</v>
      </c>
      <c r="S79" s="8">
        <v>497.71918811466833</v>
      </c>
      <c r="T79" s="8">
        <v>500.64908722109539</v>
      </c>
      <c r="U79" s="8">
        <v>518.95501866038114</v>
      </c>
      <c r="V79" s="8">
        <v>512.40737222116661</v>
      </c>
      <c r="W79" s="8">
        <v>498.20011754334411</v>
      </c>
      <c r="X79" s="8">
        <v>487.49822417957097</v>
      </c>
      <c r="Y79" s="8">
        <v>479.43603851444294</v>
      </c>
      <c r="Z79" s="8">
        <v>481.74963299079138</v>
      </c>
      <c r="AA79" s="8">
        <v>489.76413717029493</v>
      </c>
      <c r="AB79" s="8">
        <v>493.86929591707752</v>
      </c>
      <c r="AC79" s="8">
        <v>499.39913105105842</v>
      </c>
      <c r="AD79" s="8">
        <v>504.25244177310293</v>
      </c>
      <c r="AE79" s="8">
        <v>516.6857109372711</v>
      </c>
      <c r="AF79" s="8">
        <v>534.91691886027513</v>
      </c>
      <c r="AG79" s="8">
        <v>558.79081150230832</v>
      </c>
      <c r="AH79" s="8">
        <v>574.89845653939892</v>
      </c>
      <c r="AI79" s="8">
        <v>597.20648306759779</v>
      </c>
      <c r="AJ79" s="8">
        <v>623.75983797779884</v>
      </c>
      <c r="AK79" s="8">
        <v>647.35648228930381</v>
      </c>
      <c r="AL79" s="8">
        <v>674.14478147107275</v>
      </c>
      <c r="AM79" s="8">
        <v>703.81790791827507</v>
      </c>
    </row>
    <row r="80" spans="1:39">
      <c r="A80" s="21" t="s">
        <v>73</v>
      </c>
      <c r="B80" s="8">
        <v>1578.4224841341795</v>
      </c>
      <c r="C80" s="8">
        <v>1649.6478873239439</v>
      </c>
      <c r="D80" s="8">
        <v>1668.5248713550602</v>
      </c>
      <c r="E80" s="8">
        <v>1707.4089577228965</v>
      </c>
      <c r="F80" s="8">
        <v>1707.107843137255</v>
      </c>
      <c r="G80" s="8">
        <v>1632.628639808536</v>
      </c>
      <c r="H80" s="8">
        <v>1706.1574434918161</v>
      </c>
      <c r="I80" s="8">
        <v>1849.3723849372384</v>
      </c>
      <c r="J80" s="8">
        <v>1707.1455016660495</v>
      </c>
      <c r="K80" s="8">
        <v>1896.9479353680431</v>
      </c>
      <c r="L80" s="8">
        <v>1772.6483859770915</v>
      </c>
      <c r="M80" s="8">
        <v>1647.3737035797926</v>
      </c>
      <c r="N80" s="8">
        <v>1500.1610305958131</v>
      </c>
      <c r="O80" s="8">
        <v>1524.6511627906975</v>
      </c>
      <c r="P80" s="8">
        <v>1551.5695067264573</v>
      </c>
      <c r="Q80" s="8">
        <v>1521.5007215007215</v>
      </c>
      <c r="R80" s="8">
        <v>1477.6910206358059</v>
      </c>
      <c r="S80" s="8">
        <v>1525.2361673414305</v>
      </c>
      <c r="T80" s="8">
        <v>1539.670070699136</v>
      </c>
      <c r="U80" s="8">
        <v>1494.1416199694345</v>
      </c>
      <c r="V80" s="8">
        <v>1447.5646123260437</v>
      </c>
      <c r="W80" s="8">
        <v>1358.843537414966</v>
      </c>
      <c r="X80" s="8">
        <v>1128.5646387832699</v>
      </c>
      <c r="Y80" s="8">
        <v>1266.5274878218511</v>
      </c>
      <c r="Z80" s="8">
        <v>1328.7454873646209</v>
      </c>
      <c r="AA80" s="8">
        <v>1400.8743169398906</v>
      </c>
      <c r="AB80" s="8">
        <v>1547.9307432432433</v>
      </c>
      <c r="AC80" s="8">
        <v>1458.9529435730292</v>
      </c>
      <c r="AD80" s="8">
        <v>1444.3132624950806</v>
      </c>
      <c r="AE80" s="8">
        <v>1387.8406708595387</v>
      </c>
      <c r="AF80" s="8">
        <v>1345.1147298297558</v>
      </c>
      <c r="AG80" s="8">
        <v>1363.2270844588511</v>
      </c>
      <c r="AH80" s="8">
        <v>1364.3383643383643</v>
      </c>
      <c r="AI80" s="8">
        <v>1370.3576929659421</v>
      </c>
      <c r="AJ80" s="8">
        <v>1352.3030707610146</v>
      </c>
      <c r="AK80" s="8">
        <v>1370.0569568755086</v>
      </c>
      <c r="AL80" s="8">
        <v>1361.7460317460318</v>
      </c>
      <c r="AM80" s="8">
        <v>1342.9323424678744</v>
      </c>
    </row>
    <row r="81" spans="1:39">
      <c r="A81" s="19" t="s">
        <v>74</v>
      </c>
      <c r="B81" s="8">
        <v>2776.6897081413208</v>
      </c>
      <c r="C81" s="8">
        <v>3216.2825840574237</v>
      </c>
      <c r="D81" s="8">
        <v>3138.986825013917</v>
      </c>
      <c r="E81" s="8">
        <v>3327.6301419730617</v>
      </c>
      <c r="F81" s="8">
        <v>3491.3562644804847</v>
      </c>
      <c r="G81" s="8">
        <v>3680.4249390456289</v>
      </c>
      <c r="H81" s="8">
        <v>3710.356536502547</v>
      </c>
      <c r="I81" s="8">
        <v>3844.9586776859505</v>
      </c>
      <c r="J81" s="8">
        <v>3987.934362934363</v>
      </c>
      <c r="K81" s="8">
        <v>4171.0526315789475</v>
      </c>
      <c r="L81" s="8">
        <v>4286.3463005339436</v>
      </c>
      <c r="M81" s="8">
        <v>4154.8521325605589</v>
      </c>
      <c r="N81" s="8">
        <v>4238.5228095582906</v>
      </c>
      <c r="O81" s="8">
        <v>4394.2922050262669</v>
      </c>
      <c r="P81" s="8">
        <v>4503.8567493112951</v>
      </c>
      <c r="Q81" s="8">
        <v>4300.5471773655408</v>
      </c>
      <c r="R81" s="8">
        <v>4474.170461938842</v>
      </c>
      <c r="S81" s="8">
        <v>4378.8495800458131</v>
      </c>
      <c r="T81" s="8">
        <v>4398.7938183188844</v>
      </c>
      <c r="U81" s="8">
        <v>4634.9031150355659</v>
      </c>
      <c r="V81" s="8">
        <v>4720.9665785044481</v>
      </c>
      <c r="W81" s="8">
        <v>4986.3368669022375</v>
      </c>
      <c r="X81" s="8">
        <v>4997.2276770243734</v>
      </c>
      <c r="Y81" s="8">
        <v>5063.6415201361315</v>
      </c>
      <c r="Z81" s="8">
        <v>5099.910694351418</v>
      </c>
      <c r="AA81" s="8">
        <v>5385.6309825063263</v>
      </c>
      <c r="AB81" s="8">
        <v>5601.0851871947916</v>
      </c>
      <c r="AC81" s="8">
        <v>5794.8141005035895</v>
      </c>
      <c r="AD81" s="8">
        <v>6065.6725888324872</v>
      </c>
      <c r="AE81" s="8">
        <v>6278.7536595566708</v>
      </c>
      <c r="AF81" s="8">
        <v>6513.0246020260493</v>
      </c>
      <c r="AG81" s="8">
        <v>6547.638519730117</v>
      </c>
      <c r="AH81" s="8">
        <v>6870.9349593495936</v>
      </c>
      <c r="AI81" s="8">
        <v>7218.3850181232374</v>
      </c>
      <c r="AJ81" s="8">
        <v>7432.8447502243498</v>
      </c>
      <c r="AK81" s="8">
        <v>7776.8562401263825</v>
      </c>
      <c r="AL81" s="8">
        <v>8190.9046454767731</v>
      </c>
      <c r="AM81" s="8">
        <v>8523.5789677544308</v>
      </c>
    </row>
    <row r="82" spans="1:39">
      <c r="A82" s="19" t="s">
        <v>75</v>
      </c>
      <c r="B82" s="8">
        <v>1446.2365591397852</v>
      </c>
      <c r="C82" s="8">
        <v>1527.0056497175142</v>
      </c>
      <c r="D82" s="8">
        <v>1461.7737003058103</v>
      </c>
      <c r="E82" s="8">
        <v>1503.8006756756758</v>
      </c>
      <c r="F82" s="8">
        <v>1420.6981016533987</v>
      </c>
      <c r="G82" s="8">
        <v>1459.624876604146</v>
      </c>
      <c r="H82" s="8">
        <v>1347.8510028653295</v>
      </c>
      <c r="I82" s="8">
        <v>1311.7027176927343</v>
      </c>
      <c r="J82" s="8">
        <v>1231.1683664340669</v>
      </c>
      <c r="K82" s="8">
        <v>1227.7450640803602</v>
      </c>
      <c r="L82" s="8">
        <v>1261.6493462956755</v>
      </c>
      <c r="M82" s="8">
        <v>1186.9219535940288</v>
      </c>
      <c r="N82" s="8">
        <v>1126.6300078554596</v>
      </c>
      <c r="O82" s="8">
        <v>1087.3269435569755</v>
      </c>
      <c r="P82" s="8">
        <v>1070.3021370670597</v>
      </c>
      <c r="Q82" s="8">
        <v>1044.7015138531849</v>
      </c>
      <c r="R82" s="8">
        <v>1039.5847750865053</v>
      </c>
      <c r="S82" s="8">
        <v>1071.2656019326266</v>
      </c>
      <c r="T82" s="8">
        <v>1028.7760416666667</v>
      </c>
      <c r="U82" s="8">
        <v>994.05815423514537</v>
      </c>
      <c r="V82" s="8">
        <v>965.36477523949895</v>
      </c>
      <c r="W82" s="8">
        <v>922.37879149749222</v>
      </c>
      <c r="X82" s="8">
        <v>957.96074788061776</v>
      </c>
      <c r="Y82" s="8">
        <v>851.15753811405978</v>
      </c>
      <c r="Z82" s="8">
        <v>804.23803249890204</v>
      </c>
      <c r="AA82" s="8">
        <v>835.78745198463514</v>
      </c>
      <c r="AB82" s="8">
        <v>838.80999274385829</v>
      </c>
      <c r="AC82" s="8">
        <v>800.10075566750629</v>
      </c>
      <c r="AD82" s="8">
        <v>795.88235294117658</v>
      </c>
      <c r="AE82" s="8">
        <v>803.38205789624533</v>
      </c>
      <c r="AF82" s="8">
        <v>822.45430809399477</v>
      </c>
      <c r="AG82" s="8">
        <v>825.64710171345246</v>
      </c>
      <c r="AH82" s="8">
        <v>853.28460647116503</v>
      </c>
      <c r="AI82" s="8">
        <v>879.79428172942823</v>
      </c>
      <c r="AJ82" s="8">
        <v>904.58340432782416</v>
      </c>
      <c r="AK82" s="8">
        <v>938.26441467676182</v>
      </c>
      <c r="AL82" s="8">
        <v>972.5515673217476</v>
      </c>
      <c r="AM82" s="8">
        <v>1005.8637083993661</v>
      </c>
    </row>
    <row r="83" spans="1:39">
      <c r="A83" s="19" t="s">
        <v>76</v>
      </c>
      <c r="B83" s="8">
        <v>2765.3724688835223</v>
      </c>
      <c r="C83" s="8">
        <v>2894.6329204810631</v>
      </c>
      <c r="D83" s="8">
        <v>2869.5802983003814</v>
      </c>
      <c r="E83" s="8">
        <v>2957.0901776734831</v>
      </c>
      <c r="F83" s="8">
        <v>2804.9610894941634</v>
      </c>
      <c r="G83" s="8">
        <v>2728.3001098728614</v>
      </c>
      <c r="H83" s="8">
        <v>2461.4565911509808</v>
      </c>
      <c r="I83" s="8">
        <v>2318.7104372147801</v>
      </c>
      <c r="J83" s="8">
        <v>2315.6846000569317</v>
      </c>
      <c r="K83" s="8">
        <v>2556.5778632243887</v>
      </c>
      <c r="L83" s="8">
        <v>2769.9325664418884</v>
      </c>
      <c r="M83" s="8">
        <v>2733.2824815662348</v>
      </c>
      <c r="N83" s="8">
        <v>2668.4178375076358</v>
      </c>
      <c r="O83" s="8">
        <v>2516.7391048983909</v>
      </c>
      <c r="P83" s="8">
        <v>2590.3900508762013</v>
      </c>
      <c r="Q83" s="8">
        <v>2549.0901165958376</v>
      </c>
      <c r="R83" s="8">
        <v>2488.2229232386962</v>
      </c>
      <c r="S83" s="8">
        <v>2586.907908111405</v>
      </c>
      <c r="T83" s="8">
        <v>2635.9161169636704</v>
      </c>
      <c r="U83" s="8">
        <v>2738.1703470031543</v>
      </c>
      <c r="V83" s="8">
        <v>2812.5232601414218</v>
      </c>
      <c r="W83" s="8">
        <v>2496.4146319324682</v>
      </c>
      <c r="X83" s="8">
        <v>2466.7613384219403</v>
      </c>
      <c r="Y83" s="8">
        <v>2640.1426210974864</v>
      </c>
      <c r="Z83" s="8">
        <v>2596.0044395116538</v>
      </c>
      <c r="AA83" s="8">
        <v>2817.1591672263262</v>
      </c>
      <c r="AB83" s="8">
        <v>2849.5699636123054</v>
      </c>
      <c r="AC83" s="8">
        <v>2894.4317439581973</v>
      </c>
      <c r="AD83" s="8">
        <v>2762.7324171382379</v>
      </c>
      <c r="AE83" s="8">
        <v>2527.0975511842635</v>
      </c>
      <c r="AF83" s="8">
        <v>2449.6080627099664</v>
      </c>
      <c r="AG83" s="8">
        <v>2338.8720242850295</v>
      </c>
      <c r="AH83" s="8">
        <v>2096.9624300559553</v>
      </c>
      <c r="AI83" s="8">
        <v>2020.1729106628241</v>
      </c>
      <c r="AJ83" s="8">
        <v>1915.7515030060122</v>
      </c>
      <c r="AK83" s="8">
        <v>1826.2300345132035</v>
      </c>
      <c r="AL83" s="8">
        <v>1716.3627600610491</v>
      </c>
      <c r="AM83" s="8">
        <v>1610.0457353767151</v>
      </c>
    </row>
    <row r="84" spans="1:39">
      <c r="A84" s="19" t="s">
        <v>77</v>
      </c>
      <c r="B84" s="8">
        <v>1398.6559374908891</v>
      </c>
      <c r="C84" s="8">
        <v>1390.3523143333382</v>
      </c>
      <c r="D84" s="8">
        <v>1352.2977148105881</v>
      </c>
      <c r="E84" s="8">
        <v>1345.6124872751952</v>
      </c>
      <c r="F84" s="8">
        <v>1353.102792381053</v>
      </c>
      <c r="G84" s="8">
        <v>1370.66854688802</v>
      </c>
      <c r="H84" s="8">
        <v>1388.7171848817725</v>
      </c>
      <c r="I84" s="8">
        <v>1382.3790874798779</v>
      </c>
      <c r="J84" s="8">
        <v>1358.3034591926998</v>
      </c>
      <c r="K84" s="8">
        <v>1327.6380319569689</v>
      </c>
      <c r="L84" s="8">
        <v>1289.5366301385102</v>
      </c>
      <c r="M84" s="8">
        <v>1288.039409294604</v>
      </c>
      <c r="N84" s="8">
        <v>1267.423512342868</v>
      </c>
      <c r="O84" s="8">
        <v>1243.0046463603512</v>
      </c>
      <c r="P84" s="8">
        <v>1248.5306971277012</v>
      </c>
      <c r="Q84" s="8">
        <v>1252.4886171965643</v>
      </c>
      <c r="R84" s="8">
        <v>1243.5654038328942</v>
      </c>
      <c r="S84" s="8">
        <v>1254.7060169297642</v>
      </c>
      <c r="T84" s="8">
        <v>1244.5272017847144</v>
      </c>
      <c r="U84" s="8">
        <v>1219.6343471103025</v>
      </c>
      <c r="V84" s="8">
        <v>1167.7489735264305</v>
      </c>
      <c r="W84" s="8">
        <v>1145.9714840124864</v>
      </c>
      <c r="X84" s="8">
        <v>1141.8512067678528</v>
      </c>
      <c r="Y84" s="8">
        <v>1094.8137659399592</v>
      </c>
      <c r="Z84" s="8">
        <v>1128.6691591758811</v>
      </c>
      <c r="AA84" s="8">
        <v>1151.6024375324243</v>
      </c>
      <c r="AB84" s="8">
        <v>1169.5727625816048</v>
      </c>
      <c r="AC84" s="8">
        <v>1182.8565608357826</v>
      </c>
      <c r="AD84" s="8">
        <v>1201.1708018090367</v>
      </c>
      <c r="AE84" s="8">
        <v>1204.071180792658</v>
      </c>
      <c r="AF84" s="8">
        <v>1227.8673965775486</v>
      </c>
      <c r="AG84" s="8">
        <v>1235.0934116162591</v>
      </c>
      <c r="AH84" s="8">
        <v>1252.5450347576352</v>
      </c>
      <c r="AI84" s="8">
        <v>1276.8559855000183</v>
      </c>
      <c r="AJ84" s="8">
        <v>1298.4925514305983</v>
      </c>
      <c r="AK84" s="8">
        <v>1318.8835456274312</v>
      </c>
      <c r="AL84" s="8">
        <v>1349.7259822461076</v>
      </c>
      <c r="AM84" s="8">
        <v>1393.8546272256203</v>
      </c>
    </row>
    <row r="85" spans="1:39">
      <c r="A85" s="20" t="s">
        <v>78</v>
      </c>
      <c r="B85" s="8">
        <v>2084.8692508989589</v>
      </c>
      <c r="C85" s="8">
        <v>2099.1835547976962</v>
      </c>
      <c r="D85" s="8">
        <v>2112.159115255517</v>
      </c>
      <c r="E85" s="8">
        <v>2143.3026292921518</v>
      </c>
      <c r="F85" s="8">
        <v>2132.3092757103614</v>
      </c>
      <c r="G85" s="8">
        <v>2189.7599917279044</v>
      </c>
      <c r="H85" s="8">
        <v>2207.0665064139184</v>
      </c>
      <c r="I85" s="8">
        <v>2202.2372328681317</v>
      </c>
      <c r="J85" s="8">
        <v>2234.084903542253</v>
      </c>
      <c r="K85" s="8">
        <v>2254.9495966684499</v>
      </c>
      <c r="L85" s="8">
        <v>2223.0320253936152</v>
      </c>
      <c r="M85" s="8">
        <v>2203.3787504803863</v>
      </c>
      <c r="N85" s="8">
        <v>2164.6208246632877</v>
      </c>
      <c r="O85" s="8">
        <v>2173.7866638235309</v>
      </c>
      <c r="P85" s="8">
        <v>2162.5232160446039</v>
      </c>
      <c r="Q85" s="8">
        <v>2148.1629921802032</v>
      </c>
      <c r="R85" s="8">
        <v>2132.103213409508</v>
      </c>
      <c r="S85" s="8">
        <v>2153.6851619616841</v>
      </c>
      <c r="T85" s="8">
        <v>2157.1498315597228</v>
      </c>
      <c r="U85" s="8">
        <v>2115.8802008857406</v>
      </c>
      <c r="V85" s="8">
        <v>2086.1891714547833</v>
      </c>
      <c r="W85" s="8">
        <v>2026.7448840136935</v>
      </c>
      <c r="X85" s="8">
        <v>1987.5254173996507</v>
      </c>
      <c r="Y85" s="8">
        <v>1979.9451744720056</v>
      </c>
      <c r="Z85" s="8">
        <v>1984.3264837650815</v>
      </c>
      <c r="AA85" s="8">
        <v>2040.8118303622716</v>
      </c>
      <c r="AB85" s="8">
        <v>2054.3422528546553</v>
      </c>
      <c r="AC85" s="8">
        <v>2065.1065202942023</v>
      </c>
      <c r="AD85" s="8">
        <v>2076.2559666095608</v>
      </c>
      <c r="AE85" s="8">
        <v>2092.7471855115027</v>
      </c>
      <c r="AF85" s="8">
        <v>2121.5080662117475</v>
      </c>
      <c r="AG85" s="8">
        <v>2139.5361321628884</v>
      </c>
      <c r="AH85" s="8">
        <v>2182.4956162653089</v>
      </c>
      <c r="AI85" s="8">
        <v>2249.8064608115169</v>
      </c>
      <c r="AJ85" s="8">
        <v>2309.4300319641811</v>
      </c>
      <c r="AK85" s="8">
        <v>2386.899976605202</v>
      </c>
      <c r="AL85" s="8">
        <v>2467.8195072859139</v>
      </c>
      <c r="AM85" s="8">
        <v>2539.1103710123311</v>
      </c>
    </row>
    <row r="86" spans="1:39">
      <c r="A86" s="19" t="s">
        <v>79</v>
      </c>
      <c r="B86" s="8">
        <v>7578.9473684210525</v>
      </c>
      <c r="C86" s="8">
        <v>7434.5991561181436</v>
      </c>
      <c r="D86" s="8">
        <v>6887.0967741935483</v>
      </c>
      <c r="E86" s="8">
        <v>11262.548262548262</v>
      </c>
      <c r="F86" s="8">
        <v>11768.382352941175</v>
      </c>
      <c r="G86" s="8">
        <v>13846.153846153848</v>
      </c>
      <c r="H86" s="8">
        <v>15089.70099667774</v>
      </c>
      <c r="I86" s="8">
        <v>15492.113564668769</v>
      </c>
      <c r="J86" s="8">
        <v>14626.506024096385</v>
      </c>
      <c r="K86" s="8">
        <v>15046.109510086457</v>
      </c>
      <c r="L86" s="8">
        <v>13692.520775623268</v>
      </c>
      <c r="M86" s="8">
        <v>12219.251336898396</v>
      </c>
      <c r="N86" s="8">
        <v>12560.723514211886</v>
      </c>
      <c r="O86" s="8">
        <v>12760</v>
      </c>
      <c r="P86" s="8">
        <v>11769.975786924941</v>
      </c>
      <c r="Q86" s="8">
        <v>11492.990654205607</v>
      </c>
      <c r="R86" s="8">
        <v>12229.72972972973</v>
      </c>
      <c r="S86" s="8">
        <v>12630.434782608696</v>
      </c>
      <c r="T86" s="8">
        <v>12252.100840336136</v>
      </c>
      <c r="U86" s="8">
        <v>12352.941176470589</v>
      </c>
      <c r="V86" s="8">
        <v>13282.35294117647</v>
      </c>
      <c r="W86" s="8">
        <v>13715.370018975331</v>
      </c>
      <c r="X86" s="8">
        <v>14968.807339449539</v>
      </c>
      <c r="Y86" s="8">
        <v>14478.647686832739</v>
      </c>
      <c r="Z86" s="8">
        <v>14631.487889273358</v>
      </c>
      <c r="AA86" s="8">
        <v>14848.229342327151</v>
      </c>
      <c r="AB86" s="8">
        <v>14929.276315789473</v>
      </c>
      <c r="AC86" s="8">
        <v>15292.604501607717</v>
      </c>
      <c r="AD86" s="8">
        <v>15599.056603773584</v>
      </c>
      <c r="AE86" s="8">
        <v>16072.307692307691</v>
      </c>
      <c r="AF86" s="8">
        <v>16431.57894736842</v>
      </c>
      <c r="AG86" s="8">
        <v>16914.705882352941</v>
      </c>
      <c r="AH86" s="8">
        <v>17741.007194244605</v>
      </c>
      <c r="AI86" s="8">
        <v>18339.436619718312</v>
      </c>
      <c r="AJ86" s="8">
        <v>19360</v>
      </c>
      <c r="AK86" s="8">
        <v>20456.021650879567</v>
      </c>
      <c r="AL86" s="8">
        <v>21406.374501992032</v>
      </c>
      <c r="AM86" s="8">
        <v>22302.477183833114</v>
      </c>
    </row>
    <row r="87" spans="1:39">
      <c r="A87" s="19" t="s">
        <v>80</v>
      </c>
      <c r="B87" s="8">
        <v>5791.1215590079037</v>
      </c>
      <c r="C87" s="8">
        <v>6530.4106511612545</v>
      </c>
      <c r="D87" s="8">
        <v>6685.6932247932818</v>
      </c>
      <c r="E87" s="8">
        <v>7092.1862373344939</v>
      </c>
      <c r="F87" s="8">
        <v>7267.1505149671739</v>
      </c>
      <c r="G87" s="8">
        <v>8286.6643332166605</v>
      </c>
      <c r="H87" s="8">
        <v>7922.8356690777573</v>
      </c>
      <c r="I87" s="8">
        <v>7097.2533785632213</v>
      </c>
      <c r="J87" s="8">
        <v>6376.025403545912</v>
      </c>
      <c r="K87" s="8">
        <v>5343.8554340047031</v>
      </c>
      <c r="L87" s="8">
        <v>4889.0971879625067</v>
      </c>
      <c r="M87" s="8">
        <v>5327.6777003069747</v>
      </c>
      <c r="N87" s="8">
        <v>5782.8061563869069</v>
      </c>
      <c r="O87" s="8">
        <v>5480.1351560257062</v>
      </c>
      <c r="P87" s="8">
        <v>5377.2823779193204</v>
      </c>
      <c r="Q87" s="8">
        <v>4712.1612486941558</v>
      </c>
      <c r="R87" s="8">
        <v>4498.1358083452324</v>
      </c>
      <c r="S87" s="8">
        <v>4095.0903695710813</v>
      </c>
      <c r="T87" s="8">
        <v>4239.4228601487939</v>
      </c>
      <c r="U87" s="8">
        <v>4715.8823529411757</v>
      </c>
      <c r="V87" s="8">
        <v>5225.100394341739</v>
      </c>
      <c r="W87" s="8">
        <v>5360.3367866424578</v>
      </c>
      <c r="X87" s="8">
        <v>5191.7741031390133</v>
      </c>
      <c r="Y87" s="8">
        <v>5090.9952770021027</v>
      </c>
      <c r="Z87" s="8">
        <v>5142.7214438375686</v>
      </c>
      <c r="AA87" s="8">
        <v>5422.8026520148969</v>
      </c>
      <c r="AB87" s="8">
        <v>5521.3401095376721</v>
      </c>
      <c r="AC87" s="8">
        <v>5576.5331694934439</v>
      </c>
      <c r="AD87" s="8">
        <v>5589.8402098735987</v>
      </c>
      <c r="AE87" s="8">
        <v>5781.3697430363318</v>
      </c>
      <c r="AF87" s="8">
        <v>5897.6884483979202</v>
      </c>
      <c r="AG87" s="8">
        <v>6241.418486987609</v>
      </c>
      <c r="AH87" s="8">
        <v>6582.7665413758132</v>
      </c>
      <c r="AI87" s="8">
        <v>6813.2777035067356</v>
      </c>
      <c r="AJ87" s="8">
        <v>7023.246052079262</v>
      </c>
      <c r="AK87" s="8">
        <v>7329.923820936403</v>
      </c>
      <c r="AL87" s="8">
        <v>7800.7631545599188</v>
      </c>
      <c r="AM87" s="8">
        <v>8130.5659013841787</v>
      </c>
    </row>
    <row r="88" spans="1:39">
      <c r="A88" s="19" t="s">
        <v>81</v>
      </c>
      <c r="B88" s="8">
        <v>7094.9445129469796</v>
      </c>
      <c r="C88" s="8">
        <v>6490.1610017889088</v>
      </c>
      <c r="D88" s="8">
        <v>7316.4776004614505</v>
      </c>
      <c r="E88" s="8">
        <v>7386.4608517760835</v>
      </c>
      <c r="F88" s="8">
        <v>7893.9557474365893</v>
      </c>
      <c r="G88" s="8">
        <v>8684.9660692535235</v>
      </c>
      <c r="H88" s="8">
        <v>8944.8792392493488</v>
      </c>
      <c r="I88" s="8">
        <v>9535.1952585856943</v>
      </c>
      <c r="J88" s="8">
        <v>12601.973684210525</v>
      </c>
      <c r="K88" s="8">
        <v>9976.4981485679727</v>
      </c>
      <c r="L88" s="8">
        <v>5814.4931766766404</v>
      </c>
      <c r="M88" s="8">
        <v>4910.5341141607278</v>
      </c>
      <c r="N88" s="8">
        <v>6728.4329784329784</v>
      </c>
      <c r="O88" s="8">
        <v>6504.4522129147153</v>
      </c>
      <c r="P88" s="8">
        <v>5383.2674907607998</v>
      </c>
      <c r="Q88" s="8">
        <v>4199.0521327014221</v>
      </c>
      <c r="R88" s="8">
        <v>4062.9269177295537</v>
      </c>
      <c r="S88" s="8">
        <v>3550.3580232421646</v>
      </c>
      <c r="T88" s="8">
        <v>3701.5027322404371</v>
      </c>
      <c r="U88" s="8">
        <v>2484.9186655638268</v>
      </c>
      <c r="V88" s="8">
        <v>1274.1529304029302</v>
      </c>
      <c r="W88" s="8">
        <v>1430.5228977718061</v>
      </c>
      <c r="X88" s="8">
        <v>967.67182830752506</v>
      </c>
      <c r="Y88" s="8">
        <v>947.12704269899848</v>
      </c>
      <c r="Z88" s="8">
        <v>881.93485708441995</v>
      </c>
      <c r="AA88" s="8">
        <v>873.47485368515038</v>
      </c>
      <c r="AB88" s="8">
        <v>1059.4435887562572</v>
      </c>
      <c r="AC88" s="8">
        <v>1380.035517338069</v>
      </c>
      <c r="AD88" s="8">
        <v>1675.4573101538742</v>
      </c>
      <c r="AE88" s="8">
        <v>1561.4746868936322</v>
      </c>
      <c r="AF88" s="8">
        <v>1417.9667409566262</v>
      </c>
      <c r="AG88" s="8">
        <v>1270.1858178485127</v>
      </c>
      <c r="AH88" s="8">
        <v>725.56010209455906</v>
      </c>
      <c r="AI88" s="8">
        <v>1029.0443349753696</v>
      </c>
      <c r="AJ88" s="8">
        <v>1038.4659635666346</v>
      </c>
      <c r="AK88" s="8">
        <v>1014.0387559272673</v>
      </c>
      <c r="AL88" s="8">
        <v>1036.9818181818182</v>
      </c>
      <c r="AM88" s="8">
        <v>1109.2448885581659</v>
      </c>
    </row>
    <row r="89" spans="1:39">
      <c r="A89" s="19" t="s">
        <v>82</v>
      </c>
      <c r="B89" s="8">
        <v>12406.270200387848</v>
      </c>
      <c r="C89" s="8">
        <v>13566.971320516861</v>
      </c>
      <c r="D89" s="8">
        <v>13769.463798848834</v>
      </c>
      <c r="E89" s="8">
        <v>14234.411764705883</v>
      </c>
      <c r="F89" s="8">
        <v>14370.434282427381</v>
      </c>
      <c r="G89" s="8">
        <v>14100.421940928269</v>
      </c>
      <c r="H89" s="8">
        <v>13936.708860759494</v>
      </c>
      <c r="I89" s="8">
        <v>14405.551064403126</v>
      </c>
      <c r="J89" s="8">
        <v>14918.024172359432</v>
      </c>
      <c r="K89" s="8">
        <v>14809.389430477167</v>
      </c>
      <c r="L89" s="8">
        <v>15297.861635220126</v>
      </c>
      <c r="M89" s="8">
        <v>15327.160493827161</v>
      </c>
      <c r="N89" s="8">
        <v>15557.953443258973</v>
      </c>
      <c r="O89" s="8">
        <v>15500</v>
      </c>
      <c r="P89" s="8">
        <v>15848.976711362031</v>
      </c>
      <c r="Q89" s="8">
        <v>16260.597637248089</v>
      </c>
      <c r="R89" s="8">
        <v>17143.606108958287</v>
      </c>
      <c r="S89" s="8">
        <v>17353.587443946188</v>
      </c>
      <c r="T89" s="8">
        <v>17164.718853362734</v>
      </c>
      <c r="U89" s="8">
        <v>17864.841745081267</v>
      </c>
      <c r="V89" s="8">
        <v>18154.125479120437</v>
      </c>
      <c r="W89" s="8">
        <v>18910.491419656784</v>
      </c>
      <c r="X89" s="8">
        <v>19180.281155015196</v>
      </c>
      <c r="Y89" s="8">
        <v>20082.392149601925</v>
      </c>
      <c r="Z89" s="8">
        <v>20857.168620378721</v>
      </c>
      <c r="AA89" s="8">
        <v>21488.830255057168</v>
      </c>
      <c r="AB89" s="8">
        <v>21558.586378452565</v>
      </c>
      <c r="AC89" s="8">
        <v>21946.072684642437</v>
      </c>
      <c r="AD89" s="8">
        <v>22100.244897959183</v>
      </c>
      <c r="AE89" s="8">
        <v>23503.41866751471</v>
      </c>
      <c r="AF89" s="8">
        <v>22946.420251591862</v>
      </c>
      <c r="AG89" s="8">
        <v>22339.269406392694</v>
      </c>
      <c r="AH89" s="8">
        <v>22270.104633781764</v>
      </c>
      <c r="AI89" s="8">
        <v>22974.592451167573</v>
      </c>
      <c r="AJ89" s="8">
        <v>23724.675324675325</v>
      </c>
      <c r="AK89" s="8">
        <v>24538.984973064926</v>
      </c>
      <c r="AL89" s="8">
        <v>25362.813370473537</v>
      </c>
      <c r="AM89" s="8">
        <v>25908.344733242135</v>
      </c>
    </row>
    <row r="90" spans="1:39">
      <c r="A90" s="19" t="s">
        <v>83</v>
      </c>
      <c r="B90" s="8">
        <v>3127.7001270648029</v>
      </c>
      <c r="C90" s="8">
        <v>3186.6585067319465</v>
      </c>
      <c r="D90" s="8">
        <v>2876.3313609467455</v>
      </c>
      <c r="E90" s="8">
        <v>2780.8924485125858</v>
      </c>
      <c r="F90" s="8">
        <v>2662.9834254143648</v>
      </c>
      <c r="G90" s="8">
        <v>3194.0298507462689</v>
      </c>
      <c r="H90" s="8">
        <v>3277.8633795582946</v>
      </c>
      <c r="I90" s="8">
        <v>3821.3755566551213</v>
      </c>
      <c r="J90" s="8">
        <v>4014.7689375893278</v>
      </c>
      <c r="K90" s="8">
        <v>4598.3493810178816</v>
      </c>
      <c r="L90" s="8">
        <v>4632.1129245699167</v>
      </c>
      <c r="M90" s="8">
        <v>4778.3898305084749</v>
      </c>
      <c r="N90" s="8">
        <v>4682.8175895765471</v>
      </c>
      <c r="O90" s="8">
        <v>4898.0791846334769</v>
      </c>
      <c r="P90" s="8">
        <v>4889.1830559757936</v>
      </c>
      <c r="Q90" s="8">
        <v>5041.5451895043725</v>
      </c>
      <c r="R90" s="8">
        <v>5001.4054813773719</v>
      </c>
      <c r="S90" s="8">
        <v>4738.8059701492539</v>
      </c>
      <c r="T90" s="8">
        <v>3956.4790575916231</v>
      </c>
      <c r="U90" s="8">
        <v>3851.4195583596215</v>
      </c>
      <c r="V90" s="8">
        <v>3506.9111424541607</v>
      </c>
      <c r="W90" s="8">
        <v>3951.7814090543798</v>
      </c>
      <c r="X90" s="8">
        <v>3951.6129032258063</v>
      </c>
      <c r="Y90" s="8">
        <v>3990.3964540753504</v>
      </c>
      <c r="Z90" s="8">
        <v>4101.7878426698444</v>
      </c>
      <c r="AA90" s="8">
        <v>4061.5028901734104</v>
      </c>
      <c r="AB90" s="8">
        <v>4069.7465799506617</v>
      </c>
      <c r="AC90" s="8">
        <v>4066.5651511855554</v>
      </c>
      <c r="AD90" s="8">
        <v>4129.0322580645161</v>
      </c>
      <c r="AE90" s="8">
        <v>4199.2496873697373</v>
      </c>
      <c r="AF90" s="8">
        <v>4312.72875152501</v>
      </c>
      <c r="AG90" s="8">
        <v>4453.5529972211189</v>
      </c>
      <c r="AH90" s="8">
        <v>4526.5298218435328</v>
      </c>
      <c r="AI90" s="8">
        <v>4796.7863894139882</v>
      </c>
      <c r="AJ90" s="8">
        <v>5020.3252032520322</v>
      </c>
      <c r="AK90" s="8">
        <v>5349.2235464066443</v>
      </c>
      <c r="AL90" s="8">
        <v>5520.8952614093369</v>
      </c>
      <c r="AM90" s="8">
        <v>5645.9532678631904</v>
      </c>
    </row>
    <row r="91" spans="1:39">
      <c r="A91" s="19" t="s">
        <v>84</v>
      </c>
      <c r="B91" s="8">
        <v>45572.864321608038</v>
      </c>
      <c r="C91" s="8">
        <v>44820.118343195267</v>
      </c>
      <c r="D91" s="8">
        <v>40325.503355704699</v>
      </c>
      <c r="E91" s="8">
        <v>34431.890179514259</v>
      </c>
      <c r="F91" s="8">
        <v>29789.47368421053</v>
      </c>
      <c r="G91" s="8">
        <v>30501.397949673814</v>
      </c>
      <c r="H91" s="8">
        <v>28578.671328671335</v>
      </c>
      <c r="I91" s="8">
        <v>28817.733990147783</v>
      </c>
      <c r="J91" s="8">
        <v>30851.85185185185</v>
      </c>
      <c r="K91" s="8">
        <v>23084.363636363636</v>
      </c>
      <c r="L91" s="8">
        <v>17712.611991729842</v>
      </c>
      <c r="M91" s="8">
        <v>14787.401574803149</v>
      </c>
      <c r="N91" s="8">
        <v>15620.213433772757</v>
      </c>
      <c r="O91" s="8">
        <v>15822.356495468277</v>
      </c>
      <c r="P91" s="8">
        <v>14644.275700934581</v>
      </c>
      <c r="Q91" s="8">
        <v>15197.654941373536</v>
      </c>
      <c r="R91" s="8">
        <v>15715.429791777897</v>
      </c>
      <c r="S91" s="8">
        <v>13522.471910112359</v>
      </c>
      <c r="T91" s="8">
        <v>16275.87890625</v>
      </c>
      <c r="U91" s="8">
        <v>13569.411764705883</v>
      </c>
      <c r="V91" s="8">
        <v>12481.291269258987</v>
      </c>
      <c r="W91" s="8">
        <v>17536.251709986322</v>
      </c>
      <c r="X91" s="8">
        <v>21922.144224633059</v>
      </c>
      <c r="Y91" s="8">
        <v>22159.428911362284</v>
      </c>
      <c r="Z91" s="8">
        <v>21675.915649278581</v>
      </c>
      <c r="AA91" s="8">
        <v>20747.62407602957</v>
      </c>
      <c r="AB91" s="8">
        <v>20337.373737373739</v>
      </c>
      <c r="AC91" s="8">
        <v>20593.487913172175</v>
      </c>
      <c r="AD91" s="8">
        <v>19457.047935453251</v>
      </c>
      <c r="AE91" s="8">
        <v>19598.630136986303</v>
      </c>
      <c r="AF91" s="8">
        <v>19003.956043956045</v>
      </c>
      <c r="AG91" s="8">
        <v>19071.092077087796</v>
      </c>
      <c r="AH91" s="8">
        <v>21804.257095158599</v>
      </c>
      <c r="AI91" s="8">
        <v>23507.317073170732</v>
      </c>
      <c r="AJ91" s="8">
        <v>25410.25641025641</v>
      </c>
      <c r="AK91" s="8">
        <v>26338.59176606387</v>
      </c>
      <c r="AL91" s="8">
        <v>26881.336838152463</v>
      </c>
      <c r="AM91" s="8">
        <v>27900.293255131965</v>
      </c>
    </row>
    <row r="92" spans="1:39">
      <c r="A92" s="19" t="s">
        <v>85</v>
      </c>
      <c r="B92" s="8">
        <v>4875.8483033932134</v>
      </c>
      <c r="C92" s="8">
        <v>5326.5940902021775</v>
      </c>
      <c r="D92" s="8">
        <v>5437.4526156178927</v>
      </c>
      <c r="E92" s="8">
        <v>5500.5565862708727</v>
      </c>
      <c r="F92" s="8">
        <v>4374.1322616002917</v>
      </c>
      <c r="G92" s="8">
        <v>1863.9160332971408</v>
      </c>
      <c r="H92" s="8">
        <v>3402.307137707282</v>
      </c>
      <c r="I92" s="8">
        <v>3296.8299711815566</v>
      </c>
      <c r="J92" s="8">
        <v>3605.6895930860637</v>
      </c>
      <c r="K92" s="8">
        <v>3649.1921005385993</v>
      </c>
      <c r="L92" s="8">
        <v>3646.5548018564796</v>
      </c>
      <c r="M92" s="8">
        <v>2285.7648725212466</v>
      </c>
      <c r="N92" s="8">
        <v>2778.3233952998949</v>
      </c>
      <c r="O92" s="8">
        <v>3982.2546972860123</v>
      </c>
      <c r="P92" s="8">
        <v>4920.7886544448284</v>
      </c>
      <c r="Q92" s="8">
        <v>4575.2242926155968</v>
      </c>
      <c r="R92" s="8">
        <v>5337.357709555019</v>
      </c>
      <c r="S92" s="8">
        <v>3825.757575757576</v>
      </c>
      <c r="T92" s="8">
        <v>2185.2358168147639</v>
      </c>
      <c r="U92" s="8">
        <v>2720.2420981842633</v>
      </c>
      <c r="V92" s="8">
        <v>3661.9718309859154</v>
      </c>
      <c r="W92" s="8">
        <v>3699.4933502216595</v>
      </c>
      <c r="X92" s="8">
        <v>3814.7696063472686</v>
      </c>
      <c r="Y92" s="8">
        <v>3980.5424528301887</v>
      </c>
      <c r="Z92" s="8">
        <v>4120.3093669435693</v>
      </c>
      <c r="AA92" s="8">
        <v>4237.3213785374055</v>
      </c>
      <c r="AB92" s="8">
        <v>4338.7496557422201</v>
      </c>
      <c r="AC92" s="8">
        <v>4405.3246400434673</v>
      </c>
      <c r="AD92" s="8">
        <v>4293.3440687063876</v>
      </c>
      <c r="AE92" s="8">
        <v>4301.4316012725349</v>
      </c>
      <c r="AF92" s="8">
        <v>4447.0034022507198</v>
      </c>
      <c r="AG92" s="8">
        <v>4530.3696045489787</v>
      </c>
      <c r="AH92" s="8">
        <v>4655.6916794282797</v>
      </c>
      <c r="AI92" s="8">
        <v>4943.5056746532155</v>
      </c>
      <c r="AJ92" s="8">
        <v>4937.1727748691101</v>
      </c>
      <c r="AK92" s="8">
        <v>4855.9802712700375</v>
      </c>
      <c r="AL92" s="8">
        <v>5166.4632658042465</v>
      </c>
      <c r="AM92" s="8">
        <v>5523.314810340662</v>
      </c>
    </row>
    <row r="93" spans="1:39">
      <c r="A93" s="21" t="s">
        <v>86</v>
      </c>
      <c r="B93" s="8">
        <v>6329.4573643410849</v>
      </c>
      <c r="C93" s="8">
        <v>6691.5422885572134</v>
      </c>
      <c r="D93" s="8">
        <v>5504.7732696897374</v>
      </c>
      <c r="E93" s="8">
        <v>5878.8571428571431</v>
      </c>
      <c r="F93" s="8">
        <v>6980.3707742639035</v>
      </c>
      <c r="G93" s="8">
        <v>8012.4610591900318</v>
      </c>
      <c r="H93" s="8">
        <v>7692.9911154985202</v>
      </c>
      <c r="I93" s="8">
        <v>7027.1535580524342</v>
      </c>
      <c r="J93" s="8">
        <v>6954.7069271758446</v>
      </c>
      <c r="K93" s="8">
        <v>6994.9452401010949</v>
      </c>
      <c r="L93" s="8">
        <v>7762.779552715655</v>
      </c>
      <c r="M93" s="8">
        <v>8208.1756245268734</v>
      </c>
      <c r="N93" s="8">
        <v>9100.7194244604325</v>
      </c>
      <c r="O93" s="8">
        <v>10112.328767123288</v>
      </c>
      <c r="P93" s="8">
        <v>11022.920759659464</v>
      </c>
      <c r="Q93" s="8">
        <v>10784.547738693467</v>
      </c>
      <c r="R93" s="8">
        <v>10016.918429003021</v>
      </c>
      <c r="S93" s="8">
        <v>10237.179487179488</v>
      </c>
      <c r="T93" s="8">
        <v>11035.975267003936</v>
      </c>
      <c r="U93" s="8">
        <v>10638.632664134564</v>
      </c>
      <c r="V93" s="8">
        <v>10889.005235602095</v>
      </c>
      <c r="W93" s="8">
        <v>11393.633148054572</v>
      </c>
      <c r="X93" s="8">
        <v>11680.508060576452</v>
      </c>
      <c r="Y93" s="8">
        <v>11759.943181818182</v>
      </c>
      <c r="Z93" s="8">
        <v>12006.445672191529</v>
      </c>
      <c r="AA93" s="8">
        <v>12077.752808988764</v>
      </c>
      <c r="AB93" s="8">
        <v>12530.343007915568</v>
      </c>
      <c r="AC93" s="8">
        <v>12617.342536669543</v>
      </c>
      <c r="AD93" s="8">
        <v>12371.876323591698</v>
      </c>
      <c r="AE93" s="8">
        <v>12817.651956702746</v>
      </c>
      <c r="AF93" s="8">
        <v>13545.231273024969</v>
      </c>
      <c r="AG93" s="8">
        <v>13663.848631239936</v>
      </c>
      <c r="AH93" s="8">
        <v>13706.254948535234</v>
      </c>
      <c r="AI93" s="8">
        <v>14192.607003891051</v>
      </c>
      <c r="AJ93" s="8">
        <v>14766.615737203972</v>
      </c>
      <c r="AK93" s="8">
        <v>15582.022471910113</v>
      </c>
      <c r="AL93" s="8">
        <v>16342.259721203229</v>
      </c>
      <c r="AM93" s="8">
        <v>17147.935368043087</v>
      </c>
    </row>
    <row r="94" spans="1:39">
      <c r="A94" s="19" t="s">
        <v>87</v>
      </c>
      <c r="B94" s="8">
        <v>66196.721311475412</v>
      </c>
      <c r="C94" s="8">
        <v>67540.74074074073</v>
      </c>
      <c r="D94" s="8">
        <v>73170.068027210888</v>
      </c>
      <c r="E94" s="8">
        <v>60737.5</v>
      </c>
      <c r="F94" s="8">
        <v>47853.801169590639</v>
      </c>
      <c r="G94" s="8">
        <v>52248.618784530387</v>
      </c>
      <c r="H94" s="8">
        <v>44389.473684210527</v>
      </c>
      <c r="I94" s="8">
        <v>46165</v>
      </c>
      <c r="J94" s="8">
        <v>45117.370892018778</v>
      </c>
      <c r="K94" s="8">
        <v>41545.851528384279</v>
      </c>
      <c r="L94" s="8">
        <v>36426.294820717128</v>
      </c>
      <c r="M94" s="8">
        <v>30299.638989169671</v>
      </c>
      <c r="N94" s="8">
        <v>26059.016393442624</v>
      </c>
      <c r="O94" s="8">
        <v>27604.790419161676</v>
      </c>
      <c r="P94" s="8">
        <v>22218.836565096957</v>
      </c>
      <c r="Q94" s="8">
        <v>21549.222797927461</v>
      </c>
      <c r="R94" s="8">
        <v>20470.731707317074</v>
      </c>
      <c r="S94" s="8">
        <v>20389.791183294663</v>
      </c>
      <c r="T94" s="8">
        <v>20516.629711751662</v>
      </c>
      <c r="U94" s="8">
        <v>16920.770877944324</v>
      </c>
      <c r="V94" s="8">
        <v>16165.975103734439</v>
      </c>
      <c r="W94" s="8">
        <v>17587.044534412955</v>
      </c>
      <c r="X94" s="8">
        <v>16962.376237623761</v>
      </c>
      <c r="Y94" s="8">
        <v>16782.524271844661</v>
      </c>
      <c r="Z94" s="8">
        <v>17336.501901140684</v>
      </c>
      <c r="AA94" s="8">
        <v>17711.89591078067</v>
      </c>
      <c r="AB94" s="8">
        <v>22671.506352087112</v>
      </c>
      <c r="AC94" s="8">
        <v>24566.901408450707</v>
      </c>
      <c r="AD94" s="8">
        <v>24715.254237288136</v>
      </c>
      <c r="AE94" s="8">
        <v>25784.440842787684</v>
      </c>
      <c r="AF94" s="8">
        <v>25361.111111111109</v>
      </c>
      <c r="AG94" s="8">
        <v>25694.890510948902</v>
      </c>
      <c r="AH94" s="8">
        <v>24886.612021857924</v>
      </c>
      <c r="AI94" s="8">
        <v>27611.04140526976</v>
      </c>
      <c r="AJ94" s="8">
        <v>26381.9209039548</v>
      </c>
      <c r="AK94" s="8">
        <v>25377.622377622381</v>
      </c>
      <c r="AL94" s="8">
        <v>25499.121265377857</v>
      </c>
      <c r="AM94" s="8">
        <v>26366.900858704139</v>
      </c>
    </row>
    <row r="95" spans="1:39">
      <c r="A95" s="19" t="s">
        <v>88</v>
      </c>
      <c r="B95" s="8">
        <v>13150.726089133701</v>
      </c>
      <c r="C95" s="8">
        <v>15537.527946343023</v>
      </c>
      <c r="D95" s="8">
        <v>18631.25</v>
      </c>
      <c r="E95" s="8">
        <v>22619.102917694876</v>
      </c>
      <c r="F95" s="8">
        <v>22613.294717969933</v>
      </c>
      <c r="G95" s="8">
        <v>24169.478226755589</v>
      </c>
      <c r="H95" s="8">
        <v>24485.328711155133</v>
      </c>
      <c r="I95" s="8">
        <v>22921.465355805241</v>
      </c>
      <c r="J95" s="8">
        <v>23758.20170109356</v>
      </c>
      <c r="K95" s="8">
        <v>23855.164514785509</v>
      </c>
      <c r="L95" s="8">
        <v>23521.820143179368</v>
      </c>
      <c r="M95" s="8">
        <v>19696.379087382225</v>
      </c>
      <c r="N95" s="8">
        <v>17037.694785409592</v>
      </c>
      <c r="O95" s="8">
        <v>15578.480492813142</v>
      </c>
      <c r="P95" s="8">
        <v>14089.052795031055</v>
      </c>
      <c r="Q95" s="8">
        <v>14014.10934744268</v>
      </c>
      <c r="R95" s="8">
        <v>12760.069686411151</v>
      </c>
      <c r="S95" s="8">
        <v>13140.915119363395</v>
      </c>
      <c r="T95" s="8">
        <v>12578.596802841919</v>
      </c>
      <c r="U95" s="8">
        <v>13114.597960803467</v>
      </c>
      <c r="V95" s="8">
        <v>14066.322549666886</v>
      </c>
      <c r="W95" s="8">
        <v>14468.13783337267</v>
      </c>
      <c r="X95" s="8">
        <v>14013.026338341999</v>
      </c>
      <c r="Y95" s="8">
        <v>13697.808599167824</v>
      </c>
      <c r="Z95" s="8">
        <v>13366.416337997731</v>
      </c>
      <c r="AA95" s="8">
        <v>13477.184107914427</v>
      </c>
      <c r="AB95" s="8">
        <v>13495.217033532195</v>
      </c>
      <c r="AC95" s="8">
        <v>13552.257546080054</v>
      </c>
      <c r="AD95" s="8">
        <v>13259.728686008515</v>
      </c>
      <c r="AE95" s="8">
        <v>13593.14650791346</v>
      </c>
      <c r="AF95" s="8">
        <v>13368.602944657481</v>
      </c>
      <c r="AG95" s="8">
        <v>13096.808559914773</v>
      </c>
      <c r="AH95" s="8">
        <v>13802.620839756961</v>
      </c>
      <c r="AI95" s="8">
        <v>14223.223400949886</v>
      </c>
      <c r="AJ95" s="8">
        <v>14630.00129763398</v>
      </c>
      <c r="AK95" s="8">
        <v>14735.081717977957</v>
      </c>
      <c r="AL95" s="8">
        <v>14931.821004263775</v>
      </c>
      <c r="AM95" s="8">
        <v>15243.406637993994</v>
      </c>
    </row>
    <row r="96" spans="1:39">
      <c r="A96" s="19" t="s">
        <v>89</v>
      </c>
      <c r="B96" s="8">
        <v>1688.7809321390619</v>
      </c>
      <c r="C96" s="8">
        <v>2041.9908970782558</v>
      </c>
      <c r="D96" s="8">
        <v>1805.6501987507099</v>
      </c>
      <c r="E96" s="8">
        <v>2166.8954158660445</v>
      </c>
      <c r="F96" s="8">
        <v>2503.7813453628764</v>
      </c>
      <c r="G96" s="8">
        <v>2685.520071822496</v>
      </c>
      <c r="H96" s="8">
        <v>2562.6626998884344</v>
      </c>
      <c r="I96" s="8">
        <v>2691.8562874251497</v>
      </c>
      <c r="J96" s="8">
        <v>2692.5210958270723</v>
      </c>
      <c r="K96" s="8">
        <v>2907.591126964664</v>
      </c>
      <c r="L96" s="8">
        <v>3066.781189607043</v>
      </c>
      <c r="M96" s="8">
        <v>3015.0904392764855</v>
      </c>
      <c r="N96" s="8">
        <v>2943.9800995024875</v>
      </c>
      <c r="O96" s="8">
        <v>2720.7630368098157</v>
      </c>
      <c r="P96" s="8">
        <v>2784.8358760980122</v>
      </c>
      <c r="Q96" s="8">
        <v>2556.8455836384746</v>
      </c>
      <c r="R96" s="8">
        <v>2519.6476379652818</v>
      </c>
      <c r="S96" s="8">
        <v>2762.9598662207354</v>
      </c>
      <c r="T96" s="8">
        <v>2437.8089295843124</v>
      </c>
      <c r="U96" s="8">
        <v>2545.7118151088753</v>
      </c>
      <c r="V96" s="8">
        <v>2666.9974049763396</v>
      </c>
      <c r="W96" s="8">
        <v>2940.4479382972413</v>
      </c>
      <c r="X96" s="8">
        <v>3007.7893977641543</v>
      </c>
      <c r="Y96" s="8">
        <v>3152.4471596095782</v>
      </c>
      <c r="Z96" s="8">
        <v>3249.5550992470912</v>
      </c>
      <c r="AA96" s="8">
        <v>3310.2918586789551</v>
      </c>
      <c r="AB96" s="8">
        <v>3290.5308464849354</v>
      </c>
      <c r="AC96" s="8">
        <v>3417.0169405171314</v>
      </c>
      <c r="AD96" s="8">
        <v>3215.9592318687464</v>
      </c>
      <c r="AE96" s="8">
        <v>3220.0956937799047</v>
      </c>
      <c r="AF96" s="8">
        <v>3297.6829196391727</v>
      </c>
      <c r="AG96" s="8">
        <v>3334.3846771418744</v>
      </c>
      <c r="AH96" s="8">
        <v>3292.0008912655967</v>
      </c>
      <c r="AI96" s="8">
        <v>3378.4031979256697</v>
      </c>
      <c r="AJ96" s="8">
        <v>3418.0743684953718</v>
      </c>
      <c r="AK96" s="8">
        <v>3471.1203193693464</v>
      </c>
      <c r="AL96" s="8">
        <v>3490.7822863831443</v>
      </c>
      <c r="AM96" s="8">
        <v>3547.2275875064774</v>
      </c>
    </row>
    <row r="97" spans="1:39">
      <c r="A97" s="19" t="s">
        <v>90</v>
      </c>
      <c r="B97" s="8">
        <v>32774.436090225565</v>
      </c>
      <c r="C97" s="8">
        <v>31835.96214511041</v>
      </c>
      <c r="D97" s="8">
        <v>48680.738786279682</v>
      </c>
      <c r="E97" s="8">
        <v>46942.222222222219</v>
      </c>
      <c r="F97" s="8">
        <v>42339.622641509435</v>
      </c>
      <c r="G97" s="8">
        <v>41637.096774193546</v>
      </c>
      <c r="H97" s="8">
        <v>42224.233983286911</v>
      </c>
      <c r="I97" s="8">
        <v>36060.901339829477</v>
      </c>
      <c r="J97" s="8">
        <v>40146.579804560257</v>
      </c>
      <c r="K97" s="8">
        <v>46053.201970443355</v>
      </c>
      <c r="L97" s="8">
        <v>43662.125340599458</v>
      </c>
      <c r="M97" s="8">
        <v>37377.966101694918</v>
      </c>
      <c r="N97" s="8">
        <v>33222.133757961783</v>
      </c>
      <c r="O97" s="8">
        <v>32795.64237415477</v>
      </c>
      <c r="P97" s="8">
        <v>28923.40425531915</v>
      </c>
      <c r="Q97" s="8">
        <v>22170.013386880855</v>
      </c>
      <c r="R97" s="8">
        <v>22247.155499367887</v>
      </c>
      <c r="S97" s="8">
        <v>20520.31063321386</v>
      </c>
      <c r="T97" s="8">
        <v>22046.919163369137</v>
      </c>
      <c r="U97" s="8">
        <v>24551.687198714517</v>
      </c>
      <c r="V97" s="8">
        <v>23352.313167259785</v>
      </c>
      <c r="W97" s="8">
        <v>22787.439613526571</v>
      </c>
      <c r="X97" s="8">
        <v>21442.660550458713</v>
      </c>
      <c r="Y97" s="8">
        <v>21824.271422357546</v>
      </c>
      <c r="Z97" s="8">
        <v>22270.14802631579</v>
      </c>
      <c r="AA97" s="8">
        <v>22313.542879317036</v>
      </c>
      <c r="AB97" s="8">
        <v>22432.333577176298</v>
      </c>
      <c r="AC97" s="8">
        <v>22051.03448275862</v>
      </c>
      <c r="AD97" s="8">
        <v>21624.0234375</v>
      </c>
      <c r="AE97" s="8">
        <v>21478.287650138591</v>
      </c>
      <c r="AF97" s="8">
        <v>20714.369158878504</v>
      </c>
      <c r="AG97" s="8">
        <v>20197.058007216208</v>
      </c>
      <c r="AH97" s="8">
        <v>21547.763958719239</v>
      </c>
      <c r="AI97" s="8">
        <v>22631.872308082086</v>
      </c>
      <c r="AJ97" s="8">
        <v>23550.925925925927</v>
      </c>
      <c r="AK97" s="8">
        <v>24891.242937853105</v>
      </c>
      <c r="AL97" s="8">
        <v>26011.225658648338</v>
      </c>
      <c r="AM97" s="8">
        <v>27197.814451382696</v>
      </c>
    </row>
    <row r="98" spans="1:39">
      <c r="A98" s="19" t="s">
        <v>91</v>
      </c>
      <c r="B98" s="8">
        <v>315.97542242703537</v>
      </c>
      <c r="C98" s="8">
        <v>336.55006031363092</v>
      </c>
      <c r="D98" s="8">
        <v>365.612063867534</v>
      </c>
      <c r="E98" s="8">
        <v>381.92335502530727</v>
      </c>
      <c r="F98" s="8">
        <v>410.40462427745666</v>
      </c>
      <c r="G98" s="8">
        <v>455.00616353924119</v>
      </c>
      <c r="H98" s="8">
        <v>485.07363672548757</v>
      </c>
      <c r="I98" s="8">
        <v>590.07565072445186</v>
      </c>
      <c r="J98" s="8">
        <v>604.92452363276414</v>
      </c>
      <c r="K98" s="8">
        <v>608.87722228850976</v>
      </c>
      <c r="L98" s="8">
        <v>711.69099896539831</v>
      </c>
      <c r="M98" s="8">
        <v>734.31448489542981</v>
      </c>
      <c r="N98" s="8">
        <v>730.0606964114578</v>
      </c>
      <c r="O98" s="8">
        <v>722.89403566304577</v>
      </c>
      <c r="P98" s="8">
        <v>719.6409194041629</v>
      </c>
      <c r="Q98" s="8">
        <v>716.1866742705065</v>
      </c>
      <c r="R98" s="8">
        <v>715.93512324750293</v>
      </c>
      <c r="S98" s="8">
        <v>726.27769441256942</v>
      </c>
      <c r="T98" s="8">
        <v>720.12551946399799</v>
      </c>
      <c r="U98" s="8">
        <v>698.47328244274809</v>
      </c>
      <c r="V98" s="8">
        <v>679.71171729696221</v>
      </c>
      <c r="W98" s="8">
        <v>701.02560318748613</v>
      </c>
      <c r="X98" s="8">
        <v>694.79971890372451</v>
      </c>
      <c r="Y98" s="8">
        <v>678.05598442639462</v>
      </c>
      <c r="Z98" s="8">
        <v>726.47039876312567</v>
      </c>
      <c r="AA98" s="8">
        <v>742.84117025902231</v>
      </c>
      <c r="AB98" s="8">
        <v>776.07454162909517</v>
      </c>
      <c r="AC98" s="8">
        <v>801.69145523476232</v>
      </c>
      <c r="AD98" s="8">
        <v>799.88671764372691</v>
      </c>
      <c r="AE98" s="8">
        <v>810.85689143108573</v>
      </c>
      <c r="AF98" s="8">
        <v>823.33155365723439</v>
      </c>
      <c r="AG98" s="8">
        <v>830.42238922000513</v>
      </c>
      <c r="AH98" s="8">
        <v>831.11133470845709</v>
      </c>
      <c r="AI98" s="8">
        <v>838.75378454927238</v>
      </c>
      <c r="AJ98" s="8">
        <v>859.68904057641259</v>
      </c>
      <c r="AK98" s="8">
        <v>861.26449475427944</v>
      </c>
      <c r="AL98" s="8">
        <v>863.78054773712199</v>
      </c>
      <c r="AM98" s="8">
        <v>871.38333405630499</v>
      </c>
    </row>
    <row r="99" spans="1:39">
      <c r="A99" s="20" t="s">
        <v>92</v>
      </c>
      <c r="B99" s="8">
        <v>6607.5580103952252</v>
      </c>
      <c r="C99" s="8">
        <v>7205.2671569681588</v>
      </c>
      <c r="D99" s="8">
        <v>7743.5200465974176</v>
      </c>
      <c r="E99" s="8">
        <v>8335.9534284794499</v>
      </c>
      <c r="F99" s="8">
        <v>8451.2356403806752</v>
      </c>
      <c r="G99" s="8">
        <v>9192.8231462925851</v>
      </c>
      <c r="H99" s="8">
        <v>9180.7878853852944</v>
      </c>
      <c r="I99" s="8">
        <v>8827.5648805078417</v>
      </c>
      <c r="J99" s="8">
        <v>9217.794722990755</v>
      </c>
      <c r="K99" s="8">
        <v>8456.9045813928296</v>
      </c>
      <c r="L99" s="8">
        <v>7627.7108182500624</v>
      </c>
      <c r="M99" s="8">
        <v>7153.2355184456665</v>
      </c>
      <c r="N99" s="8">
        <v>7325.7902819227538</v>
      </c>
      <c r="O99" s="8">
        <v>7059.1040059485076</v>
      </c>
      <c r="P99" s="8">
        <v>6677.059954397103</v>
      </c>
      <c r="Q99" s="8">
        <v>6145.7920408128093</v>
      </c>
      <c r="R99" s="8">
        <v>5955.2896042700468</v>
      </c>
      <c r="S99" s="8">
        <v>5715.7182534556259</v>
      </c>
      <c r="T99" s="8">
        <v>5722.3561832586984</v>
      </c>
      <c r="U99" s="8">
        <v>5848.8948344531946</v>
      </c>
      <c r="V99" s="8">
        <v>6013.9105759413851</v>
      </c>
      <c r="W99" s="8">
        <v>6265.5298149015935</v>
      </c>
      <c r="X99" s="8">
        <v>6138.1801085609268</v>
      </c>
      <c r="Y99" s="8">
        <v>6120.7394048692522</v>
      </c>
      <c r="Z99" s="8">
        <v>6157.8089712902483</v>
      </c>
      <c r="AA99" s="8">
        <v>6313.4913562644797</v>
      </c>
      <c r="AB99" s="8">
        <v>6415.1596842431118</v>
      </c>
      <c r="AC99" s="8">
        <v>6528.6503790432871</v>
      </c>
      <c r="AD99" s="8">
        <v>6499.4450199792809</v>
      </c>
      <c r="AE99" s="8">
        <v>6676.2206660479469</v>
      </c>
      <c r="AF99" s="8">
        <v>6660.1553985991741</v>
      </c>
      <c r="AG99" s="8">
        <v>6719.4041543300191</v>
      </c>
      <c r="AH99" s="8">
        <v>6921.9142583516423</v>
      </c>
      <c r="AI99" s="8">
        <v>7217.7719256684168</v>
      </c>
      <c r="AJ99" s="8">
        <v>7444.1518861930454</v>
      </c>
      <c r="AK99" s="8">
        <v>7663.8682001210618</v>
      </c>
      <c r="AL99" s="8">
        <v>7949.33215245667</v>
      </c>
      <c r="AM99" s="8">
        <v>8210.0673541457818</v>
      </c>
    </row>
    <row r="100" spans="1:39">
      <c r="A100" s="19" t="s">
        <v>93</v>
      </c>
      <c r="B100" s="8">
        <v>2417.0854271356784</v>
      </c>
      <c r="C100" s="8">
        <v>2570.9188224799286</v>
      </c>
      <c r="D100" s="8">
        <v>2786.4923747276689</v>
      </c>
      <c r="E100" s="8">
        <v>2666.9505962521298</v>
      </c>
      <c r="F100" s="8">
        <v>2761.3494377342777</v>
      </c>
      <c r="G100" s="8">
        <v>2894.4580277098612</v>
      </c>
      <c r="H100" s="8">
        <v>3011.961722488038</v>
      </c>
      <c r="I100" s="8">
        <v>3144.0281030444967</v>
      </c>
      <c r="J100" s="8">
        <v>3256.4004585403131</v>
      </c>
      <c r="K100" s="8">
        <v>3276.3010108573571</v>
      </c>
      <c r="L100" s="8">
        <v>3395.9633027522937</v>
      </c>
      <c r="M100" s="8">
        <v>3429.0856731461481</v>
      </c>
      <c r="N100" s="8">
        <v>3401.129943502825</v>
      </c>
      <c r="O100" s="8">
        <v>3289.8650985818058</v>
      </c>
      <c r="P100" s="8">
        <v>3273.5880960432874</v>
      </c>
      <c r="Q100" s="8">
        <v>3370.4680290046144</v>
      </c>
      <c r="R100" s="8">
        <v>3255.0529355149183</v>
      </c>
      <c r="S100" s="8">
        <v>3129.5369211514389</v>
      </c>
      <c r="T100" s="8">
        <v>3373.771498771499</v>
      </c>
      <c r="U100" s="8">
        <v>3020.0668896321067</v>
      </c>
      <c r="V100" s="8">
        <v>2189.6656534954409</v>
      </c>
      <c r="W100" s="8">
        <v>2048.1004901960787</v>
      </c>
      <c r="X100" s="8">
        <v>2275.4658385093167</v>
      </c>
      <c r="Y100" s="8">
        <v>2526.0006303183109</v>
      </c>
      <c r="Z100" s="8">
        <v>2785.2584556477345</v>
      </c>
      <c r="AA100" s="8">
        <v>3066.0012878300067</v>
      </c>
      <c r="AB100" s="8">
        <v>2770.3271784904437</v>
      </c>
      <c r="AC100" s="8">
        <v>3133.2899869960988</v>
      </c>
      <c r="AD100" s="8">
        <v>3456.3517915309449</v>
      </c>
      <c r="AE100" s="8">
        <v>3711.212516297262</v>
      </c>
      <c r="AF100" s="8">
        <v>3969.69696969697</v>
      </c>
      <c r="AG100" s="8">
        <v>4075.4226267880363</v>
      </c>
      <c r="AH100" s="8">
        <v>4292.517006802721</v>
      </c>
      <c r="AI100" s="8">
        <v>4528.2349144885447</v>
      </c>
      <c r="AJ100" s="8">
        <v>4758.5985213757631</v>
      </c>
      <c r="AK100" s="8">
        <v>4979.1800128122995</v>
      </c>
      <c r="AL100" s="8">
        <v>5260.8556832694758</v>
      </c>
      <c r="AM100" s="8">
        <v>5557.1110404072542</v>
      </c>
    </row>
    <row r="101" spans="1:39">
      <c r="A101" s="19" t="s">
        <v>94</v>
      </c>
      <c r="B101" s="8" t="e">
        <v>#VALUE!</v>
      </c>
      <c r="C101" s="8" t="e">
        <v>#VALUE!</v>
      </c>
      <c r="D101" s="8" t="e">
        <v>#VALUE!</v>
      </c>
      <c r="E101" s="8" t="e">
        <v>#VALUE!</v>
      </c>
      <c r="F101" s="8" t="e">
        <v>#VALUE!</v>
      </c>
      <c r="G101" s="8" t="e">
        <v>#VALUE!</v>
      </c>
      <c r="H101" s="8" t="e">
        <v>#VALUE!</v>
      </c>
      <c r="I101" s="8" t="e">
        <v>#VALUE!</v>
      </c>
      <c r="J101" s="8" t="e">
        <v>#VALUE!</v>
      </c>
      <c r="K101" s="8" t="e">
        <v>#VALUE!</v>
      </c>
      <c r="L101" s="8" t="e">
        <v>#VALUE!</v>
      </c>
      <c r="M101" s="8" t="e">
        <v>#VALUE!</v>
      </c>
      <c r="N101" s="8" t="e">
        <v>#VALUE!</v>
      </c>
      <c r="O101" s="8" t="e">
        <v>#VALUE!</v>
      </c>
      <c r="P101" s="8" t="e">
        <v>#VALUE!</v>
      </c>
      <c r="Q101" s="8" t="e">
        <v>#VALUE!</v>
      </c>
      <c r="R101" s="8" t="e">
        <v>#VALUE!</v>
      </c>
      <c r="S101" s="8" t="e">
        <v>#VALUE!</v>
      </c>
      <c r="T101" s="8" t="e">
        <v>#VALUE!</v>
      </c>
      <c r="U101" s="8">
        <v>1417.8272980501392</v>
      </c>
      <c r="V101" s="8">
        <v>1291.7969689680058</v>
      </c>
      <c r="W101" s="8">
        <v>1278.3006868481302</v>
      </c>
      <c r="X101" s="8">
        <v>1336.6875169975524</v>
      </c>
      <c r="Y101" s="8">
        <v>1577.7007510109763</v>
      </c>
      <c r="Z101" s="8">
        <v>1980.1920768307323</v>
      </c>
      <c r="AA101" s="8">
        <v>3771.0223835450697</v>
      </c>
      <c r="AB101" s="8">
        <v>4977.4212715389185</v>
      </c>
      <c r="AC101" s="8">
        <v>5565.2298850574716</v>
      </c>
      <c r="AD101" s="8">
        <v>5894.7514579283534</v>
      </c>
      <c r="AE101" s="8">
        <v>6062.2631293990253</v>
      </c>
      <c r="AF101" s="8">
        <v>6237.9935965848445</v>
      </c>
      <c r="AG101" s="8">
        <v>6519.8622881355932</v>
      </c>
      <c r="AH101" s="8">
        <v>6767.9090668781391</v>
      </c>
      <c r="AI101" s="8">
        <v>7182.7075621364356</v>
      </c>
      <c r="AJ101" s="8">
        <v>7543.7714890240677</v>
      </c>
      <c r="AK101" s="8">
        <v>8011.6371330335887</v>
      </c>
      <c r="AL101" s="8">
        <v>8566.4372683959755</v>
      </c>
      <c r="AM101" s="8">
        <v>9092.4993373972957</v>
      </c>
    </row>
    <row r="102" spans="1:39">
      <c r="A102" s="19" t="s">
        <v>95</v>
      </c>
      <c r="B102" s="8">
        <v>2920.1030927835054</v>
      </c>
      <c r="C102" s="8">
        <v>3136.0774253731342</v>
      </c>
      <c r="D102" s="8">
        <v>3369.6786915671032</v>
      </c>
      <c r="E102" s="8">
        <v>3600.2995736836042</v>
      </c>
      <c r="F102" s="8">
        <v>3898.1768145854835</v>
      </c>
      <c r="G102" s="8">
        <v>4137.9152871332344</v>
      </c>
      <c r="H102" s="8">
        <v>4371.1949114039071</v>
      </c>
      <c r="I102" s="8">
        <v>4610.7329248922169</v>
      </c>
      <c r="J102" s="8">
        <v>4911.0582370269658</v>
      </c>
      <c r="K102" s="8">
        <v>5169.8262243285935</v>
      </c>
      <c r="L102" s="8">
        <v>5413.3813922054514</v>
      </c>
      <c r="M102" s="8">
        <v>5529.7953676635934</v>
      </c>
      <c r="N102" s="8">
        <v>5709.8439779997752</v>
      </c>
      <c r="O102" s="8">
        <v>5893.2212885154058</v>
      </c>
      <c r="P102" s="8">
        <v>6040.4876412034446</v>
      </c>
      <c r="Q102" s="8">
        <v>6283.3538014960359</v>
      </c>
      <c r="R102" s="8">
        <v>6653.4388585441975</v>
      </c>
      <c r="S102" s="8">
        <v>7373.4550718182827</v>
      </c>
      <c r="T102" s="8">
        <v>7214.3742255266416</v>
      </c>
      <c r="U102" s="8">
        <v>6676.1871988988296</v>
      </c>
      <c r="V102" s="8">
        <v>6173.308619091752</v>
      </c>
      <c r="W102" s="8">
        <v>5785.9484777517573</v>
      </c>
      <c r="X102" s="8">
        <v>5746.1048158640233</v>
      </c>
      <c r="Y102" s="8">
        <v>5876.2299940723178</v>
      </c>
      <c r="Z102" s="8">
        <v>6069.5238095238092</v>
      </c>
      <c r="AA102" s="8">
        <v>5527.8841550981333</v>
      </c>
      <c r="AB102" s="8">
        <v>5245.9095283926854</v>
      </c>
      <c r="AC102" s="8">
        <v>5492.1884461668888</v>
      </c>
      <c r="AD102" s="8">
        <v>5652.0467836257312</v>
      </c>
      <c r="AE102" s="8">
        <v>6066.6253101736966</v>
      </c>
      <c r="AF102" s="8">
        <v>6435.1453855878635</v>
      </c>
      <c r="AG102" s="8">
        <v>6759.6899224806202</v>
      </c>
      <c r="AH102" s="8">
        <v>7139.9718777962416</v>
      </c>
      <c r="AI102" s="8">
        <v>7655.1857087777926</v>
      </c>
      <c r="AJ102" s="8">
        <v>8176.3565891472863</v>
      </c>
      <c r="AK102" s="8">
        <v>8774.5161709312906</v>
      </c>
      <c r="AL102" s="8">
        <v>9363.0548302872066</v>
      </c>
      <c r="AM102" s="8">
        <v>9974.4195198740654</v>
      </c>
    </row>
    <row r="103" spans="1:39">
      <c r="A103" s="19" t="s">
        <v>96</v>
      </c>
      <c r="B103" s="8" t="e">
        <v>#VALUE!</v>
      </c>
      <c r="C103" s="8" t="e">
        <v>#VALUE!</v>
      </c>
      <c r="D103" s="8" t="e">
        <v>#VALUE!</v>
      </c>
      <c r="E103" s="8" t="e">
        <v>#VALUE!</v>
      </c>
      <c r="F103" s="8" t="e">
        <v>#VALUE!</v>
      </c>
      <c r="G103" s="8" t="e">
        <v>#VALUE!</v>
      </c>
      <c r="H103" s="8" t="e">
        <v>#VALUE!</v>
      </c>
      <c r="I103" s="8" t="e">
        <v>#VALUE!</v>
      </c>
      <c r="J103" s="8" t="e">
        <v>#VALUE!</v>
      </c>
      <c r="K103" s="8" t="e">
        <v>#VALUE!</v>
      </c>
      <c r="L103" s="8" t="e">
        <v>#VALUE!</v>
      </c>
      <c r="M103" s="8" t="e">
        <v>#VALUE!</v>
      </c>
      <c r="N103" s="8" t="e">
        <v>#VALUE!</v>
      </c>
      <c r="O103" s="8" t="e">
        <v>#VALUE!</v>
      </c>
      <c r="P103" s="8" t="e">
        <v>#VALUE!</v>
      </c>
      <c r="Q103" s="8" t="e">
        <v>#VALUE!</v>
      </c>
      <c r="R103" s="8" t="e">
        <v>#VALUE!</v>
      </c>
      <c r="S103" s="8" t="e">
        <v>#VALUE!</v>
      </c>
      <c r="T103" s="8" t="e">
        <v>#VALUE!</v>
      </c>
      <c r="U103" s="8">
        <v>11719.456066945606</v>
      </c>
      <c r="V103" s="8">
        <v>9801.7738359201776</v>
      </c>
      <c r="W103" s="8">
        <v>8731.0961968680094</v>
      </c>
      <c r="X103" s="8">
        <v>7735.9913793103451</v>
      </c>
      <c r="Y103" s="8">
        <v>8172.6881720430101</v>
      </c>
      <c r="Z103" s="8">
        <v>8692.7194860813706</v>
      </c>
      <c r="AA103" s="8">
        <v>9568.8195991091306</v>
      </c>
      <c r="AB103" s="8">
        <v>10038.949671772429</v>
      </c>
      <c r="AC103" s="8">
        <v>10411.777777777777</v>
      </c>
      <c r="AD103" s="8">
        <v>10142.637362637362</v>
      </c>
      <c r="AE103" s="8">
        <v>10743.108901943064</v>
      </c>
      <c r="AF103" s="8">
        <v>11119.819819819819</v>
      </c>
      <c r="AG103" s="8">
        <v>11724.999999999998</v>
      </c>
      <c r="AH103" s="8">
        <v>12306.306306306305</v>
      </c>
      <c r="AI103" s="8">
        <v>12832.169407524218</v>
      </c>
      <c r="AJ103" s="8">
        <v>13363.124718595227</v>
      </c>
      <c r="AK103" s="8">
        <v>14002.927927927927</v>
      </c>
      <c r="AL103" s="8">
        <v>14782.23624887286</v>
      </c>
      <c r="AM103" s="8">
        <v>15137.798827244023</v>
      </c>
    </row>
    <row r="104" spans="1:39">
      <c r="A104" s="19" t="s">
        <v>97</v>
      </c>
      <c r="B104" s="8">
        <v>5029.0322580645161</v>
      </c>
      <c r="C104" s="8">
        <v>5309.4098883572569</v>
      </c>
      <c r="D104" s="8">
        <v>5376.3779527559054</v>
      </c>
      <c r="E104" s="8">
        <v>5030.1418439716317</v>
      </c>
      <c r="F104" s="8">
        <v>5684.2105263157891</v>
      </c>
      <c r="G104" s="8">
        <v>6769.5390781563128</v>
      </c>
      <c r="H104" s="8">
        <v>7828.685258964143</v>
      </c>
      <c r="I104" s="8">
        <v>8388.1188118811879</v>
      </c>
      <c r="J104" s="8">
        <v>9163.3858267716532</v>
      </c>
      <c r="K104" s="8">
        <v>9596.4912280701756</v>
      </c>
      <c r="L104" s="8">
        <v>9724.4701348747585</v>
      </c>
      <c r="M104" s="8">
        <v>10211.832061068702</v>
      </c>
      <c r="N104" s="8">
        <v>10700.757575757576</v>
      </c>
      <c r="O104" s="8">
        <v>11485.981308411214</v>
      </c>
      <c r="P104" s="8">
        <v>11891.143911439114</v>
      </c>
      <c r="Q104" s="8">
        <v>12195.255474452553</v>
      </c>
      <c r="R104" s="8">
        <v>12916.967509025269</v>
      </c>
      <c r="S104" s="8">
        <v>13882.142857142855</v>
      </c>
      <c r="T104" s="8">
        <v>14774.647887323945</v>
      </c>
      <c r="U104" s="8">
        <v>15539.655172413793</v>
      </c>
      <c r="V104" s="8">
        <v>15260.504201680673</v>
      </c>
      <c r="W104" s="8">
        <v>16258.59247135843</v>
      </c>
      <c r="X104" s="8">
        <v>15979.233226837061</v>
      </c>
      <c r="Y104" s="8">
        <v>16577.464788732395</v>
      </c>
      <c r="Z104" s="8">
        <v>17265.745007680493</v>
      </c>
      <c r="AA104" s="8">
        <v>17317.700453857789</v>
      </c>
      <c r="AB104" s="8">
        <v>17460.506706408345</v>
      </c>
      <c r="AC104" s="8">
        <v>18125.184094256259</v>
      </c>
      <c r="AD104" s="8">
        <v>18783.114992721978</v>
      </c>
      <c r="AE104" s="8">
        <v>19530.259365994239</v>
      </c>
      <c r="AF104" s="8">
        <v>20076.923076923078</v>
      </c>
      <c r="AG104" s="8">
        <v>20269.014084507042</v>
      </c>
      <c r="AH104" s="8">
        <v>20283.540802213003</v>
      </c>
      <c r="AI104" s="8">
        <v>20650</v>
      </c>
      <c r="AJ104" s="8">
        <v>20956.464379947229</v>
      </c>
      <c r="AK104" s="8">
        <v>21380.336351875809</v>
      </c>
      <c r="AL104" s="8">
        <v>21916.137229987293</v>
      </c>
      <c r="AM104" s="8">
        <v>22402.255639097744</v>
      </c>
    </row>
    <row r="105" spans="1:39">
      <c r="A105" s="19" t="s">
        <v>98</v>
      </c>
      <c r="B105" s="8">
        <v>14071.428571428571</v>
      </c>
      <c r="C105" s="8">
        <v>14103.448275862069</v>
      </c>
      <c r="D105" s="8">
        <v>15103.448275862069</v>
      </c>
      <c r="E105" s="8">
        <v>14896.551724137931</v>
      </c>
      <c r="F105" s="8">
        <v>14793.103448275861</v>
      </c>
      <c r="G105" s="8">
        <v>14666.666666666668</v>
      </c>
      <c r="H105" s="8">
        <v>15551.724137931034</v>
      </c>
      <c r="I105" s="8">
        <v>16034.482758620688</v>
      </c>
      <c r="J105" s="8">
        <v>16482.758620689656</v>
      </c>
      <c r="K105" s="8">
        <v>16137.931034482757</v>
      </c>
      <c r="L105" s="8">
        <v>15366.666666666668</v>
      </c>
      <c r="M105" s="8">
        <v>16172.413793103447</v>
      </c>
      <c r="N105" s="8">
        <v>16758.62068965517</v>
      </c>
      <c r="O105" s="8">
        <v>17785.714285714286</v>
      </c>
      <c r="P105" s="8">
        <v>18428.571428571428</v>
      </c>
      <c r="Q105" s="8">
        <v>19142.857142857141</v>
      </c>
      <c r="R105" s="8">
        <v>20035.714285714286</v>
      </c>
      <c r="S105" s="8">
        <v>20275.862068965514</v>
      </c>
      <c r="T105" s="8">
        <v>20724.137931034482</v>
      </c>
      <c r="U105" s="8">
        <v>20862.068965517239</v>
      </c>
      <c r="V105" s="8">
        <v>20586.206896551725</v>
      </c>
      <c r="W105" s="8">
        <v>21357.142857142855</v>
      </c>
      <c r="X105" s="8">
        <v>21857.142857142855</v>
      </c>
      <c r="Y105" s="8">
        <v>22785.714285714286</v>
      </c>
      <c r="Z105" s="8">
        <v>24333.333333333332</v>
      </c>
      <c r="AA105" s="8">
        <v>25000</v>
      </c>
      <c r="AB105" s="8">
        <v>25777.777777777777</v>
      </c>
      <c r="AC105" s="8">
        <v>26629.629629629631</v>
      </c>
      <c r="AD105" s="8">
        <v>26464.285714285714</v>
      </c>
      <c r="AE105" s="8">
        <v>27464.285714285714</v>
      </c>
      <c r="AF105" s="8">
        <v>28107.142857142855</v>
      </c>
      <c r="AG105" s="8">
        <v>28678.571428571428</v>
      </c>
      <c r="AH105" s="8">
        <v>29464.285714285714</v>
      </c>
      <c r="AI105" s="8">
        <v>30428.571428571428</v>
      </c>
      <c r="AJ105" s="8">
        <v>31000</v>
      </c>
      <c r="AK105" s="8">
        <v>31857.142857142855</v>
      </c>
      <c r="AL105" s="8">
        <v>32821.428571428572</v>
      </c>
      <c r="AM105" s="8">
        <v>33535.714285714283</v>
      </c>
    </row>
    <row r="106" spans="1:39">
      <c r="A106" s="19" t="s">
        <v>99</v>
      </c>
      <c r="B106" s="8" t="e">
        <v>#VALUE!</v>
      </c>
      <c r="C106" s="8" t="e">
        <v>#VALUE!</v>
      </c>
      <c r="D106" s="8" t="e">
        <v>#VALUE!</v>
      </c>
      <c r="E106" s="8" t="e">
        <v>#VALUE!</v>
      </c>
      <c r="F106" s="8" t="e">
        <v>#VALUE!</v>
      </c>
      <c r="G106" s="8" t="e">
        <v>#VALUE!</v>
      </c>
      <c r="H106" s="8" t="e">
        <v>#VALUE!</v>
      </c>
      <c r="I106" s="8" t="e">
        <v>#VALUE!</v>
      </c>
      <c r="J106" s="8" t="e">
        <v>#VALUE!</v>
      </c>
      <c r="K106" s="8" t="e">
        <v>#VALUE!</v>
      </c>
      <c r="L106" s="8" t="e">
        <v>#VALUE!</v>
      </c>
      <c r="M106" s="8" t="e">
        <v>#VALUE!</v>
      </c>
      <c r="N106" s="8" t="e">
        <v>#VALUE!</v>
      </c>
      <c r="O106" s="8" t="e">
        <v>#VALUE!</v>
      </c>
      <c r="P106" s="8" t="e">
        <v>#VALUE!</v>
      </c>
      <c r="Q106" s="8" t="e">
        <v>#VALUE!</v>
      </c>
      <c r="R106" s="8" t="e">
        <v>#VALUE!</v>
      </c>
      <c r="S106" s="8" t="e">
        <v>#VALUE!</v>
      </c>
      <c r="T106" s="8" t="e">
        <v>#VALUE!</v>
      </c>
      <c r="U106" s="8">
        <v>6987.4279727606072</v>
      </c>
      <c r="V106" s="8">
        <v>6508.5803432137282</v>
      </c>
      <c r="W106" s="8">
        <v>6047.0527404343329</v>
      </c>
      <c r="X106" s="8">
        <v>5566.358024691358</v>
      </c>
      <c r="Y106" s="8">
        <v>5440.6345957011263</v>
      </c>
      <c r="Z106" s="8">
        <v>5355.0687722873154</v>
      </c>
      <c r="AA106" s="8">
        <v>5391.2823112012165</v>
      </c>
      <c r="AB106" s="8">
        <v>5441.2506303580431</v>
      </c>
      <c r="AC106" s="8">
        <v>5597.0898143502254</v>
      </c>
      <c r="AD106" s="8">
        <v>5813.686313686314</v>
      </c>
      <c r="AE106" s="8">
        <v>6056.7446490791444</v>
      </c>
      <c r="AF106" s="8">
        <v>5762.4007936507933</v>
      </c>
      <c r="AG106" s="8">
        <v>5794.7576656775473</v>
      </c>
      <c r="AH106" s="8">
        <v>5946.1994076999017</v>
      </c>
      <c r="AI106" s="8">
        <v>6176.3546798029565</v>
      </c>
      <c r="AJ106" s="8">
        <v>6417.4041297935109</v>
      </c>
      <c r="AK106" s="8">
        <v>6664.538310412574</v>
      </c>
      <c r="AL106" s="8">
        <v>7052.0373097692691</v>
      </c>
      <c r="AM106" s="8">
        <v>7399.9018645731112</v>
      </c>
    </row>
    <row r="107" spans="1:39">
      <c r="A107" s="19" t="s">
        <v>100</v>
      </c>
      <c r="B107" s="8">
        <v>3391.9753086419751</v>
      </c>
      <c r="C107" s="8">
        <v>3611.8012422360248</v>
      </c>
      <c r="D107" s="8">
        <v>3965.8385093167699</v>
      </c>
      <c r="E107" s="8">
        <v>4333.333333333333</v>
      </c>
      <c r="F107" s="8">
        <v>5115.8536585365855</v>
      </c>
      <c r="G107" s="8">
        <v>5880.2395209580836</v>
      </c>
      <c r="H107" s="8">
        <v>6422.7405247813404</v>
      </c>
      <c r="I107" s="8">
        <v>6937.6770538243627</v>
      </c>
      <c r="J107" s="8">
        <v>7495.8448753462608</v>
      </c>
      <c r="K107" s="8">
        <v>7958.7912087912091</v>
      </c>
      <c r="L107" s="8">
        <v>8219.7802197802193</v>
      </c>
      <c r="M107" s="8">
        <v>8455.8011049723755</v>
      </c>
      <c r="N107" s="8">
        <v>8521.0084033613457</v>
      </c>
      <c r="O107" s="8">
        <v>8749.2877492877506</v>
      </c>
      <c r="P107" s="8">
        <v>9156.9767441860477</v>
      </c>
      <c r="Q107" s="8">
        <v>9405.1724137931033</v>
      </c>
      <c r="R107" s="8">
        <v>9706.5527065527076</v>
      </c>
      <c r="S107" s="8">
        <v>10435.02824858757</v>
      </c>
      <c r="T107" s="8">
        <v>11193.27731092437</v>
      </c>
      <c r="U107" s="8">
        <v>11794.444444444445</v>
      </c>
      <c r="V107" s="8">
        <v>12432.506887052343</v>
      </c>
      <c r="W107" s="8">
        <v>12874.659400544959</v>
      </c>
      <c r="X107" s="8">
        <v>13340.54054054054</v>
      </c>
      <c r="Y107" s="8">
        <v>13962.566844919786</v>
      </c>
      <c r="Z107" s="8">
        <v>14666.666666666666</v>
      </c>
      <c r="AA107" s="8">
        <v>15171.052631578947</v>
      </c>
      <c r="AB107" s="8">
        <v>15775.456919060052</v>
      </c>
      <c r="AC107" s="8">
        <v>16241.558441558442</v>
      </c>
      <c r="AD107" s="8">
        <v>16757.731958762884</v>
      </c>
      <c r="AE107" s="8">
        <v>17723.076923076922</v>
      </c>
      <c r="AF107" s="8">
        <v>17302.798982188295</v>
      </c>
      <c r="AG107" s="8">
        <v>17621.21212121212</v>
      </c>
      <c r="AH107" s="8">
        <v>17433.583959899748</v>
      </c>
      <c r="AI107" s="8">
        <v>17384.039900249376</v>
      </c>
      <c r="AJ107" s="8">
        <v>17809.405940594057</v>
      </c>
      <c r="AK107" s="8">
        <v>18322.660098522167</v>
      </c>
      <c r="AL107" s="8">
        <v>18877.750611246945</v>
      </c>
      <c r="AM107" s="8">
        <v>19077.858880778589</v>
      </c>
    </row>
    <row r="108" spans="1:39">
      <c r="A108" s="21" t="s">
        <v>101</v>
      </c>
      <c r="B108" s="8">
        <v>3273.913043478261</v>
      </c>
      <c r="C108" s="8">
        <v>3587.0396360644631</v>
      </c>
      <c r="D108" s="8">
        <v>3929.4219320145958</v>
      </c>
      <c r="E108" s="8">
        <v>4370.6310333349184</v>
      </c>
      <c r="F108" s="8">
        <v>4773.6879265709576</v>
      </c>
      <c r="G108" s="8">
        <v>5245.9199850788018</v>
      </c>
      <c r="H108" s="8">
        <v>5767.0606704220145</v>
      </c>
      <c r="I108" s="8">
        <v>6161.198810340883</v>
      </c>
      <c r="J108" s="8">
        <v>6418.1785195936145</v>
      </c>
      <c r="K108" s="8">
        <v>6584.3430476104677</v>
      </c>
      <c r="L108" s="8">
        <v>6589.6300272894014</v>
      </c>
      <c r="M108" s="8">
        <v>6815.1525936471207</v>
      </c>
      <c r="N108" s="8">
        <v>7206.8460958630776</v>
      </c>
      <c r="O108" s="8">
        <v>7607.7348066298346</v>
      </c>
      <c r="P108" s="8">
        <v>7566.7326732673264</v>
      </c>
      <c r="Q108" s="8">
        <v>7715.1557639223593</v>
      </c>
      <c r="R108" s="8">
        <v>7737.2711421098511</v>
      </c>
      <c r="S108" s="8">
        <v>7660.5795089789199</v>
      </c>
      <c r="T108" s="8">
        <v>7185.7290946786452</v>
      </c>
      <c r="U108" s="8">
        <v>6767.2684965743092</v>
      </c>
      <c r="V108" s="8">
        <v>5899.8490403277983</v>
      </c>
      <c r="W108" s="8">
        <v>5471.7626925270961</v>
      </c>
      <c r="X108" s="8">
        <v>5562.7334651724896</v>
      </c>
      <c r="Y108" s="8">
        <v>5789.7144868241603</v>
      </c>
      <c r="Z108" s="8">
        <v>6217.9357171200563</v>
      </c>
      <c r="AA108" s="8">
        <v>6488.0573248407645</v>
      </c>
      <c r="AB108" s="8">
        <v>6106.7216458277917</v>
      </c>
      <c r="AC108" s="8">
        <v>5827.4452295249521</v>
      </c>
      <c r="AD108" s="8">
        <v>5769.0355329949243</v>
      </c>
      <c r="AE108" s="8">
        <v>5894.1318005614221</v>
      </c>
      <c r="AF108" s="8">
        <v>6317.639616844388</v>
      </c>
      <c r="AG108" s="8">
        <v>6740.0357748933629</v>
      </c>
      <c r="AH108" s="8">
        <v>7110.3854291233556</v>
      </c>
      <c r="AI108" s="8">
        <v>7727.9225270924608</v>
      </c>
      <c r="AJ108" s="8">
        <v>8069.3353055375792</v>
      </c>
      <c r="AK108" s="8">
        <v>8725.4030016675933</v>
      </c>
      <c r="AL108" s="8">
        <v>9266.4872139973086</v>
      </c>
      <c r="AM108" s="8">
        <v>10137.777157997489</v>
      </c>
    </row>
    <row r="109" spans="1:39">
      <c r="A109" s="19" t="s">
        <v>102</v>
      </c>
      <c r="B109" s="8" t="e">
        <v>#VALUE!</v>
      </c>
      <c r="C109" s="8" t="e">
        <v>#VALUE!</v>
      </c>
      <c r="D109" s="8" t="e">
        <v>#VALUE!</v>
      </c>
      <c r="E109" s="8" t="e">
        <v>#VALUE!</v>
      </c>
      <c r="F109" s="8" t="e">
        <v>#VALUE!</v>
      </c>
      <c r="G109" s="8" t="e">
        <v>#VALUE!</v>
      </c>
      <c r="H109" s="8" t="e">
        <v>#VALUE!</v>
      </c>
      <c r="I109" s="8" t="e">
        <v>#VALUE!</v>
      </c>
      <c r="J109" s="8" t="e">
        <v>#VALUE!</v>
      </c>
      <c r="K109" s="8" t="e">
        <v>#VALUE!</v>
      </c>
      <c r="L109" s="8" t="e">
        <v>#VALUE!</v>
      </c>
      <c r="M109" s="8" t="e">
        <v>#VALUE!</v>
      </c>
      <c r="N109" s="8" t="e">
        <v>#VALUE!</v>
      </c>
      <c r="O109" s="8" t="e">
        <v>#VALUE!</v>
      </c>
      <c r="P109" s="8" t="e">
        <v>#VALUE!</v>
      </c>
      <c r="Q109" s="8" t="e">
        <v>#VALUE!</v>
      </c>
      <c r="R109" s="8" t="e">
        <v>#VALUE!</v>
      </c>
      <c r="S109" s="8" t="e">
        <v>#VALUE!</v>
      </c>
      <c r="T109" s="8" t="e">
        <v>#VALUE!</v>
      </c>
      <c r="U109" s="8">
        <v>3668.6540905092365</v>
      </c>
      <c r="V109" s="8">
        <v>3239.453125</v>
      </c>
      <c r="W109" s="8">
        <v>3160.2376777712834</v>
      </c>
      <c r="X109" s="8">
        <v>3279.5187736489761</v>
      </c>
      <c r="Y109" s="8">
        <v>3344.3145589798082</v>
      </c>
      <c r="Z109" s="8">
        <v>3537.4843614666538</v>
      </c>
      <c r="AA109" s="8">
        <v>3722.1318534111565</v>
      </c>
      <c r="AB109" s="8">
        <v>3988.4464814284347</v>
      </c>
      <c r="AC109" s="8">
        <v>4137.8710238808853</v>
      </c>
      <c r="AD109" s="8">
        <v>3453.5433070866143</v>
      </c>
      <c r="AE109" s="8">
        <v>4478.7819493701845</v>
      </c>
      <c r="AF109" s="8">
        <v>4688.2734958951114</v>
      </c>
      <c r="AG109" s="8">
        <v>4882.5766871165642</v>
      </c>
      <c r="AH109" s="8">
        <v>5022.411033123999</v>
      </c>
      <c r="AI109" s="8">
        <v>5445.5151964418092</v>
      </c>
      <c r="AJ109" s="8">
        <v>5720.0645074586746</v>
      </c>
      <c r="AK109" s="8">
        <v>6069.6168375607122</v>
      </c>
      <c r="AL109" s="8">
        <v>6552.966675697643</v>
      </c>
      <c r="AM109" s="8">
        <v>6950.0680272108848</v>
      </c>
    </row>
    <row r="110" spans="1:39">
      <c r="A110" s="19" t="s">
        <v>103</v>
      </c>
      <c r="B110" s="8" t="e">
        <v>#VALUE!</v>
      </c>
      <c r="C110" s="8" t="e">
        <v>#VALUE!</v>
      </c>
      <c r="D110" s="8" t="e">
        <v>#VALUE!</v>
      </c>
      <c r="E110" s="8" t="e">
        <v>#VALUE!</v>
      </c>
      <c r="F110" s="8" t="e">
        <v>#VALUE!</v>
      </c>
      <c r="G110" s="8" t="e">
        <v>#VALUE!</v>
      </c>
      <c r="H110" s="8" t="e">
        <v>#VALUE!</v>
      </c>
      <c r="I110" s="8" t="e">
        <v>#VALUE!</v>
      </c>
      <c r="J110" s="8" t="e">
        <v>#VALUE!</v>
      </c>
      <c r="K110" s="8" t="e">
        <v>#VALUE!</v>
      </c>
      <c r="L110" s="8" t="e">
        <v>#VALUE!</v>
      </c>
      <c r="M110" s="8" t="e">
        <v>#VALUE!</v>
      </c>
      <c r="N110" s="8" t="e">
        <v>#VALUE!</v>
      </c>
      <c r="O110" s="8" t="e">
        <v>#VALUE!</v>
      </c>
      <c r="P110" s="8" t="e">
        <v>#VALUE!</v>
      </c>
      <c r="Q110" s="8" t="e">
        <v>#VALUE!</v>
      </c>
      <c r="R110" s="8" t="e">
        <v>#VALUE!</v>
      </c>
      <c r="S110" s="8" t="e">
        <v>#VALUE!</v>
      </c>
      <c r="T110" s="8" t="e">
        <v>#VALUE!</v>
      </c>
      <c r="U110" s="8">
        <v>14431.64747120681</v>
      </c>
      <c r="V110" s="8">
        <v>13118.440779610195</v>
      </c>
      <c r="W110" s="8">
        <v>12434.869739478958</v>
      </c>
      <c r="X110" s="8">
        <v>12980.671414038658</v>
      </c>
      <c r="Y110" s="8">
        <v>13521.12676056338</v>
      </c>
      <c r="Z110" s="8">
        <v>14117.647058823528</v>
      </c>
      <c r="AA110" s="8">
        <v>14615.075376884422</v>
      </c>
      <c r="AB110" s="8">
        <v>15363.041289023162</v>
      </c>
      <c r="AC110" s="8">
        <v>15942.986881937437</v>
      </c>
      <c r="AD110" s="8">
        <v>16781.754032258064</v>
      </c>
      <c r="AE110" s="8">
        <v>17474.107591754651</v>
      </c>
      <c r="AF110" s="8">
        <v>17944.779116465863</v>
      </c>
      <c r="AG110" s="8">
        <v>18630.075187969924</v>
      </c>
      <c r="AH110" s="8">
        <v>19148.296593186373</v>
      </c>
      <c r="AI110" s="8">
        <v>19959.439158738107</v>
      </c>
      <c r="AJ110" s="8">
        <v>20814.092953523239</v>
      </c>
      <c r="AK110" s="8">
        <v>21946.713147410359</v>
      </c>
      <c r="AL110" s="8">
        <v>23310.549777117383</v>
      </c>
      <c r="AM110" s="8">
        <v>24089.020771513355</v>
      </c>
    </row>
    <row r="111" spans="1:39">
      <c r="A111" s="19" t="s">
        <v>104</v>
      </c>
      <c r="B111" s="8">
        <v>3589.0222309659648</v>
      </c>
      <c r="C111" s="8">
        <v>3685.7560975609758</v>
      </c>
      <c r="D111" s="8">
        <v>3752.5773195876286</v>
      </c>
      <c r="E111" s="8">
        <v>4273.7443580140207</v>
      </c>
      <c r="F111" s="8">
        <v>4268.2229633158649</v>
      </c>
      <c r="G111" s="8">
        <v>4455.9663786183128</v>
      </c>
      <c r="H111" s="8">
        <v>4785.5638253054349</v>
      </c>
      <c r="I111" s="8">
        <v>5181.6915792405525</v>
      </c>
      <c r="J111" s="8">
        <v>5410.6353591160223</v>
      </c>
      <c r="K111" s="8">
        <v>5537.8290229225049</v>
      </c>
      <c r="L111" s="8">
        <v>5570.6003195617432</v>
      </c>
      <c r="M111" s="8">
        <v>5566.2028013236031</v>
      </c>
      <c r="N111" s="8">
        <v>5468.5346186765164</v>
      </c>
      <c r="O111" s="8">
        <v>5531.9921139887083</v>
      </c>
      <c r="P111" s="8">
        <v>5466.3103985749276</v>
      </c>
      <c r="Q111" s="8">
        <v>6169.101587147502</v>
      </c>
      <c r="R111" s="8">
        <v>6078.8838466737479</v>
      </c>
      <c r="S111" s="8">
        <v>5888.7501200883844</v>
      </c>
      <c r="T111" s="8">
        <v>5890.4659498207884</v>
      </c>
      <c r="U111" s="8" t="e">
        <v>#VALUE!</v>
      </c>
      <c r="V111" s="8" t="e">
        <v>#VALUE!</v>
      </c>
      <c r="W111" s="8" t="e">
        <v>#VALUE!</v>
      </c>
      <c r="X111" s="8" t="e">
        <v>#VALUE!</v>
      </c>
      <c r="Y111" s="8" t="e">
        <v>#VALUE!</v>
      </c>
      <c r="Z111" s="8" t="e">
        <v>#VALUE!</v>
      </c>
      <c r="AA111" s="8" t="e">
        <v>#VALUE!</v>
      </c>
      <c r="AB111" s="8" t="e">
        <v>#VALUE!</v>
      </c>
      <c r="AC111" s="8" t="e">
        <v>#VALUE!</v>
      </c>
      <c r="AD111" s="8" t="e">
        <v>#VALUE!</v>
      </c>
      <c r="AE111" s="8" t="e">
        <v>#VALUE!</v>
      </c>
      <c r="AF111" s="8" t="e">
        <v>#VALUE!</v>
      </c>
      <c r="AG111" s="8" t="e">
        <v>#VALUE!</v>
      </c>
      <c r="AH111" s="8" t="e">
        <v>#VALUE!</v>
      </c>
      <c r="AI111" s="8" t="e">
        <v>#VALUE!</v>
      </c>
      <c r="AJ111" s="8" t="e">
        <v>#VALUE!</v>
      </c>
      <c r="AK111" s="8" t="e">
        <v>#VALUE!</v>
      </c>
      <c r="AL111" s="8" t="e">
        <v>#VALUE!</v>
      </c>
      <c r="AM111" s="8" t="e">
        <v>#VALUE!</v>
      </c>
    </row>
    <row r="112" spans="1:39">
      <c r="A112" s="20" t="s">
        <v>105</v>
      </c>
      <c r="B112" s="8">
        <v>3329.911045924684</v>
      </c>
      <c r="C112" s="8">
        <v>3535.5086009932211</v>
      </c>
      <c r="D112" s="8">
        <v>3744.9757449757449</v>
      </c>
      <c r="E112" s="8">
        <v>4146.8614658265024</v>
      </c>
      <c r="F112" s="8">
        <v>4363.7101534828807</v>
      </c>
      <c r="G112" s="8">
        <v>4680.1038410208594</v>
      </c>
      <c r="H112" s="8">
        <v>5067.4552140127153</v>
      </c>
      <c r="I112" s="8">
        <v>5427.9734099892203</v>
      </c>
      <c r="J112" s="8">
        <v>5680.6038246983544</v>
      </c>
      <c r="K112" s="8">
        <v>5842.7910439823436</v>
      </c>
      <c r="L112" s="8">
        <v>5902.98376017191</v>
      </c>
      <c r="M112" s="8">
        <v>6014.3542344991774</v>
      </c>
      <c r="N112" s="8">
        <v>6159.7191980072121</v>
      </c>
      <c r="O112" s="8">
        <v>6370.5720181020579</v>
      </c>
      <c r="P112" s="8">
        <v>6354.3074906883712</v>
      </c>
      <c r="Q112" s="8">
        <v>6518.6893453585262</v>
      </c>
      <c r="R112" s="8">
        <v>6551.9304525696753</v>
      </c>
      <c r="S112" s="8">
        <v>6568.314347708164</v>
      </c>
      <c r="T112" s="8">
        <v>6383.0096513023345</v>
      </c>
      <c r="U112" s="8">
        <v>6411.0557500673312</v>
      </c>
      <c r="V112" s="8">
        <v>5650.9800593975397</v>
      </c>
      <c r="W112" s="8">
        <v>5310.691456457489</v>
      </c>
      <c r="X112" s="8">
        <v>5328.7130419791392</v>
      </c>
      <c r="Y112" s="8">
        <v>5559.1070346975866</v>
      </c>
      <c r="Z112" s="8">
        <v>5913.7392391002504</v>
      </c>
      <c r="AA112" s="8">
        <v>6178.6810350840487</v>
      </c>
      <c r="AB112" s="8">
        <v>6166.7421444994079</v>
      </c>
      <c r="AC112" s="8">
        <v>6241.555264307558</v>
      </c>
      <c r="AD112" s="8">
        <v>6197.6512181461776</v>
      </c>
      <c r="AE112" s="8">
        <v>6680.6722689075632</v>
      </c>
      <c r="AF112" s="8">
        <v>7015.1490172372733</v>
      </c>
      <c r="AG112" s="8">
        <v>7375.0668018059523</v>
      </c>
      <c r="AH112" s="8">
        <v>7706.4687638458136</v>
      </c>
      <c r="AI112" s="8">
        <v>8226.9768473999557</v>
      </c>
      <c r="AJ112" s="8">
        <v>8651.3283621238807</v>
      </c>
      <c r="AK112" s="8">
        <v>9220.9671063741953</v>
      </c>
      <c r="AL112" s="8">
        <v>9799.7181245889296</v>
      </c>
      <c r="AM112" s="8">
        <v>10437.035364086349</v>
      </c>
    </row>
    <row r="113" spans="1:39">
      <c r="A113" s="19" t="s">
        <v>106</v>
      </c>
      <c r="B113" s="8" t="e">
        <v>#VALUE!</v>
      </c>
      <c r="C113" s="8" t="e">
        <v>#VALUE!</v>
      </c>
      <c r="D113" s="8" t="e">
        <v>#VALUE!</v>
      </c>
      <c r="E113" s="8" t="e">
        <v>#VALUE!</v>
      </c>
      <c r="F113" s="8" t="e">
        <v>#VALUE!</v>
      </c>
      <c r="G113" s="8" t="e">
        <v>#VALUE!</v>
      </c>
      <c r="H113" s="8" t="e">
        <v>#VALUE!</v>
      </c>
      <c r="I113" s="8" t="e">
        <v>#VALUE!</v>
      </c>
      <c r="J113" s="8" t="e">
        <v>#VALUE!</v>
      </c>
      <c r="K113" s="8" t="e">
        <v>#VALUE!</v>
      </c>
      <c r="L113" s="8" t="e">
        <v>#VALUE!</v>
      </c>
      <c r="M113" s="8" t="e">
        <v>#VALUE!</v>
      </c>
      <c r="N113" s="8" t="e">
        <v>#VALUE!</v>
      </c>
      <c r="O113" s="8" t="e">
        <v>#VALUE!</v>
      </c>
      <c r="P113" s="8" t="e">
        <v>#VALUE!</v>
      </c>
      <c r="Q113" s="8" t="e">
        <v>#VALUE!</v>
      </c>
      <c r="R113" s="8" t="e">
        <v>#VALUE!</v>
      </c>
      <c r="S113" s="8" t="e">
        <v>#VALUE!</v>
      </c>
      <c r="T113" s="8" t="e">
        <v>#VALUE!</v>
      </c>
      <c r="U113" s="8">
        <v>3104.6544428772922</v>
      </c>
      <c r="V113" s="8">
        <v>2767.0842824601368</v>
      </c>
      <c r="W113" s="8">
        <v>1639.4202898550723</v>
      </c>
      <c r="X113" s="8">
        <v>1530.5637982195844</v>
      </c>
      <c r="Y113" s="8">
        <v>1652.0814342145245</v>
      </c>
      <c r="Z113" s="8">
        <v>1803.2888613093392</v>
      </c>
      <c r="AA113" s="8">
        <v>1939.7856242118537</v>
      </c>
      <c r="AB113" s="8">
        <v>2027.7511961722489</v>
      </c>
      <c r="AC113" s="8">
        <v>2193.9530395625602</v>
      </c>
      <c r="AD113" s="8">
        <v>2280.5825242718447</v>
      </c>
      <c r="AE113" s="8">
        <v>2425.8777633289988</v>
      </c>
      <c r="AF113" s="8">
        <v>2668.5154975530181</v>
      </c>
      <c r="AG113" s="8">
        <v>3024.175106174453</v>
      </c>
      <c r="AH113" s="8">
        <v>3448.6928104575163</v>
      </c>
      <c r="AI113" s="8">
        <v>3808.295231874592</v>
      </c>
      <c r="AJ113" s="8">
        <v>4333.442088091354</v>
      </c>
      <c r="AK113" s="8">
        <v>4900.5867014341593</v>
      </c>
      <c r="AL113" s="8">
        <v>5564.778645833333</v>
      </c>
      <c r="AM113" s="8">
        <v>5933.7016574585632</v>
      </c>
    </row>
    <row r="114" spans="1:39">
      <c r="A114" s="19" t="s">
        <v>107</v>
      </c>
      <c r="B114" s="8" t="e">
        <v>#VALUE!</v>
      </c>
      <c r="C114" s="8" t="e">
        <v>#VALUE!</v>
      </c>
      <c r="D114" s="8" t="e">
        <v>#VALUE!</v>
      </c>
      <c r="E114" s="8" t="e">
        <v>#VALUE!</v>
      </c>
      <c r="F114" s="8" t="e">
        <v>#VALUE!</v>
      </c>
      <c r="G114" s="8" t="e">
        <v>#VALUE!</v>
      </c>
      <c r="H114" s="8" t="e">
        <v>#VALUE!</v>
      </c>
      <c r="I114" s="8" t="e">
        <v>#VALUE!</v>
      </c>
      <c r="J114" s="8" t="e">
        <v>#VALUE!</v>
      </c>
      <c r="K114" s="8" t="e">
        <v>#VALUE!</v>
      </c>
      <c r="L114" s="8" t="e">
        <v>#VALUE!</v>
      </c>
      <c r="M114" s="8" t="e">
        <v>#VALUE!</v>
      </c>
      <c r="N114" s="8" t="e">
        <v>#VALUE!</v>
      </c>
      <c r="O114" s="8" t="e">
        <v>#VALUE!</v>
      </c>
      <c r="P114" s="8" t="e">
        <v>#VALUE!</v>
      </c>
      <c r="Q114" s="8" t="e">
        <v>#VALUE!</v>
      </c>
      <c r="R114" s="8" t="e">
        <v>#VALUE!</v>
      </c>
      <c r="S114" s="8" t="e">
        <v>#VALUE!</v>
      </c>
      <c r="T114" s="8" t="e">
        <v>#VALUE!</v>
      </c>
      <c r="U114" s="8">
        <v>4726.079061321414</v>
      </c>
      <c r="V114" s="8">
        <v>4620.6849126667585</v>
      </c>
      <c r="W114" s="8">
        <v>3522.6225955025739</v>
      </c>
      <c r="X114" s="8">
        <v>2668.0453635757171</v>
      </c>
      <c r="Y114" s="8">
        <v>2113.7291035935236</v>
      </c>
      <c r="Z114" s="8">
        <v>1842.9407937540664</v>
      </c>
      <c r="AA114" s="8">
        <v>1848.1257245910087</v>
      </c>
      <c r="AB114" s="8">
        <v>1936.5909670834396</v>
      </c>
      <c r="AC114" s="8">
        <v>2110.0720333628205</v>
      </c>
      <c r="AD114" s="8">
        <v>2246.398597018665</v>
      </c>
      <c r="AE114" s="8">
        <v>2475.2143123369365</v>
      </c>
      <c r="AF114" s="8">
        <v>2699.5438293675252</v>
      </c>
      <c r="AG114" s="8">
        <v>2963.4116495349972</v>
      </c>
      <c r="AH114" s="8">
        <v>3270.4639300461499</v>
      </c>
      <c r="AI114" s="8">
        <v>3572.8389116301473</v>
      </c>
      <c r="AJ114" s="8">
        <v>4469.7330791229742</v>
      </c>
      <c r="AK114" s="8">
        <v>5945.9045374189755</v>
      </c>
      <c r="AL114" s="8">
        <v>7352.1734063628955</v>
      </c>
      <c r="AM114" s="8">
        <v>8054.1537043438184</v>
      </c>
    </row>
    <row r="115" spans="1:39">
      <c r="A115" s="19" t="s">
        <v>108</v>
      </c>
      <c r="B115" s="8" t="e">
        <v>#VALUE!</v>
      </c>
      <c r="C115" s="8" t="e">
        <v>#VALUE!</v>
      </c>
      <c r="D115" s="8" t="e">
        <v>#VALUE!</v>
      </c>
      <c r="E115" s="8" t="e">
        <v>#VALUE!</v>
      </c>
      <c r="F115" s="8" t="e">
        <v>#VALUE!</v>
      </c>
      <c r="G115" s="8" t="e">
        <v>#VALUE!</v>
      </c>
      <c r="H115" s="8" t="e">
        <v>#VALUE!</v>
      </c>
      <c r="I115" s="8" t="e">
        <v>#VALUE!</v>
      </c>
      <c r="J115" s="8" t="e">
        <v>#VALUE!</v>
      </c>
      <c r="K115" s="8" t="e">
        <v>#VALUE!</v>
      </c>
      <c r="L115" s="8" t="e">
        <v>#VALUE!</v>
      </c>
      <c r="M115" s="8" t="e">
        <v>#VALUE!</v>
      </c>
      <c r="N115" s="8" t="e">
        <v>#VALUE!</v>
      </c>
      <c r="O115" s="8" t="e">
        <v>#VALUE!</v>
      </c>
      <c r="P115" s="8" t="e">
        <v>#VALUE!</v>
      </c>
      <c r="Q115" s="8" t="e">
        <v>#VALUE!</v>
      </c>
      <c r="R115" s="8" t="e">
        <v>#VALUE!</v>
      </c>
      <c r="S115" s="8" t="e">
        <v>#VALUE!</v>
      </c>
      <c r="T115" s="8" t="e">
        <v>#VALUE!</v>
      </c>
      <c r="U115" s="8">
        <v>5318.6770046128177</v>
      </c>
      <c r="V115" s="8">
        <v>5252.3052776142822</v>
      </c>
      <c r="W115" s="8">
        <v>4737.8621769772908</v>
      </c>
      <c r="X115" s="8">
        <v>4367.9070221701331</v>
      </c>
      <c r="Y115" s="8">
        <v>3861.3474137088101</v>
      </c>
      <c r="Z115" s="8">
        <v>3470.9633117520107</v>
      </c>
      <c r="AA115" s="8">
        <v>3580.1181102362202</v>
      </c>
      <c r="AB115" s="8">
        <v>4005.238707126618</v>
      </c>
      <c r="AC115" s="8">
        <v>4362.3994438375212</v>
      </c>
      <c r="AD115" s="8">
        <v>4525.9591429995016</v>
      </c>
      <c r="AE115" s="8">
        <v>4802.7986006996498</v>
      </c>
      <c r="AF115" s="8">
        <v>5047.4423269809422</v>
      </c>
      <c r="AG115" s="8">
        <v>5326.1460957178833</v>
      </c>
      <c r="AH115" s="8">
        <v>5730.7069070285597</v>
      </c>
      <c r="AI115" s="8">
        <v>6419.3811074918567</v>
      </c>
      <c r="AJ115" s="8">
        <v>7059.9427168576103</v>
      </c>
      <c r="AK115" s="8">
        <v>7800.0616459467783</v>
      </c>
      <c r="AL115" s="8">
        <v>8497.9385693671411</v>
      </c>
      <c r="AM115" s="8">
        <v>9368.0404916847438</v>
      </c>
    </row>
    <row r="116" spans="1:39">
      <c r="A116" s="19" t="s">
        <v>109</v>
      </c>
      <c r="B116" s="8" t="e">
        <v>#VALUE!</v>
      </c>
      <c r="C116" s="8" t="e">
        <v>#VALUE!</v>
      </c>
      <c r="D116" s="8" t="e">
        <v>#VALUE!</v>
      </c>
      <c r="E116" s="8" t="e">
        <v>#VALUE!</v>
      </c>
      <c r="F116" s="8" t="e">
        <v>#VALUE!</v>
      </c>
      <c r="G116" s="8" t="e">
        <v>#VALUE!</v>
      </c>
      <c r="H116" s="8" t="e">
        <v>#VALUE!</v>
      </c>
      <c r="I116" s="8" t="e">
        <v>#VALUE!</v>
      </c>
      <c r="J116" s="8" t="e">
        <v>#VALUE!</v>
      </c>
      <c r="K116" s="8" t="e">
        <v>#VALUE!</v>
      </c>
      <c r="L116" s="8" t="e">
        <v>#VALUE!</v>
      </c>
      <c r="M116" s="8" t="e">
        <v>#VALUE!</v>
      </c>
      <c r="N116" s="8" t="e">
        <v>#VALUE!</v>
      </c>
      <c r="O116" s="8" t="e">
        <v>#VALUE!</v>
      </c>
      <c r="P116" s="8" t="e">
        <v>#VALUE!</v>
      </c>
      <c r="Q116" s="8" t="e">
        <v>#VALUE!</v>
      </c>
      <c r="R116" s="8" t="e">
        <v>#VALUE!</v>
      </c>
      <c r="S116" s="8" t="e">
        <v>#VALUE!</v>
      </c>
      <c r="T116" s="8" t="e">
        <v>#VALUE!</v>
      </c>
      <c r="U116" s="8">
        <v>8557.9345088161208</v>
      </c>
      <c r="V116" s="8">
        <v>7911.3924050632904</v>
      </c>
      <c r="W116" s="8">
        <v>6357.1889103803996</v>
      </c>
      <c r="X116" s="8">
        <v>6148.2461945731311</v>
      </c>
      <c r="Y116" s="8">
        <v>6188.2193635748135</v>
      </c>
      <c r="Z116" s="8">
        <v>6763.1215469613262</v>
      </c>
      <c r="AA116" s="8">
        <v>7263.1578947368416</v>
      </c>
      <c r="AB116" s="8">
        <v>8225.4623044096734</v>
      </c>
      <c r="AC116" s="8">
        <v>8860.7322325915284</v>
      </c>
      <c r="AD116" s="8">
        <v>8923.8578680203045</v>
      </c>
      <c r="AE116" s="8">
        <v>9863.7026239067054</v>
      </c>
      <c r="AF116" s="8">
        <v>10643.745427944405</v>
      </c>
      <c r="AG116" s="8">
        <v>11539.30933137399</v>
      </c>
      <c r="AH116" s="8">
        <v>12457.964601769911</v>
      </c>
      <c r="AI116" s="8">
        <v>13407.846039970393</v>
      </c>
      <c r="AJ116" s="8">
        <v>14704.747774480711</v>
      </c>
      <c r="AK116" s="8">
        <v>16204.460966542751</v>
      </c>
      <c r="AL116" s="8">
        <v>17410.581222056629</v>
      </c>
      <c r="AM116" s="8">
        <v>16800.894854586131</v>
      </c>
    </row>
    <row r="117" spans="1:39">
      <c r="A117" s="19" t="s">
        <v>110</v>
      </c>
      <c r="B117" s="8" t="e">
        <v>#VALUE!</v>
      </c>
      <c r="C117" s="8" t="e">
        <v>#VALUE!</v>
      </c>
      <c r="D117" s="8" t="e">
        <v>#VALUE!</v>
      </c>
      <c r="E117" s="8" t="e">
        <v>#VALUE!</v>
      </c>
      <c r="F117" s="8" t="e">
        <v>#VALUE!</v>
      </c>
      <c r="G117" s="8" t="e">
        <v>#VALUE!</v>
      </c>
      <c r="H117" s="8" t="e">
        <v>#VALUE!</v>
      </c>
      <c r="I117" s="8" t="e">
        <v>#VALUE!</v>
      </c>
      <c r="J117" s="8" t="e">
        <v>#VALUE!</v>
      </c>
      <c r="K117" s="8" t="e">
        <v>#VALUE!</v>
      </c>
      <c r="L117" s="8" t="e">
        <v>#VALUE!</v>
      </c>
      <c r="M117" s="8" t="e">
        <v>#VALUE!</v>
      </c>
      <c r="N117" s="8" t="e">
        <v>#VALUE!</v>
      </c>
      <c r="O117" s="8" t="e">
        <v>#VALUE!</v>
      </c>
      <c r="P117" s="8" t="e">
        <v>#VALUE!</v>
      </c>
      <c r="Q117" s="8" t="e">
        <v>#VALUE!</v>
      </c>
      <c r="R117" s="8" t="e">
        <v>#VALUE!</v>
      </c>
      <c r="S117" s="8" t="e">
        <v>#VALUE!</v>
      </c>
      <c r="T117" s="8" t="e">
        <v>#VALUE!</v>
      </c>
      <c r="U117" s="8">
        <v>4605.8608058608061</v>
      </c>
      <c r="V117" s="8">
        <v>3665.6198041751336</v>
      </c>
      <c r="W117" s="8">
        <v>2050.4501125281322</v>
      </c>
      <c r="X117" s="8">
        <v>1478.0114722753344</v>
      </c>
      <c r="Y117" s="8">
        <v>1351.1509949278188</v>
      </c>
      <c r="Z117" s="8">
        <v>1411.8815815616927</v>
      </c>
      <c r="AA117" s="8">
        <v>1595.0746871215181</v>
      </c>
      <c r="AB117" s="8">
        <v>1786.9858809085331</v>
      </c>
      <c r="AC117" s="8">
        <v>1864.5682335887348</v>
      </c>
      <c r="AD117" s="8">
        <v>1940.0921658986174</v>
      </c>
      <c r="AE117" s="8">
        <v>1998.3050847457628</v>
      </c>
      <c r="AF117" s="8">
        <v>2118.7312473210459</v>
      </c>
      <c r="AG117" s="8">
        <v>2259.8612917208497</v>
      </c>
      <c r="AH117" s="8">
        <v>2537.2480280455738</v>
      </c>
      <c r="AI117" s="8">
        <v>2713.7480628735884</v>
      </c>
      <c r="AJ117" s="8">
        <v>3003.5770176615247</v>
      </c>
      <c r="AK117" s="8">
        <v>3315.1364764267992</v>
      </c>
      <c r="AL117" s="8">
        <v>3755.8536030916116</v>
      </c>
      <c r="AM117" s="8">
        <v>3861.8240146654448</v>
      </c>
    </row>
    <row r="118" spans="1:39">
      <c r="A118" s="19" t="s">
        <v>111</v>
      </c>
      <c r="B118" s="8" t="e">
        <v>#VALUE!</v>
      </c>
      <c r="C118" s="8" t="e">
        <v>#VALUE!</v>
      </c>
      <c r="D118" s="8" t="e">
        <v>#VALUE!</v>
      </c>
      <c r="E118" s="8" t="e">
        <v>#VALUE!</v>
      </c>
      <c r="F118" s="8" t="e">
        <v>#VALUE!</v>
      </c>
      <c r="G118" s="8" t="e">
        <v>#VALUE!</v>
      </c>
      <c r="H118" s="8" t="e">
        <v>#VALUE!</v>
      </c>
      <c r="I118" s="8" t="e">
        <v>#VALUE!</v>
      </c>
      <c r="J118" s="8" t="e">
        <v>#VALUE!</v>
      </c>
      <c r="K118" s="8" t="e">
        <v>#VALUE!</v>
      </c>
      <c r="L118" s="8" t="e">
        <v>#VALUE!</v>
      </c>
      <c r="M118" s="8" t="e">
        <v>#VALUE!</v>
      </c>
      <c r="N118" s="8" t="e">
        <v>#VALUE!</v>
      </c>
      <c r="O118" s="8" t="e">
        <v>#VALUE!</v>
      </c>
      <c r="P118" s="8" t="e">
        <v>#VALUE!</v>
      </c>
      <c r="Q118" s="8" t="e">
        <v>#VALUE!</v>
      </c>
      <c r="R118" s="8" t="e">
        <v>#VALUE!</v>
      </c>
      <c r="S118" s="8" t="e">
        <v>#VALUE!</v>
      </c>
      <c r="T118" s="8" t="e">
        <v>#VALUE!</v>
      </c>
      <c r="U118" s="8">
        <v>5698.2505505260588</v>
      </c>
      <c r="V118" s="8">
        <v>5039.6936356452497</v>
      </c>
      <c r="W118" s="8">
        <v>4776.0812701502527</v>
      </c>
      <c r="X118" s="8">
        <v>4365.64605021433</v>
      </c>
      <c r="Y118" s="8">
        <v>3871.2643678160921</v>
      </c>
      <c r="Z118" s="8">
        <v>3616.5275670207384</v>
      </c>
      <c r="AA118" s="8">
        <v>3690.1399409423548</v>
      </c>
      <c r="AB118" s="8">
        <v>3812.5733663753749</v>
      </c>
      <c r="AC118" s="8">
        <v>3805.387830933581</v>
      </c>
      <c r="AD118" s="8">
        <v>3945.6055734190782</v>
      </c>
      <c r="AE118" s="8">
        <v>4345.0685299650631</v>
      </c>
      <c r="AF118" s="8">
        <v>4940.3015210660924</v>
      </c>
      <c r="AG118" s="8">
        <v>5424.0527626354396</v>
      </c>
      <c r="AH118" s="8">
        <v>5908.6457844255146</v>
      </c>
      <c r="AI118" s="8">
        <v>6431.0264437487513</v>
      </c>
      <c r="AJ118" s="8">
        <v>6992.4077375057768</v>
      </c>
      <c r="AK118" s="8">
        <v>7659.1978050692451</v>
      </c>
      <c r="AL118" s="8">
        <v>8245.9958667011106</v>
      </c>
      <c r="AM118" s="8">
        <v>8406.1881977671455</v>
      </c>
    </row>
    <row r="119" spans="1:39">
      <c r="A119" s="19" t="s">
        <v>112</v>
      </c>
      <c r="B119" s="8" t="e">
        <v>#VALUE!</v>
      </c>
      <c r="C119" s="8" t="e">
        <v>#VALUE!</v>
      </c>
      <c r="D119" s="8" t="e">
        <v>#VALUE!</v>
      </c>
      <c r="E119" s="8" t="e">
        <v>#VALUE!</v>
      </c>
      <c r="F119" s="8" t="e">
        <v>#VALUE!</v>
      </c>
      <c r="G119" s="8" t="e">
        <v>#VALUE!</v>
      </c>
      <c r="H119" s="8" t="e">
        <v>#VALUE!</v>
      </c>
      <c r="I119" s="8" t="e">
        <v>#VALUE!</v>
      </c>
      <c r="J119" s="8" t="e">
        <v>#VALUE!</v>
      </c>
      <c r="K119" s="8" t="e">
        <v>#VALUE!</v>
      </c>
      <c r="L119" s="8" t="e">
        <v>#VALUE!</v>
      </c>
      <c r="M119" s="8" t="e">
        <v>#VALUE!</v>
      </c>
      <c r="N119" s="8" t="e">
        <v>#VALUE!</v>
      </c>
      <c r="O119" s="8" t="e">
        <v>#VALUE!</v>
      </c>
      <c r="P119" s="8" t="e">
        <v>#VALUE!</v>
      </c>
      <c r="Q119" s="8" t="e">
        <v>#VALUE!</v>
      </c>
      <c r="R119" s="8" t="e">
        <v>#VALUE!</v>
      </c>
      <c r="S119" s="8" t="e">
        <v>#VALUE!</v>
      </c>
      <c r="T119" s="8" t="e">
        <v>#VALUE!</v>
      </c>
      <c r="U119" s="8">
        <v>2496.9477730047479</v>
      </c>
      <c r="V119" s="8">
        <v>2264.0711902113458</v>
      </c>
      <c r="W119" s="8">
        <v>1927.8486581610205</v>
      </c>
      <c r="X119" s="8">
        <v>1630.8606647589697</v>
      </c>
      <c r="Y119" s="8">
        <v>1304.1850220264316</v>
      </c>
      <c r="Z119" s="8">
        <v>1220.0435729847495</v>
      </c>
      <c r="AA119" s="8">
        <v>1287.5241571827357</v>
      </c>
      <c r="AB119" s="8">
        <v>1394.9206349206349</v>
      </c>
      <c r="AC119" s="8">
        <v>1403.1686470710861</v>
      </c>
      <c r="AD119" s="8">
        <v>1434.1212744090442</v>
      </c>
      <c r="AE119" s="8">
        <v>1496.8463886063073</v>
      </c>
      <c r="AF119" s="8">
        <v>1563.874873864783</v>
      </c>
      <c r="AG119" s="8">
        <v>1551.5722010815141</v>
      </c>
      <c r="AH119" s="8">
        <v>1645.56459615003</v>
      </c>
      <c r="AI119" s="8">
        <v>1742.5878656980169</v>
      </c>
      <c r="AJ119" s="8">
        <v>1722.2006220839812</v>
      </c>
      <c r="AK119" s="8">
        <v>1759.2449922958397</v>
      </c>
      <c r="AL119" s="8">
        <v>1888.0611270296083</v>
      </c>
      <c r="AM119" s="8">
        <v>2016.2940507768096</v>
      </c>
    </row>
    <row r="120" spans="1:39">
      <c r="A120" s="19" t="s">
        <v>113</v>
      </c>
      <c r="B120" s="8" t="e">
        <v>#VALUE!</v>
      </c>
      <c r="C120" s="8" t="e">
        <v>#VALUE!</v>
      </c>
      <c r="D120" s="8" t="e">
        <v>#VALUE!</v>
      </c>
      <c r="E120" s="8" t="e">
        <v>#VALUE!</v>
      </c>
      <c r="F120" s="8" t="e">
        <v>#VALUE!</v>
      </c>
      <c r="G120" s="8" t="e">
        <v>#VALUE!</v>
      </c>
      <c r="H120" s="8" t="e">
        <v>#VALUE!</v>
      </c>
      <c r="I120" s="8" t="e">
        <v>#VALUE!</v>
      </c>
      <c r="J120" s="8" t="e">
        <v>#VALUE!</v>
      </c>
      <c r="K120" s="8" t="e">
        <v>#VALUE!</v>
      </c>
      <c r="L120" s="8" t="e">
        <v>#VALUE!</v>
      </c>
      <c r="M120" s="8" t="e">
        <v>#VALUE!</v>
      </c>
      <c r="N120" s="8" t="e">
        <v>#VALUE!</v>
      </c>
      <c r="O120" s="8" t="e">
        <v>#VALUE!</v>
      </c>
      <c r="P120" s="8" t="e">
        <v>#VALUE!</v>
      </c>
      <c r="Q120" s="8" t="e">
        <v>#VALUE!</v>
      </c>
      <c r="R120" s="8" t="e">
        <v>#VALUE!</v>
      </c>
      <c r="S120" s="8" t="e">
        <v>#VALUE!</v>
      </c>
      <c r="T120" s="8" t="e">
        <v>#VALUE!</v>
      </c>
      <c r="U120" s="8">
        <v>9420.4417821040806</v>
      </c>
      <c r="V120" s="8">
        <v>8261.8332081141998</v>
      </c>
      <c r="W120" s="8">
        <v>5672.1124620060791</v>
      </c>
      <c r="X120" s="8">
        <v>5485.3054911059553</v>
      </c>
      <c r="Y120" s="8">
        <v>5689.1679748822608</v>
      </c>
      <c r="Z120" s="8">
        <v>5709.3439363817097</v>
      </c>
      <c r="AA120" s="8">
        <v>5982.737856282617</v>
      </c>
      <c r="AB120" s="8">
        <v>6586.9387755102043</v>
      </c>
      <c r="AC120" s="8">
        <v>7012.4481327800822</v>
      </c>
      <c r="AD120" s="8">
        <v>7403.3472803347277</v>
      </c>
      <c r="AE120" s="8">
        <v>7975.1264755480615</v>
      </c>
      <c r="AF120" s="8">
        <v>8664.2645188639253</v>
      </c>
      <c r="AG120" s="8">
        <v>9307.9555175363548</v>
      </c>
      <c r="AH120" s="8">
        <v>10033.548387096773</v>
      </c>
      <c r="AI120" s="8">
        <v>10960.657155209683</v>
      </c>
      <c r="AJ120" s="8">
        <v>12186.006084311168</v>
      </c>
      <c r="AK120" s="8">
        <v>13754.370629370631</v>
      </c>
      <c r="AL120" s="8">
        <v>15206.502636203868</v>
      </c>
      <c r="AM120" s="8">
        <v>14573.69814651368</v>
      </c>
    </row>
    <row r="121" spans="1:39">
      <c r="A121" s="19" t="s">
        <v>114</v>
      </c>
      <c r="B121" s="8" t="e">
        <v>#VALUE!</v>
      </c>
      <c r="C121" s="8" t="e">
        <v>#VALUE!</v>
      </c>
      <c r="D121" s="8" t="e">
        <v>#VALUE!</v>
      </c>
      <c r="E121" s="8" t="e">
        <v>#VALUE!</v>
      </c>
      <c r="F121" s="8" t="e">
        <v>#VALUE!</v>
      </c>
      <c r="G121" s="8" t="e">
        <v>#VALUE!</v>
      </c>
      <c r="H121" s="8" t="e">
        <v>#VALUE!</v>
      </c>
      <c r="I121" s="8" t="e">
        <v>#VALUE!</v>
      </c>
      <c r="J121" s="8" t="e">
        <v>#VALUE!</v>
      </c>
      <c r="K121" s="8" t="e">
        <v>#VALUE!</v>
      </c>
      <c r="L121" s="8" t="e">
        <v>#VALUE!</v>
      </c>
      <c r="M121" s="8" t="e">
        <v>#VALUE!</v>
      </c>
      <c r="N121" s="8" t="e">
        <v>#VALUE!</v>
      </c>
      <c r="O121" s="8" t="e">
        <v>#VALUE!</v>
      </c>
      <c r="P121" s="8" t="e">
        <v>#VALUE!</v>
      </c>
      <c r="Q121" s="8" t="e">
        <v>#VALUE!</v>
      </c>
      <c r="R121" s="8" t="e">
        <v>#VALUE!</v>
      </c>
      <c r="S121" s="8" t="e">
        <v>#VALUE!</v>
      </c>
      <c r="T121" s="8" t="e">
        <v>#VALUE!</v>
      </c>
      <c r="U121" s="8">
        <v>11606.003244997297</v>
      </c>
      <c r="V121" s="8">
        <v>10929.535637149027</v>
      </c>
      <c r="W121" s="8">
        <v>8615.405405405405</v>
      </c>
      <c r="X121" s="8">
        <v>7250.6109150149341</v>
      </c>
      <c r="Y121" s="8">
        <v>6587.2061235647898</v>
      </c>
      <c r="Z121" s="8">
        <v>6852.6982378854627</v>
      </c>
      <c r="AA121" s="8">
        <v>7226.9070735090154</v>
      </c>
      <c r="AB121" s="8">
        <v>7787.4301675977649</v>
      </c>
      <c r="AC121" s="8">
        <v>8412.939521800281</v>
      </c>
      <c r="AD121" s="8">
        <v>8326.5363919569518</v>
      </c>
      <c r="AE121" s="8">
        <v>8729.4285714285706</v>
      </c>
      <c r="AF121" s="8">
        <v>9368.2849755817278</v>
      </c>
      <c r="AG121" s="8">
        <v>10045.834534447968</v>
      </c>
      <c r="AH121" s="8">
        <v>11123.335263462652</v>
      </c>
      <c r="AI121" s="8">
        <v>12003.4924330617</v>
      </c>
      <c r="AJ121" s="8">
        <v>13023.432923257176</v>
      </c>
      <c r="AK121" s="8">
        <v>14127.872716558632</v>
      </c>
      <c r="AL121" s="8">
        <v>15470.971563981044</v>
      </c>
      <c r="AM121" s="8">
        <v>16022.930315664085</v>
      </c>
    </row>
    <row r="122" spans="1:39">
      <c r="A122" s="19" t="s">
        <v>115</v>
      </c>
      <c r="B122" s="8" t="e">
        <v>#VALUE!</v>
      </c>
      <c r="C122" s="8" t="e">
        <v>#VALUE!</v>
      </c>
      <c r="D122" s="8" t="e">
        <v>#VALUE!</v>
      </c>
      <c r="E122" s="8" t="e">
        <v>#VALUE!</v>
      </c>
      <c r="F122" s="8" t="e">
        <v>#VALUE!</v>
      </c>
      <c r="G122" s="8" t="e">
        <v>#VALUE!</v>
      </c>
      <c r="H122" s="8" t="e">
        <v>#VALUE!</v>
      </c>
      <c r="I122" s="8" t="e">
        <v>#VALUE!</v>
      </c>
      <c r="J122" s="8" t="e">
        <v>#VALUE!</v>
      </c>
      <c r="K122" s="8" t="e">
        <v>#VALUE!</v>
      </c>
      <c r="L122" s="8" t="e">
        <v>#VALUE!</v>
      </c>
      <c r="M122" s="8" t="e">
        <v>#VALUE!</v>
      </c>
      <c r="N122" s="8" t="e">
        <v>#VALUE!</v>
      </c>
      <c r="O122" s="8" t="e">
        <v>#VALUE!</v>
      </c>
      <c r="P122" s="8" t="e">
        <v>#VALUE!</v>
      </c>
      <c r="Q122" s="8" t="e">
        <v>#VALUE!</v>
      </c>
      <c r="R122" s="8" t="e">
        <v>#VALUE!</v>
      </c>
      <c r="S122" s="8" t="e">
        <v>#VALUE!</v>
      </c>
      <c r="T122" s="8" t="e">
        <v>#VALUE!</v>
      </c>
      <c r="U122" s="8">
        <v>3633.363886342805</v>
      </c>
      <c r="V122" s="8">
        <v>3044.3428571428572</v>
      </c>
      <c r="W122" s="8">
        <v>2156.4284083124003</v>
      </c>
      <c r="X122" s="8">
        <v>2132.5714285714284</v>
      </c>
      <c r="Y122" s="8">
        <v>1477.9917469050895</v>
      </c>
      <c r="Z122" s="8">
        <v>1465.0841207651531</v>
      </c>
      <c r="AA122" s="8">
        <v>1399.1177153471092</v>
      </c>
      <c r="AB122" s="8">
        <v>1435.3023909985936</v>
      </c>
      <c r="AC122" s="8">
        <v>1357.6001897083236</v>
      </c>
      <c r="AD122" s="8">
        <v>1328.6881307063911</v>
      </c>
      <c r="AE122" s="8">
        <v>1377.0731707317075</v>
      </c>
      <c r="AF122" s="8">
        <v>1485.4946689809074</v>
      </c>
      <c r="AG122" s="8">
        <v>1630.3963645544054</v>
      </c>
      <c r="AH122" s="8">
        <v>1770.5761316872429</v>
      </c>
      <c r="AI122" s="8">
        <v>1935.6020942408377</v>
      </c>
      <c r="AJ122" s="8">
        <v>2114.6581537642992</v>
      </c>
      <c r="AK122" s="8">
        <v>2245.6187651658129</v>
      </c>
      <c r="AL122" s="8">
        <v>2339.2418871011728</v>
      </c>
      <c r="AM122" s="8">
        <v>2531.2413982934213</v>
      </c>
    </row>
    <row r="123" spans="1:39">
      <c r="A123" s="19" t="s">
        <v>116</v>
      </c>
      <c r="B123" s="8" t="e">
        <v>#VALUE!</v>
      </c>
      <c r="C123" s="8" t="e">
        <v>#VALUE!</v>
      </c>
      <c r="D123" s="8" t="e">
        <v>#VALUE!</v>
      </c>
      <c r="E123" s="8" t="e">
        <v>#VALUE!</v>
      </c>
      <c r="F123" s="8" t="e">
        <v>#VALUE!</v>
      </c>
      <c r="G123" s="8" t="e">
        <v>#VALUE!</v>
      </c>
      <c r="H123" s="8" t="e">
        <v>#VALUE!</v>
      </c>
      <c r="I123" s="8" t="e">
        <v>#VALUE!</v>
      </c>
      <c r="J123" s="8" t="e">
        <v>#VALUE!</v>
      </c>
      <c r="K123" s="8" t="e">
        <v>#VALUE!</v>
      </c>
      <c r="L123" s="8" t="e">
        <v>#VALUE!</v>
      </c>
      <c r="M123" s="8" t="e">
        <v>#VALUE!</v>
      </c>
      <c r="N123" s="8" t="e">
        <v>#VALUE!</v>
      </c>
      <c r="O123" s="8" t="e">
        <v>#VALUE!</v>
      </c>
      <c r="P123" s="8" t="e">
        <v>#VALUE!</v>
      </c>
      <c r="Q123" s="8" t="e">
        <v>#VALUE!</v>
      </c>
      <c r="R123" s="8" t="e">
        <v>#VALUE!</v>
      </c>
      <c r="S123" s="8" t="e">
        <v>#VALUE!</v>
      </c>
      <c r="T123" s="8" t="e">
        <v>#VALUE!</v>
      </c>
      <c r="U123" s="8">
        <v>10296.954091735432</v>
      </c>
      <c r="V123" s="8">
        <v>9749.3160100812693</v>
      </c>
      <c r="W123" s="8">
        <v>8324.5364822469674</v>
      </c>
      <c r="X123" s="8">
        <v>7606.9487198485776</v>
      </c>
      <c r="Y123" s="8">
        <v>6653.0780011859206</v>
      </c>
      <c r="Z123" s="8">
        <v>6215.2639240847575</v>
      </c>
      <c r="AA123" s="8">
        <v>5999.7637688984887</v>
      </c>
      <c r="AB123" s="8">
        <v>6092.7018895987567</v>
      </c>
      <c r="AC123" s="8">
        <v>5776.5844343168264</v>
      </c>
      <c r="AD123" s="8">
        <v>6162.4902353700372</v>
      </c>
      <c r="AE123" s="8">
        <v>6810.1461830733233</v>
      </c>
      <c r="AF123" s="8">
        <v>7187.2555265555529</v>
      </c>
      <c r="AG123" s="8">
        <v>7562.9116284831434</v>
      </c>
      <c r="AH123" s="8">
        <v>8153.0373670157578</v>
      </c>
      <c r="AI123" s="8">
        <v>8781.3393037178157</v>
      </c>
      <c r="AJ123" s="8">
        <v>9388.4106376734635</v>
      </c>
      <c r="AK123" s="8">
        <v>10153.529795700661</v>
      </c>
      <c r="AL123" s="8">
        <v>11002.885556032572</v>
      </c>
      <c r="AM123" s="8">
        <v>11645.529177774957</v>
      </c>
    </row>
    <row r="124" spans="1:39">
      <c r="A124" s="19" t="s">
        <v>117</v>
      </c>
      <c r="B124" s="8" t="e">
        <v>#VALUE!</v>
      </c>
      <c r="C124" s="8" t="e">
        <v>#VALUE!</v>
      </c>
      <c r="D124" s="8" t="e">
        <v>#VALUE!</v>
      </c>
      <c r="E124" s="8" t="e">
        <v>#VALUE!</v>
      </c>
      <c r="F124" s="8" t="e">
        <v>#VALUE!</v>
      </c>
      <c r="G124" s="8" t="e">
        <v>#VALUE!</v>
      </c>
      <c r="H124" s="8" t="e">
        <v>#VALUE!</v>
      </c>
      <c r="I124" s="8" t="e">
        <v>#VALUE!</v>
      </c>
      <c r="J124" s="8" t="e">
        <v>#VALUE!</v>
      </c>
      <c r="K124" s="8" t="e">
        <v>#VALUE!</v>
      </c>
      <c r="L124" s="8" t="e">
        <v>#VALUE!</v>
      </c>
      <c r="M124" s="8" t="e">
        <v>#VALUE!</v>
      </c>
      <c r="N124" s="8" t="e">
        <v>#VALUE!</v>
      </c>
      <c r="O124" s="8" t="e">
        <v>#VALUE!</v>
      </c>
      <c r="P124" s="8" t="e">
        <v>#VALUE!</v>
      </c>
      <c r="Q124" s="8" t="e">
        <v>#VALUE!</v>
      </c>
      <c r="R124" s="8" t="e">
        <v>#VALUE!</v>
      </c>
      <c r="S124" s="8" t="e">
        <v>#VALUE!</v>
      </c>
      <c r="T124" s="8" t="e">
        <v>#VALUE!</v>
      </c>
      <c r="U124" s="8">
        <v>2172.7324156138034</v>
      </c>
      <c r="V124" s="8">
        <v>1975.2721904410409</v>
      </c>
      <c r="W124" s="8">
        <v>1376.8115942028987</v>
      </c>
      <c r="X124" s="8">
        <v>1132.8222499554288</v>
      </c>
      <c r="Y124" s="8">
        <v>878.27156156683657</v>
      </c>
      <c r="Z124" s="8">
        <v>758.44155844155841</v>
      </c>
      <c r="AA124" s="8">
        <v>622.9088426083988</v>
      </c>
      <c r="AB124" s="8">
        <v>624.64231610839931</v>
      </c>
      <c r="AC124" s="8">
        <v>648.89553230360411</v>
      </c>
      <c r="AD124" s="8">
        <v>664.37120839481872</v>
      </c>
      <c r="AE124" s="8">
        <v>710.83751822452621</v>
      </c>
      <c r="AF124" s="8">
        <v>774.62758289284</v>
      </c>
      <c r="AG124" s="8">
        <v>836.00063381397558</v>
      </c>
      <c r="AH124" s="8">
        <v>911.42812353033401</v>
      </c>
      <c r="AI124" s="8">
        <v>996.59073299240663</v>
      </c>
      <c r="AJ124" s="8">
        <v>1049.7246022031825</v>
      </c>
      <c r="AK124" s="8">
        <v>1107.8919571450128</v>
      </c>
      <c r="AL124" s="8">
        <v>1176.4530994499776</v>
      </c>
      <c r="AM124" s="8">
        <v>1249.2685781158573</v>
      </c>
    </row>
    <row r="125" spans="1:39">
      <c r="A125" s="19" t="s">
        <v>118</v>
      </c>
      <c r="B125" s="8" t="e">
        <v>#VALUE!</v>
      </c>
      <c r="C125" s="8" t="e">
        <v>#VALUE!</v>
      </c>
      <c r="D125" s="8" t="e">
        <v>#VALUE!</v>
      </c>
      <c r="E125" s="8" t="e">
        <v>#VALUE!</v>
      </c>
      <c r="F125" s="8" t="e">
        <v>#VALUE!</v>
      </c>
      <c r="G125" s="8" t="e">
        <v>#VALUE!</v>
      </c>
      <c r="H125" s="8" t="e">
        <v>#VALUE!</v>
      </c>
      <c r="I125" s="8" t="e">
        <v>#VALUE!</v>
      </c>
      <c r="J125" s="8" t="e">
        <v>#VALUE!</v>
      </c>
      <c r="K125" s="8" t="e">
        <v>#VALUE!</v>
      </c>
      <c r="L125" s="8" t="e">
        <v>#VALUE!</v>
      </c>
      <c r="M125" s="8" t="e">
        <v>#VALUE!</v>
      </c>
      <c r="N125" s="8" t="e">
        <v>#VALUE!</v>
      </c>
      <c r="O125" s="8" t="e">
        <v>#VALUE!</v>
      </c>
      <c r="P125" s="8" t="e">
        <v>#VALUE!</v>
      </c>
      <c r="Q125" s="8" t="e">
        <v>#VALUE!</v>
      </c>
      <c r="R125" s="8" t="e">
        <v>#VALUE!</v>
      </c>
      <c r="S125" s="8" t="e">
        <v>#VALUE!</v>
      </c>
      <c r="T125" s="8" t="e">
        <v>#VALUE!</v>
      </c>
      <c r="U125" s="8">
        <v>5620.7742639040343</v>
      </c>
      <c r="V125" s="8">
        <v>5207.52716671084</v>
      </c>
      <c r="W125" s="8">
        <v>4789.1891891891892</v>
      </c>
      <c r="X125" s="8">
        <v>4189.6422316737553</v>
      </c>
      <c r="Y125" s="8">
        <v>3376.9812240916849</v>
      </c>
      <c r="Z125" s="8">
        <v>3065.1085141903177</v>
      </c>
      <c r="AA125" s="8">
        <v>2807.9625292740047</v>
      </c>
      <c r="AB125" s="8">
        <v>2454.0839870789109</v>
      </c>
      <c r="AC125" s="8">
        <v>2584.96583143508</v>
      </c>
      <c r="AD125" s="8">
        <v>2973.2283464566926</v>
      </c>
      <c r="AE125" s="8">
        <v>3481.3416259440251</v>
      </c>
      <c r="AF125" s="8">
        <v>4135.4075372480283</v>
      </c>
      <c r="AG125" s="8">
        <v>4720.518358531318</v>
      </c>
      <c r="AH125" s="8">
        <v>5447.8501489995742</v>
      </c>
      <c r="AI125" s="8">
        <v>6293.7473772555604</v>
      </c>
      <c r="AJ125" s="8">
        <v>7013.2422925719011</v>
      </c>
      <c r="AK125" s="8">
        <v>7707.4913247601553</v>
      </c>
      <c r="AL125" s="8">
        <v>8490.6306669353216</v>
      </c>
      <c r="AM125" s="8">
        <v>9202.2673031026261</v>
      </c>
    </row>
    <row r="126" spans="1:39">
      <c r="A126" s="22" t="s">
        <v>119</v>
      </c>
      <c r="B126" s="8" t="e">
        <v>#VALUE!</v>
      </c>
      <c r="C126" s="8" t="e">
        <v>#VALUE!</v>
      </c>
      <c r="D126" s="8" t="e">
        <v>#VALUE!</v>
      </c>
      <c r="E126" s="8" t="e">
        <v>#VALUE!</v>
      </c>
      <c r="F126" s="8" t="e">
        <v>#VALUE!</v>
      </c>
      <c r="G126" s="8" t="e">
        <v>#VALUE!</v>
      </c>
      <c r="H126" s="8" t="e">
        <v>#VALUE!</v>
      </c>
      <c r="I126" s="8" t="e">
        <v>#VALUE!</v>
      </c>
      <c r="J126" s="8" t="e">
        <v>#VALUE!</v>
      </c>
      <c r="K126" s="8" t="e">
        <v>#VALUE!</v>
      </c>
      <c r="L126" s="8" t="e">
        <v>#VALUE!</v>
      </c>
      <c r="M126" s="8" t="e">
        <v>#VALUE!</v>
      </c>
      <c r="N126" s="8" t="e">
        <v>#VALUE!</v>
      </c>
      <c r="O126" s="8" t="e">
        <v>#VALUE!</v>
      </c>
      <c r="P126" s="8" t="e">
        <v>#VALUE!</v>
      </c>
      <c r="Q126" s="8" t="e">
        <v>#VALUE!</v>
      </c>
      <c r="R126" s="8" t="e">
        <v>#VALUE!</v>
      </c>
      <c r="S126" s="8" t="e">
        <v>#VALUE!</v>
      </c>
      <c r="T126" s="8" t="e">
        <v>#VALUE!</v>
      </c>
      <c r="U126" s="8">
        <v>8804.8446774069216</v>
      </c>
      <c r="V126" s="8">
        <v>8047.5576923076924</v>
      </c>
      <c r="W126" s="8">
        <v>7246.1169702780444</v>
      </c>
      <c r="X126" s="8">
        <v>6211.8285133866111</v>
      </c>
      <c r="Y126" s="8">
        <v>4810.9820689123862</v>
      </c>
      <c r="Z126" s="8">
        <v>4257.5904643578197</v>
      </c>
      <c r="AA126" s="8">
        <v>3865.9733239320758</v>
      </c>
      <c r="AB126" s="8">
        <v>3784.3222516503934</v>
      </c>
      <c r="AC126" s="8">
        <v>3745.7322910019147</v>
      </c>
      <c r="AD126" s="8">
        <v>3773.6798663257705</v>
      </c>
      <c r="AE126" s="8">
        <v>4036.7252318204</v>
      </c>
      <c r="AF126" s="8">
        <v>4452.6538493139433</v>
      </c>
      <c r="AG126" s="8">
        <v>4730.9296101902364</v>
      </c>
      <c r="AH126" s="8">
        <v>5217.8487022357931</v>
      </c>
      <c r="AI126" s="8">
        <v>5893.7031105116748</v>
      </c>
      <c r="AJ126" s="8">
        <v>6097.4206559813183</v>
      </c>
      <c r="AK126" s="8">
        <v>6586.8598786013508</v>
      </c>
      <c r="AL126" s="8">
        <v>7149.8634672859016</v>
      </c>
      <c r="AM126" s="8">
        <v>7339.6169311254262</v>
      </c>
    </row>
    <row r="127" spans="1:39">
      <c r="A127" s="22" t="s">
        <v>120</v>
      </c>
      <c r="B127" s="8" t="e">
        <v>#VALUE!</v>
      </c>
      <c r="C127" s="8" t="e">
        <v>#VALUE!</v>
      </c>
      <c r="D127" s="8" t="e">
        <v>#VALUE!</v>
      </c>
      <c r="E127" s="8" t="e">
        <v>#VALUE!</v>
      </c>
      <c r="F127" s="8" t="e">
        <v>#VALUE!</v>
      </c>
      <c r="G127" s="8" t="e">
        <v>#VALUE!</v>
      </c>
      <c r="H127" s="8" t="e">
        <v>#VALUE!</v>
      </c>
      <c r="I127" s="8" t="e">
        <v>#VALUE!</v>
      </c>
      <c r="J127" s="8" t="e">
        <v>#VALUE!</v>
      </c>
      <c r="K127" s="8" t="e">
        <v>#VALUE!</v>
      </c>
      <c r="L127" s="8" t="e">
        <v>#VALUE!</v>
      </c>
      <c r="M127" s="8" t="e">
        <v>#VALUE!</v>
      </c>
      <c r="N127" s="8" t="e">
        <v>#VALUE!</v>
      </c>
      <c r="O127" s="8" t="e">
        <v>#VALUE!</v>
      </c>
      <c r="P127" s="8" t="e">
        <v>#VALUE!</v>
      </c>
      <c r="Q127" s="8" t="e">
        <v>#VALUE!</v>
      </c>
      <c r="R127" s="8" t="e">
        <v>#VALUE!</v>
      </c>
      <c r="S127" s="8" t="e">
        <v>#VALUE!</v>
      </c>
      <c r="T127" s="8" t="e">
        <v>#VALUE!</v>
      </c>
      <c r="U127" s="8">
        <v>1837.1526084836664</v>
      </c>
      <c r="V127" s="8">
        <v>1789.5666284841541</v>
      </c>
      <c r="W127" s="8">
        <v>1552.3334421185136</v>
      </c>
      <c r="X127" s="8">
        <v>1482.5448910764744</v>
      </c>
      <c r="Y127" s="8">
        <v>1378.1114537248068</v>
      </c>
      <c r="Z127" s="8">
        <v>1341.2771560236997</v>
      </c>
      <c r="AA127" s="8">
        <v>1338.2131324004306</v>
      </c>
      <c r="AB127" s="8">
        <v>1381.5016689905774</v>
      </c>
      <c r="AC127" s="8">
        <v>1417.9036214710409</v>
      </c>
      <c r="AD127" s="8">
        <v>1457.7459016393443</v>
      </c>
      <c r="AE127" s="8">
        <v>1497.7687626774848</v>
      </c>
      <c r="AF127" s="8">
        <v>1540.8739536187768</v>
      </c>
      <c r="AG127" s="8">
        <v>1583.1750553972777</v>
      </c>
      <c r="AH127" s="8">
        <v>1630.5538172715894</v>
      </c>
      <c r="AI127" s="8">
        <v>1736.003711722858</v>
      </c>
      <c r="AJ127" s="8">
        <v>1836.014827836588</v>
      </c>
      <c r="AK127" s="8">
        <v>1946.3490145737371</v>
      </c>
      <c r="AL127" s="8">
        <v>2100.9379187137115</v>
      </c>
      <c r="AM127" s="8">
        <v>2252.6177052061212</v>
      </c>
    </row>
    <row r="128" spans="1:39">
      <c r="A128" s="22" t="s">
        <v>121</v>
      </c>
      <c r="B128" s="8">
        <v>6801.2920244847619</v>
      </c>
      <c r="C128" s="8">
        <v>7050.1894130822384</v>
      </c>
      <c r="D128" s="8">
        <v>7607.9043057602357</v>
      </c>
      <c r="E128" s="8">
        <v>7948.6932343293238</v>
      </c>
      <c r="F128" s="8">
        <v>8181.0002396677646</v>
      </c>
      <c r="G128" s="8">
        <v>8612.0334938473934</v>
      </c>
      <c r="H128" s="8">
        <v>8936.0709808081774</v>
      </c>
      <c r="I128" s="8">
        <v>9253.635407704809</v>
      </c>
      <c r="J128" s="8">
        <v>9472.2825695447609</v>
      </c>
      <c r="K128" s="8">
        <v>9554.6701664397824</v>
      </c>
      <c r="L128" s="8">
        <v>9675.5559202428831</v>
      </c>
      <c r="M128" s="8">
        <v>9871.9667128987512</v>
      </c>
      <c r="N128" s="8">
        <v>10097.402097530397</v>
      </c>
      <c r="O128" s="8">
        <v>10145.519135210532</v>
      </c>
      <c r="P128" s="8">
        <v>10165.655678394131</v>
      </c>
      <c r="Q128" s="8">
        <v>10498.986648017184</v>
      </c>
      <c r="R128" s="8">
        <v>10544.537012470151</v>
      </c>
      <c r="S128" s="8">
        <v>10616.44518214134</v>
      </c>
      <c r="T128" s="8">
        <v>10869.559752380355</v>
      </c>
      <c r="U128" s="8" t="e">
        <v>#VALUE!</v>
      </c>
      <c r="V128" s="8" t="e">
        <v>#VALUE!</v>
      </c>
      <c r="W128" s="8" t="e">
        <v>#VALUE!</v>
      </c>
      <c r="X128" s="8" t="e">
        <v>#VALUE!</v>
      </c>
      <c r="Y128" s="8" t="e">
        <v>#VALUE!</v>
      </c>
      <c r="Z128" s="8" t="e">
        <v>#VALUE!</v>
      </c>
      <c r="AA128" s="8" t="e">
        <v>#VALUE!</v>
      </c>
      <c r="AB128" s="8" t="e">
        <v>#VALUE!</v>
      </c>
      <c r="AC128" s="8" t="e">
        <v>#VALUE!</v>
      </c>
      <c r="AD128" s="8" t="e">
        <v>#VALUE!</v>
      </c>
      <c r="AE128" s="8" t="e">
        <v>#VALUE!</v>
      </c>
      <c r="AF128" s="8" t="e">
        <v>#VALUE!</v>
      </c>
      <c r="AG128" s="8" t="e">
        <v>#VALUE!</v>
      </c>
      <c r="AH128" s="8" t="e">
        <v>#VALUE!</v>
      </c>
      <c r="AI128" s="8" t="e">
        <v>#VALUE!</v>
      </c>
      <c r="AJ128" s="8" t="e">
        <v>#VALUE!</v>
      </c>
      <c r="AK128" s="8" t="e">
        <v>#VALUE!</v>
      </c>
      <c r="AL128" s="8" t="e">
        <v>#VALUE!</v>
      </c>
      <c r="AM128" s="8" t="e">
        <v>#VALUE!</v>
      </c>
    </row>
    <row r="129" spans="1:39">
      <c r="A129" s="20" t="s">
        <v>122</v>
      </c>
      <c r="B129" s="8">
        <v>6801.2920244847619</v>
      </c>
      <c r="C129" s="8">
        <v>7050.1894130822384</v>
      </c>
      <c r="D129" s="8">
        <v>7607.9043057602357</v>
      </c>
      <c r="E129" s="8">
        <v>7948.6932343293238</v>
      </c>
      <c r="F129" s="8">
        <v>8181.0002396677646</v>
      </c>
      <c r="G129" s="8">
        <v>8612.0334938473934</v>
      </c>
      <c r="H129" s="8">
        <v>8936.0709808081774</v>
      </c>
      <c r="I129" s="8">
        <v>9253.635407704809</v>
      </c>
      <c r="J129" s="8">
        <v>9472.2825695447609</v>
      </c>
      <c r="K129" s="8">
        <v>9554.6701664397824</v>
      </c>
      <c r="L129" s="8">
        <v>9675.5559202428831</v>
      </c>
      <c r="M129" s="8">
        <v>9871.9667128987512</v>
      </c>
      <c r="N129" s="8">
        <v>10097.402097530397</v>
      </c>
      <c r="O129" s="8">
        <v>10145.519135210532</v>
      </c>
      <c r="P129" s="8">
        <v>10165.655678394131</v>
      </c>
      <c r="Q129" s="8">
        <v>10498.986648017184</v>
      </c>
      <c r="R129" s="8">
        <v>10544.537012470151</v>
      </c>
      <c r="S129" s="8">
        <v>10616.44518214134</v>
      </c>
      <c r="T129" s="8">
        <v>10869.559752380355</v>
      </c>
      <c r="U129" s="8">
        <v>8228.4036331275311</v>
      </c>
      <c r="V129" s="8">
        <v>7688.4129636968246</v>
      </c>
      <c r="W129" s="8">
        <v>6588.1979194213673</v>
      </c>
      <c r="X129" s="8">
        <v>5916.3293865847136</v>
      </c>
      <c r="Y129" s="8">
        <v>5068.8419846201887</v>
      </c>
      <c r="Z129" s="8">
        <v>4705.9144808255132</v>
      </c>
      <c r="AA129" s="8">
        <v>4536.2905167846648</v>
      </c>
      <c r="AB129" s="8">
        <v>4608.2277412307149</v>
      </c>
      <c r="AC129" s="8">
        <v>4473.2150255489578</v>
      </c>
      <c r="AD129" s="8">
        <v>4699.3483730088692</v>
      </c>
      <c r="AE129" s="8">
        <v>5135.1309134960829</v>
      </c>
      <c r="AF129" s="8">
        <v>5475.6526279150712</v>
      </c>
      <c r="AG129" s="8">
        <v>5787.6087351121905</v>
      </c>
      <c r="AH129" s="8">
        <v>6260.475908822058</v>
      </c>
      <c r="AI129" s="8">
        <v>6798.2609061668027</v>
      </c>
      <c r="AJ129" s="8">
        <v>7266.7285134973681</v>
      </c>
      <c r="AK129" s="8">
        <v>7893.3057042942273</v>
      </c>
      <c r="AL129" s="8">
        <v>8575.4657248986932</v>
      </c>
      <c r="AM129" s="8">
        <v>9008.8869678888441</v>
      </c>
    </row>
    <row r="130" spans="1:39">
      <c r="A130" s="19" t="s">
        <v>123</v>
      </c>
      <c r="B130" s="8">
        <v>10801.667145731531</v>
      </c>
      <c r="C130" s="8">
        <v>10793.645025839793</v>
      </c>
      <c r="D130" s="8">
        <v>10908.636291474837</v>
      </c>
      <c r="E130" s="8">
        <v>11319.129009599625</v>
      </c>
      <c r="F130" s="8">
        <v>11132.135590617681</v>
      </c>
      <c r="G130" s="8">
        <v>10737.245861990779</v>
      </c>
      <c r="H130" s="8">
        <v>11308.705847321993</v>
      </c>
      <c r="I130" s="8">
        <v>10639.920789174521</v>
      </c>
      <c r="J130" s="8">
        <v>11555.138025726261</v>
      </c>
      <c r="K130" s="8">
        <v>11855.805510073325</v>
      </c>
      <c r="L130" s="8">
        <v>11013.498352149219</v>
      </c>
      <c r="M130" s="8">
        <v>10309.219613259667</v>
      </c>
      <c r="N130" s="8">
        <v>10546.641727597347</v>
      </c>
      <c r="O130" s="8">
        <v>10617.806659074162</v>
      </c>
      <c r="P130" s="8">
        <v>9666.2266952648079</v>
      </c>
      <c r="Q130" s="8">
        <v>10273.944989921321</v>
      </c>
      <c r="R130" s="8">
        <v>10419.133666538512</v>
      </c>
      <c r="S130" s="8">
        <v>10006.852559446743</v>
      </c>
      <c r="T130" s="8">
        <v>9125.015564686837</v>
      </c>
      <c r="U130" s="8">
        <v>8781.1914919738483</v>
      </c>
      <c r="V130" s="8">
        <v>9756.8860100490347</v>
      </c>
      <c r="W130" s="8">
        <v>10772.921331542022</v>
      </c>
      <c r="X130" s="8">
        <v>11257.010722281137</v>
      </c>
      <c r="Y130" s="8">
        <v>11758.838237004302</v>
      </c>
      <c r="Z130" s="8">
        <v>11280.292808956508</v>
      </c>
      <c r="AA130" s="8">
        <v>11758.237395791981</v>
      </c>
      <c r="AB130" s="8">
        <v>12561.293395724173</v>
      </c>
      <c r="AC130" s="8">
        <v>12895.684449614981</v>
      </c>
      <c r="AD130" s="8">
        <v>12321.909927679158</v>
      </c>
      <c r="AE130" s="8">
        <v>12094.807025151778</v>
      </c>
      <c r="AF130" s="8">
        <v>11444.331169179588</v>
      </c>
      <c r="AG130" s="8">
        <v>10097.816269061153</v>
      </c>
      <c r="AH130" s="8">
        <v>10885.199315879488</v>
      </c>
      <c r="AI130" s="8">
        <v>11754.586677785886</v>
      </c>
      <c r="AJ130" s="8">
        <v>12709.31943118177</v>
      </c>
      <c r="AK130" s="8">
        <v>13648.975315582358</v>
      </c>
      <c r="AL130" s="8">
        <v>14691.542414500165</v>
      </c>
      <c r="AM130" s="8">
        <v>15568.412077440065</v>
      </c>
    </row>
    <row r="131" spans="1:39">
      <c r="A131" s="19" t="s">
        <v>124</v>
      </c>
      <c r="B131" s="8">
        <v>2250.5214368482038</v>
      </c>
      <c r="C131" s="8">
        <v>2371.0990502035279</v>
      </c>
      <c r="D131" s="8">
        <v>2446.1606354810237</v>
      </c>
      <c r="E131" s="8">
        <v>2457.3643410852715</v>
      </c>
      <c r="F131" s="8">
        <v>2573.2296700987599</v>
      </c>
      <c r="G131" s="8">
        <v>2627.563576702215</v>
      </c>
      <c r="H131" s="8">
        <v>2692.4924924924926</v>
      </c>
      <c r="I131" s="8">
        <v>2683.2844574780056</v>
      </c>
      <c r="J131" s="8">
        <v>2625.2148997134668</v>
      </c>
      <c r="K131" s="8">
        <v>2531.0924369747895</v>
      </c>
      <c r="L131" s="8">
        <v>2483.0105955425647</v>
      </c>
      <c r="M131" s="8">
        <v>2333.9292098677151</v>
      </c>
      <c r="N131" s="8">
        <v>2192.6846342317112</v>
      </c>
      <c r="O131" s="8">
        <v>2142.0250128490666</v>
      </c>
      <c r="P131" s="8">
        <v>2061.3682092555332</v>
      </c>
      <c r="Q131" s="8">
        <v>1964.7309711286089</v>
      </c>
      <c r="R131" s="8">
        <v>1969.1912708600769</v>
      </c>
      <c r="S131" s="8">
        <v>1981.7982112035147</v>
      </c>
      <c r="T131" s="8">
        <v>2011.0463332310526</v>
      </c>
      <c r="U131" s="8">
        <v>2056.6801619433199</v>
      </c>
      <c r="V131" s="8">
        <v>2115.767878077374</v>
      </c>
      <c r="W131" s="8">
        <v>2101.0737294201858</v>
      </c>
      <c r="X131" s="8">
        <v>2140.5791019723038</v>
      </c>
      <c r="Y131" s="8">
        <v>2189.6103896103896</v>
      </c>
      <c r="Z131" s="8">
        <v>2240.8446939321038</v>
      </c>
      <c r="AA131" s="8">
        <v>2287.7876569037658</v>
      </c>
      <c r="AB131" s="8">
        <v>2350.4415717394086</v>
      </c>
      <c r="AC131" s="8">
        <v>2417.0426065162906</v>
      </c>
      <c r="AD131" s="8">
        <v>2377.5622928685407</v>
      </c>
      <c r="AE131" s="8">
        <v>2387.3993026331609</v>
      </c>
      <c r="AF131" s="8">
        <v>2378.6522148916119</v>
      </c>
      <c r="AG131" s="8">
        <v>2389.100565754532</v>
      </c>
      <c r="AH131" s="8">
        <v>2405.5461233729484</v>
      </c>
      <c r="AI131" s="8">
        <v>2457.5424575424577</v>
      </c>
      <c r="AJ131" s="8">
        <v>2638.6408189936833</v>
      </c>
      <c r="AK131" s="8">
        <v>2708.3600598674366</v>
      </c>
      <c r="AL131" s="8">
        <v>2661.6936331162005</v>
      </c>
      <c r="AM131" s="8">
        <v>2776.8484097480382</v>
      </c>
    </row>
    <row r="132" spans="1:39">
      <c r="A132" s="19" t="s">
        <v>125</v>
      </c>
      <c r="B132" s="8">
        <v>4173.2601291240908</v>
      </c>
      <c r="C132" s="8">
        <v>4565.7262547649298</v>
      </c>
      <c r="D132" s="8">
        <v>5082.3194082232149</v>
      </c>
      <c r="E132" s="8">
        <v>5412.7756682795653</v>
      </c>
      <c r="F132" s="8">
        <v>5562.0150378721319</v>
      </c>
      <c r="G132" s="8">
        <v>5964.185063410052</v>
      </c>
      <c r="H132" s="8">
        <v>6093.7130555996682</v>
      </c>
      <c r="I132" s="8">
        <v>6144.3935059115511</v>
      </c>
      <c r="J132" s="8">
        <v>6407.8466692479924</v>
      </c>
      <c r="K132" s="8">
        <v>6829.7702642700915</v>
      </c>
      <c r="L132" s="8">
        <v>6378.8696644014972</v>
      </c>
      <c r="M132" s="8">
        <v>6268.651210974901</v>
      </c>
      <c r="N132" s="8">
        <v>5918.2040640989253</v>
      </c>
      <c r="O132" s="8">
        <v>6093.5542200313621</v>
      </c>
      <c r="P132" s="8">
        <v>6439.180603603405</v>
      </c>
      <c r="Q132" s="8">
        <v>6813.0919139871621</v>
      </c>
      <c r="R132" s="8">
        <v>6921.4142055679049</v>
      </c>
      <c r="S132" s="8">
        <v>6785.7330840085888</v>
      </c>
      <c r="T132" s="8">
        <v>6883.3148539905178</v>
      </c>
      <c r="U132" s="8">
        <v>6474.6339506585546</v>
      </c>
      <c r="V132" s="8">
        <v>6464.9085887149804</v>
      </c>
      <c r="W132" s="8">
        <v>6333.715247435025</v>
      </c>
      <c r="X132" s="8">
        <v>6528.2744640569117</v>
      </c>
      <c r="Y132" s="8">
        <v>6773.1970414275493</v>
      </c>
      <c r="Z132" s="8">
        <v>6966.2444647848997</v>
      </c>
      <c r="AA132" s="8">
        <v>7009.168052535073</v>
      </c>
      <c r="AB132" s="8">
        <v>7137.3297329732968</v>
      </c>
      <c r="AC132" s="8">
        <v>7034.0029084546168</v>
      </c>
      <c r="AD132" s="8">
        <v>6948.4258045725928</v>
      </c>
      <c r="AE132" s="8">
        <v>7143.7929886205748</v>
      </c>
      <c r="AF132" s="8">
        <v>7135.5945635376629</v>
      </c>
      <c r="AG132" s="8">
        <v>7224.5161146251467</v>
      </c>
      <c r="AH132" s="8">
        <v>7210.1940651217101</v>
      </c>
      <c r="AI132" s="8">
        <v>7525.8723839359527</v>
      </c>
      <c r="AJ132" s="8">
        <v>7671.3207040171974</v>
      </c>
      <c r="AK132" s="8">
        <v>7887.5147482434977</v>
      </c>
      <c r="AL132" s="8">
        <v>8248.6850410267198</v>
      </c>
      <c r="AM132" s="8">
        <v>8583.788260788031</v>
      </c>
    </row>
    <row r="133" spans="1:39">
      <c r="A133" s="19" t="s">
        <v>126</v>
      </c>
      <c r="B133" s="8">
        <v>4400.9004399877213</v>
      </c>
      <c r="C133" s="8">
        <v>4289.5927601809954</v>
      </c>
      <c r="D133" s="8">
        <v>4009.2940478544588</v>
      </c>
      <c r="E133" s="8">
        <v>4043.5882467406109</v>
      </c>
      <c r="F133" s="8">
        <v>3529.7499281402702</v>
      </c>
      <c r="G133" s="8">
        <v>3597.1290962319385</v>
      </c>
      <c r="H133" s="8">
        <v>3856.7570084753656</v>
      </c>
      <c r="I133" s="8">
        <v>4088.5703785373025</v>
      </c>
      <c r="J133" s="8">
        <v>4382.4195740824653</v>
      </c>
      <c r="K133" s="8">
        <v>4672.1457923887792</v>
      </c>
      <c r="L133" s="8">
        <v>4820.9099709583743</v>
      </c>
      <c r="M133" s="8">
        <v>4256.1303179967072</v>
      </c>
      <c r="N133" s="8">
        <v>4030.3598840184204</v>
      </c>
      <c r="O133" s="8">
        <v>4281.3994462622704</v>
      </c>
      <c r="P133" s="8">
        <v>4512.2152525586007</v>
      </c>
      <c r="Q133" s="8">
        <v>4686.2060566696437</v>
      </c>
      <c r="R133" s="8">
        <v>4909.439080826618</v>
      </c>
      <c r="S133" s="8">
        <v>5179.6360213366806</v>
      </c>
      <c r="T133" s="8">
        <v>5631.4124816786243</v>
      </c>
      <c r="U133" s="8">
        <v>5743.9866454207449</v>
      </c>
      <c r="V133" s="8">
        <v>6089.2564446431234</v>
      </c>
      <c r="W133" s="8">
        <v>6715.6970362239299</v>
      </c>
      <c r="X133" s="8">
        <v>7059.2464768478576</v>
      </c>
      <c r="Y133" s="8">
        <v>7333.9457320520069</v>
      </c>
      <c r="Z133" s="8">
        <v>8095.1719346995487</v>
      </c>
      <c r="AA133" s="8">
        <v>8572.1430528912024</v>
      </c>
      <c r="AB133" s="8">
        <v>9014.3957826439582</v>
      </c>
      <c r="AC133" s="8">
        <v>9183.236647329466</v>
      </c>
      <c r="AD133" s="8">
        <v>8996.2492597223136</v>
      </c>
      <c r="AE133" s="8">
        <v>9274.6460579296017</v>
      </c>
      <c r="AF133" s="8">
        <v>9478.0375032108914</v>
      </c>
      <c r="AG133" s="8">
        <v>9576.4638638384349</v>
      </c>
      <c r="AH133" s="8">
        <v>9847.163766568252</v>
      </c>
      <c r="AI133" s="8">
        <v>10329.149319579941</v>
      </c>
      <c r="AJ133" s="8">
        <v>10786.746173234156</v>
      </c>
      <c r="AK133" s="8">
        <v>11167.893872086655</v>
      </c>
      <c r="AL133" s="8">
        <v>11574.346306783951</v>
      </c>
      <c r="AM133" s="8">
        <v>11822.943387221856</v>
      </c>
    </row>
    <row r="134" spans="1:39">
      <c r="A134" s="19" t="s">
        <v>127</v>
      </c>
      <c r="B134" s="8">
        <v>4177.3108874335194</v>
      </c>
      <c r="C134" s="8">
        <v>4404.9330635788383</v>
      </c>
      <c r="D134" s="8">
        <v>4610.1730688054031</v>
      </c>
      <c r="E134" s="8">
        <v>4786.033982594281</v>
      </c>
      <c r="F134" s="8">
        <v>4809.3104712255117</v>
      </c>
      <c r="G134" s="8">
        <v>4941.5898111550287</v>
      </c>
      <c r="H134" s="8">
        <v>5043.8627381930592</v>
      </c>
      <c r="I134" s="8">
        <v>5359.8098596948557</v>
      </c>
      <c r="J134" s="8">
        <v>5532.3095407952542</v>
      </c>
      <c r="K134" s="8">
        <v>5639.3852489153614</v>
      </c>
      <c r="L134" s="8">
        <v>5641.3106027909653</v>
      </c>
      <c r="M134" s="8">
        <v>5576.6914380305006</v>
      </c>
      <c r="N134" s="8">
        <v>5552.4181021091508</v>
      </c>
      <c r="O134" s="8">
        <v>5629.0928791521346</v>
      </c>
      <c r="P134" s="8">
        <v>5696.081364044272</v>
      </c>
      <c r="Q134" s="8">
        <v>5910.0061907399568</v>
      </c>
      <c r="R134" s="8">
        <v>6106.4890252084733</v>
      </c>
      <c r="S134" s="8">
        <v>6232.521700980853</v>
      </c>
      <c r="T134" s="8">
        <v>6323.0655722585998</v>
      </c>
      <c r="U134" s="8">
        <v>6579.1204150579151</v>
      </c>
      <c r="V134" s="8">
        <v>6594.0585279337865</v>
      </c>
      <c r="W134" s="8">
        <v>6791.420289855072</v>
      </c>
      <c r="X134" s="8">
        <v>6820.2291921403585</v>
      </c>
      <c r="Y134" s="8">
        <v>7084.4799196226722</v>
      </c>
      <c r="Z134" s="8">
        <v>7317.8417778752082</v>
      </c>
      <c r="AA134" s="8">
        <v>7326.7379966664876</v>
      </c>
      <c r="AB134" s="8">
        <v>7441.8279257636159</v>
      </c>
      <c r="AC134" s="8">
        <v>7356.6275690263647</v>
      </c>
      <c r="AD134" s="8">
        <v>6933.2907837630837</v>
      </c>
      <c r="AE134" s="8">
        <v>7026.4950604559972</v>
      </c>
      <c r="AF134" s="8">
        <v>7061.5125967315244</v>
      </c>
      <c r="AG134" s="8">
        <v>7122.2984813084113</v>
      </c>
      <c r="AH134" s="8">
        <v>7340.382678751258</v>
      </c>
      <c r="AI134" s="8">
        <v>7573.7720417907631</v>
      </c>
      <c r="AJ134" s="8">
        <v>7898.2023362633772</v>
      </c>
      <c r="AK134" s="8">
        <v>8339.6487027786097</v>
      </c>
      <c r="AL134" s="8">
        <v>8857.2078113988227</v>
      </c>
      <c r="AM134" s="8">
        <v>8969.6860825436743</v>
      </c>
    </row>
    <row r="135" spans="1:39">
      <c r="A135" s="19" t="s">
        <v>128</v>
      </c>
      <c r="B135" s="8">
        <v>4972.6688102893886</v>
      </c>
      <c r="C135" s="8">
        <v>5254.9738219895289</v>
      </c>
      <c r="D135" s="8">
        <v>5529.9232736572885</v>
      </c>
      <c r="E135" s="8">
        <v>5702.6486756621689</v>
      </c>
      <c r="F135" s="8">
        <v>5680.1560214529491</v>
      </c>
      <c r="G135" s="8">
        <v>5842.680608365019</v>
      </c>
      <c r="H135" s="8">
        <v>6195.279962980102</v>
      </c>
      <c r="I135" s="8">
        <v>6405.6731202161191</v>
      </c>
      <c r="J135" s="8">
        <v>6539.6408234778801</v>
      </c>
      <c r="K135" s="8">
        <v>6409.0328078397952</v>
      </c>
      <c r="L135" s="8">
        <v>6092.8305014504767</v>
      </c>
      <c r="M135" s="8">
        <v>5491.9419822723603</v>
      </c>
      <c r="N135" s="8">
        <v>5494.1222570532918</v>
      </c>
      <c r="O135" s="8">
        <v>5674.542682926829</v>
      </c>
      <c r="P135" s="8">
        <v>5578.4204671857615</v>
      </c>
      <c r="Q135" s="8">
        <v>5743.7748105377123</v>
      </c>
      <c r="R135" s="8">
        <v>5976.8095572733655</v>
      </c>
      <c r="S135" s="8">
        <v>6043.805612594113</v>
      </c>
      <c r="T135" s="8">
        <v>6186.7289096365457</v>
      </c>
      <c r="U135" s="8">
        <v>6267.5552665799742</v>
      </c>
      <c r="V135" s="8">
        <v>6271.8046305106245</v>
      </c>
      <c r="W135" s="8">
        <v>6682.6625386996902</v>
      </c>
      <c r="X135" s="8">
        <v>7006.6485343003924</v>
      </c>
      <c r="Y135" s="8">
        <v>7162.5368731563422</v>
      </c>
      <c r="Z135" s="8">
        <v>7261.294964028777</v>
      </c>
      <c r="AA135" s="8">
        <v>7144.8217793993826</v>
      </c>
      <c r="AB135" s="8">
        <v>7353.4883720930238</v>
      </c>
      <c r="AC135" s="8">
        <v>7773.2123799359651</v>
      </c>
      <c r="AD135" s="8">
        <v>8210.9375</v>
      </c>
      <c r="AE135" s="8">
        <v>8169.2542631712904</v>
      </c>
      <c r="AF135" s="8">
        <v>8082.4613851519671</v>
      </c>
      <c r="AG135" s="8">
        <v>8148.401269221381</v>
      </c>
      <c r="AH135" s="8">
        <v>8506.4655172413786</v>
      </c>
      <c r="AI135" s="8">
        <v>8708.2059722548784</v>
      </c>
      <c r="AJ135" s="8">
        <v>9063.0922116940146</v>
      </c>
      <c r="AK135" s="8">
        <v>9697.4312343714482</v>
      </c>
      <c r="AL135" s="8">
        <v>10305.69251456746</v>
      </c>
      <c r="AM135" s="8">
        <v>10456.593770709078</v>
      </c>
    </row>
    <row r="136" spans="1:39">
      <c r="A136" s="19" t="s">
        <v>129</v>
      </c>
      <c r="B136" s="8">
        <v>4025.7191201353635</v>
      </c>
      <c r="C136" s="8">
        <v>4147.4501108647455</v>
      </c>
      <c r="D136" s="8">
        <v>4219.3871987787597</v>
      </c>
      <c r="E136" s="8">
        <v>4196.9924812030076</v>
      </c>
      <c r="F136" s="8">
        <v>4535.6234096692106</v>
      </c>
      <c r="G136" s="8">
        <v>4729.5511744966443</v>
      </c>
      <c r="H136" s="8">
        <v>5093.9220779220777</v>
      </c>
      <c r="I136" s="8">
        <v>5387.7319587628872</v>
      </c>
      <c r="J136" s="8">
        <v>5410.1382488479258</v>
      </c>
      <c r="K136" s="8">
        <v>5117.4793851165632</v>
      </c>
      <c r="L136" s="8">
        <v>6093.3765444601986</v>
      </c>
      <c r="M136" s="8">
        <v>6608.1476252899065</v>
      </c>
      <c r="N136" s="8">
        <v>6934.2501505721748</v>
      </c>
      <c r="O136" s="8">
        <v>7443.6900958466449</v>
      </c>
      <c r="P136" s="8">
        <v>7510.1130279595473</v>
      </c>
      <c r="Q136" s="8">
        <v>7451.5970515970512</v>
      </c>
      <c r="R136" s="8">
        <v>7197.6461433712666</v>
      </c>
      <c r="S136" s="8">
        <v>7382.3953823953825</v>
      </c>
      <c r="T136" s="8">
        <v>7354.0833809251853</v>
      </c>
      <c r="U136" s="8">
        <v>7070.6270627062704</v>
      </c>
      <c r="V136" s="8">
        <v>6264.94527083918</v>
      </c>
      <c r="W136" s="8">
        <v>5502.8810408921936</v>
      </c>
      <c r="X136" s="8">
        <v>4657.3646276104237</v>
      </c>
      <c r="Y136" s="8">
        <v>4667.0037694217153</v>
      </c>
      <c r="Z136" s="8">
        <v>4758.4629460201286</v>
      </c>
      <c r="AA136" s="8">
        <v>5108.1056466302362</v>
      </c>
      <c r="AB136" s="8">
        <v>5224.9229094866678</v>
      </c>
      <c r="AC136" s="8">
        <v>5213.3176725695703</v>
      </c>
      <c r="AD136" s="8">
        <v>5522.7334113622046</v>
      </c>
      <c r="AE136" s="8">
        <v>5841.949380721594</v>
      </c>
      <c r="AF136" s="8">
        <v>5998.0311437265082</v>
      </c>
      <c r="AG136" s="8">
        <v>6074.2658216549144</v>
      </c>
      <c r="AH136" s="8">
        <v>6239.9572459250021</v>
      </c>
      <c r="AI136" s="8">
        <v>6508.491153196408</v>
      </c>
      <c r="AJ136" s="8">
        <v>7268.1172291296625</v>
      </c>
      <c r="AK136" s="8">
        <v>8171.5629715097193</v>
      </c>
      <c r="AL136" s="8">
        <v>8751.354712623257</v>
      </c>
      <c r="AM136" s="8">
        <v>8939.0948697430431</v>
      </c>
    </row>
    <row r="137" spans="1:39">
      <c r="A137" s="21" t="s">
        <v>130</v>
      </c>
      <c r="B137" s="8">
        <v>3509.9407783417937</v>
      </c>
      <c r="C137" s="8">
        <v>3767.9967091731796</v>
      </c>
      <c r="D137" s="8">
        <v>4139.9119295436349</v>
      </c>
      <c r="E137" s="8">
        <v>4273.6842105263158</v>
      </c>
      <c r="F137" s="8">
        <v>4381.2689969604862</v>
      </c>
      <c r="G137" s="8">
        <v>4560.0222304557246</v>
      </c>
      <c r="H137" s="8">
        <v>4671.1858279103399</v>
      </c>
      <c r="I137" s="8">
        <v>4658.3127426756082</v>
      </c>
      <c r="J137" s="8">
        <v>4756.8965517241377</v>
      </c>
      <c r="K137" s="8">
        <v>5020.0539265251091</v>
      </c>
      <c r="L137" s="8">
        <v>5119.1496374423205</v>
      </c>
      <c r="M137" s="8">
        <v>5093.6794582392777</v>
      </c>
      <c r="N137" s="8">
        <v>5215.8750197254221</v>
      </c>
      <c r="O137" s="8">
        <v>5171.0444993819528</v>
      </c>
      <c r="P137" s="8">
        <v>4957.1731234866829</v>
      </c>
      <c r="Q137" s="8">
        <v>5028.3214709371296</v>
      </c>
      <c r="R137" s="8">
        <v>5427.4709302325582</v>
      </c>
      <c r="S137" s="8">
        <v>5436.3688185834399</v>
      </c>
      <c r="T137" s="8">
        <v>5566.0377358490568</v>
      </c>
      <c r="U137" s="8">
        <v>5161.4804660726522</v>
      </c>
      <c r="V137" s="8">
        <v>5111.3501882732653</v>
      </c>
      <c r="W137" s="8">
        <v>5542.1559572502974</v>
      </c>
      <c r="X137" s="8">
        <v>5831.6716301955203</v>
      </c>
      <c r="Y137" s="8">
        <v>5856.1260803253681</v>
      </c>
      <c r="Z137" s="8">
        <v>6066.0177212030449</v>
      </c>
      <c r="AA137" s="8">
        <v>6382.2772398578254</v>
      </c>
      <c r="AB137" s="8">
        <v>6771.9446116797117</v>
      </c>
      <c r="AC137" s="8">
        <v>7120.6814955040227</v>
      </c>
      <c r="AD137" s="8">
        <v>7469.8767155152354</v>
      </c>
      <c r="AE137" s="8">
        <v>7760.635864592864</v>
      </c>
      <c r="AF137" s="8">
        <v>7771.2035995500555</v>
      </c>
      <c r="AG137" s="8">
        <v>8089.0979524073045</v>
      </c>
      <c r="AH137" s="8">
        <v>7941.1764705882351</v>
      </c>
      <c r="AI137" s="8">
        <v>7920.2144772117972</v>
      </c>
      <c r="AJ137" s="8">
        <v>8521.3305174234411</v>
      </c>
      <c r="AK137" s="8">
        <v>9288.5075403016126</v>
      </c>
      <c r="AL137" s="8">
        <v>9960.6210158338472</v>
      </c>
      <c r="AM137" s="8">
        <v>10369.180727790203</v>
      </c>
    </row>
    <row r="138" spans="1:39">
      <c r="A138" s="19" t="s">
        <v>131</v>
      </c>
      <c r="B138" s="8">
        <v>2393.9492517891999</v>
      </c>
      <c r="C138" s="8">
        <v>2431.5274048333595</v>
      </c>
      <c r="D138" s="8">
        <v>2743.326173672906</v>
      </c>
      <c r="E138" s="8">
        <v>2887.6304023845009</v>
      </c>
      <c r="F138" s="8">
        <v>3038.9459968148253</v>
      </c>
      <c r="G138" s="8">
        <v>3178.2247854831903</v>
      </c>
      <c r="H138" s="8">
        <v>3159.9234554401314</v>
      </c>
      <c r="I138" s="8">
        <v>3280.4570213896636</v>
      </c>
      <c r="J138" s="8">
        <v>3355.1594989022342</v>
      </c>
      <c r="K138" s="8">
        <v>3408.3657831930659</v>
      </c>
      <c r="L138" s="8">
        <v>3427.4715874373701</v>
      </c>
      <c r="M138" s="8">
        <v>3316.3277440837196</v>
      </c>
      <c r="N138" s="8">
        <v>3147.4062065771195</v>
      </c>
      <c r="O138" s="8">
        <v>3183.3972479133772</v>
      </c>
      <c r="P138" s="8">
        <v>3192.3288273436642</v>
      </c>
      <c r="Q138" s="8">
        <v>3239.0442515804134</v>
      </c>
      <c r="R138" s="8">
        <v>3091.9828577401486</v>
      </c>
      <c r="S138" s="8">
        <v>3270.3529891858802</v>
      </c>
      <c r="T138" s="8">
        <v>3225.067251170668</v>
      </c>
      <c r="U138" s="8">
        <v>3235.7866043613708</v>
      </c>
      <c r="V138" s="8">
        <v>3328.0982295830954</v>
      </c>
      <c r="W138" s="8">
        <v>3305.457254609797</v>
      </c>
      <c r="X138" s="8">
        <v>3246.2155754149189</v>
      </c>
      <c r="Y138" s="8">
        <v>3332.0221705703557</v>
      </c>
      <c r="Z138" s="8">
        <v>3328.0098280098277</v>
      </c>
      <c r="AA138" s="8">
        <v>3349.0858916867887</v>
      </c>
      <c r="AB138" s="8">
        <v>3428.6441540811134</v>
      </c>
      <c r="AC138" s="8">
        <v>3448.4372388433899</v>
      </c>
      <c r="AD138" s="8">
        <v>3185.1882362632837</v>
      </c>
      <c r="AE138" s="8">
        <v>3230.0503819275154</v>
      </c>
      <c r="AF138" s="8">
        <v>3358.7357612706564</v>
      </c>
      <c r="AG138" s="8">
        <v>3458.363045717455</v>
      </c>
      <c r="AH138" s="8">
        <v>3539.8950747787953</v>
      </c>
      <c r="AI138" s="8">
        <v>3779.902454130216</v>
      </c>
      <c r="AJ138" s="8">
        <v>3962.636857820994</v>
      </c>
      <c r="AK138" s="8">
        <v>4072.640509013786</v>
      </c>
      <c r="AL138" s="8">
        <v>4130.9595202398805</v>
      </c>
      <c r="AM138" s="8">
        <v>4354.1063877142224</v>
      </c>
    </row>
    <row r="139" spans="1:39">
      <c r="A139" s="19" t="s">
        <v>132</v>
      </c>
      <c r="B139" s="8">
        <v>4132.7433628318586</v>
      </c>
      <c r="C139" s="8">
        <v>4273.142277453715</v>
      </c>
      <c r="D139" s="8">
        <v>4370.0222606975021</v>
      </c>
      <c r="E139" s="8">
        <v>4495.4106280193237</v>
      </c>
      <c r="F139" s="8">
        <v>4523.022432113341</v>
      </c>
      <c r="G139" s="8">
        <v>4649.2606284658041</v>
      </c>
      <c r="H139" s="8">
        <v>4864.3875933891786</v>
      </c>
      <c r="I139" s="8">
        <v>5025.5385298689762</v>
      </c>
      <c r="J139" s="8">
        <v>4729.3347873500543</v>
      </c>
      <c r="K139" s="8">
        <v>4102.9380227321462</v>
      </c>
      <c r="L139" s="8">
        <v>3617.3986486486488</v>
      </c>
      <c r="M139" s="8">
        <v>3340.6867845993756</v>
      </c>
      <c r="N139" s="8">
        <v>3345.9248614247581</v>
      </c>
      <c r="O139" s="8">
        <v>3346.7071935157046</v>
      </c>
      <c r="P139" s="8">
        <v>3324.2648529705943</v>
      </c>
      <c r="Q139" s="8">
        <v>3289.2137495061238</v>
      </c>
      <c r="R139" s="8">
        <v>3330.3414634146343</v>
      </c>
      <c r="S139" s="8">
        <v>3350.9346694931587</v>
      </c>
      <c r="T139" s="8">
        <v>3339.5472703062587</v>
      </c>
      <c r="U139" s="8">
        <v>3452.9080675422138</v>
      </c>
      <c r="V139" s="8">
        <v>3524.1264559068222</v>
      </c>
      <c r="W139" s="8">
        <v>3732.0225741853264</v>
      </c>
      <c r="X139" s="8">
        <v>3946.0380064539258</v>
      </c>
      <c r="Y139" s="8">
        <v>4125.6627783669137</v>
      </c>
      <c r="Z139" s="8">
        <v>4335.8938547486032</v>
      </c>
      <c r="AA139" s="8">
        <v>4364.0290255701448</v>
      </c>
      <c r="AB139" s="8">
        <v>4511.2215179030327</v>
      </c>
      <c r="AC139" s="8">
        <v>4646.8787208708964</v>
      </c>
      <c r="AD139" s="8">
        <v>4778.6608048698008</v>
      </c>
      <c r="AE139" s="8">
        <v>4856.1816652649286</v>
      </c>
      <c r="AF139" s="8">
        <v>4915.9551314247446</v>
      </c>
      <c r="AG139" s="8">
        <v>5011.6744496330884</v>
      </c>
      <c r="AH139" s="8">
        <v>5109.1906265580856</v>
      </c>
      <c r="AI139" s="8">
        <v>5186.3508365081998</v>
      </c>
      <c r="AJ139" s="8">
        <v>5326.9516421851795</v>
      </c>
      <c r="AK139" s="8">
        <v>5528.9378493916474</v>
      </c>
      <c r="AL139" s="8">
        <v>5762.403798919273</v>
      </c>
      <c r="AM139" s="8">
        <v>5883.1105314639708</v>
      </c>
    </row>
    <row r="140" spans="1:39">
      <c r="A140" s="19" t="s">
        <v>133</v>
      </c>
      <c r="B140" s="8">
        <v>3027.6481149012566</v>
      </c>
      <c r="C140" s="8">
        <v>3161.7467248908297</v>
      </c>
      <c r="D140" s="8">
        <v>3285.0101971447993</v>
      </c>
      <c r="E140" s="8">
        <v>3401.886168100596</v>
      </c>
      <c r="F140" s="8">
        <v>3378.787878787879</v>
      </c>
      <c r="G140" s="8">
        <v>3537.7966368065377</v>
      </c>
      <c r="H140" s="8">
        <v>3721.6684557583194</v>
      </c>
      <c r="I140" s="8">
        <v>3813.9500074839098</v>
      </c>
      <c r="J140" s="8">
        <v>3898.5973115137344</v>
      </c>
      <c r="K140" s="8">
        <v>3947.6686154284898</v>
      </c>
      <c r="L140" s="8">
        <v>3876.0606482125468</v>
      </c>
      <c r="M140" s="8">
        <v>3646.8593135259798</v>
      </c>
      <c r="N140" s="8">
        <v>3465.6609765780072</v>
      </c>
      <c r="O140" s="8">
        <v>3398.3214977404778</v>
      </c>
      <c r="P140" s="8">
        <v>3296.6603654694395</v>
      </c>
      <c r="Q140" s="8">
        <v>3224.6430329886753</v>
      </c>
      <c r="R140" s="8">
        <v>3262.1767889356588</v>
      </c>
      <c r="S140" s="8">
        <v>3312.2943112364837</v>
      </c>
      <c r="T140" s="8">
        <v>3364.9626651349799</v>
      </c>
      <c r="U140" s="8">
        <v>3390.3233048944771</v>
      </c>
      <c r="V140" s="8">
        <v>3434.181658622203</v>
      </c>
      <c r="W140" s="8">
        <v>3517.3078984031722</v>
      </c>
      <c r="X140" s="8">
        <v>3571.2490838655635</v>
      </c>
      <c r="Y140" s="8">
        <v>3629.8076923076924</v>
      </c>
      <c r="Z140" s="8">
        <v>3722.610955617753</v>
      </c>
      <c r="AA140" s="8">
        <v>3746.1651196873477</v>
      </c>
      <c r="AB140" s="8">
        <v>3821.6025212491645</v>
      </c>
      <c r="AC140" s="8">
        <v>3921.4112376330036</v>
      </c>
      <c r="AD140" s="8">
        <v>3978.6613167973737</v>
      </c>
      <c r="AE140" s="8">
        <v>4025.7369311603884</v>
      </c>
      <c r="AF140" s="8">
        <v>4020.7735767057798</v>
      </c>
      <c r="AG140" s="8">
        <v>4074.2813533452049</v>
      </c>
      <c r="AH140" s="8">
        <v>4074.7725392886682</v>
      </c>
      <c r="AI140" s="8">
        <v>4099.1368879567635</v>
      </c>
      <c r="AJ140" s="8">
        <v>4128.4815106215574</v>
      </c>
      <c r="AK140" s="8">
        <v>4244.070918719779</v>
      </c>
      <c r="AL140" s="8">
        <v>4402.3823793826787</v>
      </c>
      <c r="AM140" s="8">
        <v>4469.8742322316466</v>
      </c>
    </row>
    <row r="141" spans="1:39">
      <c r="A141" s="19" t="s">
        <v>134</v>
      </c>
      <c r="B141" s="8">
        <v>2266.8334375651452</v>
      </c>
      <c r="C141" s="8">
        <v>2258.7584511370619</v>
      </c>
      <c r="D141" s="8">
        <v>2246.9284994964755</v>
      </c>
      <c r="E141" s="8">
        <v>2347.7830562153604</v>
      </c>
      <c r="F141" s="8">
        <v>2252.3328149300155</v>
      </c>
      <c r="G141" s="8">
        <v>2399.732875405457</v>
      </c>
      <c r="H141" s="8">
        <v>2364.708083832335</v>
      </c>
      <c r="I141" s="8">
        <v>2428.7548138639281</v>
      </c>
      <c r="J141" s="8">
        <v>2552.2629310344828</v>
      </c>
      <c r="K141" s="8">
        <v>2686.17114742576</v>
      </c>
      <c r="L141" s="8">
        <v>2554.8109965635736</v>
      </c>
      <c r="M141" s="8">
        <v>2410.6093671311064</v>
      </c>
      <c r="N141" s="8">
        <v>2372.3561239547466</v>
      </c>
      <c r="O141" s="8">
        <v>2324.5234662822359</v>
      </c>
      <c r="P141" s="8">
        <v>2276.4991388758417</v>
      </c>
      <c r="Q141" s="8">
        <v>2223.3619105939988</v>
      </c>
      <c r="R141" s="8">
        <v>2159.0772917914919</v>
      </c>
      <c r="S141" s="8">
        <v>2129.9120234604106</v>
      </c>
      <c r="T141" s="8">
        <v>2107.6812634601579</v>
      </c>
      <c r="U141" s="8">
        <v>2062.7285513361462</v>
      </c>
      <c r="V141" s="8">
        <v>2107.2363886974499</v>
      </c>
      <c r="W141" s="8">
        <v>1793.7559129612109</v>
      </c>
      <c r="X141" s="8">
        <v>1716.4634146341464</v>
      </c>
      <c r="Y141" s="8">
        <v>1544.544153986214</v>
      </c>
      <c r="Z141" s="8">
        <v>1455.7172026544154</v>
      </c>
      <c r="AA141" s="8">
        <v>1487.7865464111237</v>
      </c>
      <c r="AB141" s="8">
        <v>1500.0614930512852</v>
      </c>
      <c r="AC141" s="8">
        <v>1505.7374078995049</v>
      </c>
      <c r="AD141" s="8">
        <v>1519.1645900083067</v>
      </c>
      <c r="AE141" s="8">
        <v>1499.1251603872622</v>
      </c>
      <c r="AF141" s="8">
        <v>1458.8208304657032</v>
      </c>
      <c r="AG141" s="8">
        <v>1431.5540006771243</v>
      </c>
      <c r="AH141" s="8">
        <v>1413.7701277068295</v>
      </c>
      <c r="AI141" s="8">
        <v>1342.5510984807083</v>
      </c>
      <c r="AJ141" s="8">
        <v>1345.094664371773</v>
      </c>
      <c r="AK141" s="8">
        <v>1354.2240101630321</v>
      </c>
      <c r="AL141" s="8">
        <v>1376.6125676238037</v>
      </c>
      <c r="AM141" s="8">
        <v>1370.1431492842537</v>
      </c>
    </row>
    <row r="142" spans="1:39">
      <c r="A142" s="19" t="s">
        <v>135</v>
      </c>
      <c r="B142" s="8">
        <v>2785.6109906001448</v>
      </c>
      <c r="C142" s="8">
        <v>2865.3305203938112</v>
      </c>
      <c r="D142" s="8">
        <v>3003.4164673727364</v>
      </c>
      <c r="E142" s="8">
        <v>2880.8891838088921</v>
      </c>
      <c r="F142" s="8">
        <v>2855.1191242755958</v>
      </c>
      <c r="G142" s="8">
        <v>3059.3193880736812</v>
      </c>
      <c r="H142" s="8">
        <v>3272.6172465960663</v>
      </c>
      <c r="I142" s="8">
        <v>3488.4198182351215</v>
      </c>
      <c r="J142" s="8">
        <v>3537.0633342800343</v>
      </c>
      <c r="K142" s="8">
        <v>3450.8670520231212</v>
      </c>
      <c r="L142" s="8">
        <v>3429.5624332977586</v>
      </c>
      <c r="M142" s="8">
        <v>3279.6895213454072</v>
      </c>
      <c r="N142" s="8">
        <v>3152.1084337349398</v>
      </c>
      <c r="O142" s="8">
        <v>3191.4271797369702</v>
      </c>
      <c r="P142" s="8">
        <v>3226.8967147246517</v>
      </c>
      <c r="Q142" s="8">
        <v>3154.8520302821748</v>
      </c>
      <c r="R142" s="8">
        <v>3248.1621742036091</v>
      </c>
      <c r="S142" s="8">
        <v>3300.0865426222417</v>
      </c>
      <c r="T142" s="8">
        <v>3345.8788898233806</v>
      </c>
      <c r="U142" s="8">
        <v>3256.5937436107138</v>
      </c>
      <c r="V142" s="8">
        <v>3270.8830548926016</v>
      </c>
      <c r="W142" s="8">
        <v>3363.2139399806388</v>
      </c>
      <c r="X142" s="8">
        <v>3479.9170280973035</v>
      </c>
      <c r="Y142" s="8">
        <v>3349.2092681132772</v>
      </c>
      <c r="Z142" s="8">
        <v>3402.6929982046677</v>
      </c>
      <c r="AA142" s="8">
        <v>3445.3412879452535</v>
      </c>
      <c r="AB142" s="8">
        <v>3539.0557939914161</v>
      </c>
      <c r="AC142" s="8">
        <v>3565.8093797276856</v>
      </c>
      <c r="AD142" s="8">
        <v>3427.536231884058</v>
      </c>
      <c r="AE142" s="8">
        <v>3552.130406714009</v>
      </c>
      <c r="AF142" s="8">
        <v>3577.2151898734178</v>
      </c>
      <c r="AG142" s="8">
        <v>3639.0009308098047</v>
      </c>
      <c r="AH142" s="8">
        <v>3730.8687053095996</v>
      </c>
      <c r="AI142" s="8">
        <v>3887.1978513876456</v>
      </c>
      <c r="AJ142" s="8">
        <v>4042.7275387767049</v>
      </c>
      <c r="AK142" s="8">
        <v>4213.2300186540388</v>
      </c>
      <c r="AL142" s="8">
        <v>4393.5810810810808</v>
      </c>
      <c r="AM142" s="8">
        <v>4490.8864954432484</v>
      </c>
    </row>
    <row r="143" spans="1:39">
      <c r="A143" s="19" t="s">
        <v>136</v>
      </c>
      <c r="B143" s="8">
        <v>3932.4894514767934</v>
      </c>
      <c r="C143" s="8">
        <v>4570.909090909091</v>
      </c>
      <c r="D143" s="8">
        <v>4251.5337423312885</v>
      </c>
      <c r="E143" s="8">
        <v>4010.0704934541791</v>
      </c>
      <c r="F143" s="8">
        <v>3946.3487332339791</v>
      </c>
      <c r="G143" s="8">
        <v>3636.8989205103044</v>
      </c>
      <c r="H143" s="8">
        <v>3506.5565808644969</v>
      </c>
      <c r="I143" s="8">
        <v>3469.2307692307691</v>
      </c>
      <c r="J143" s="8">
        <v>3393.0608365019011</v>
      </c>
      <c r="K143" s="8">
        <v>3155.649320206282</v>
      </c>
      <c r="L143" s="8">
        <v>3195.6521739130435</v>
      </c>
      <c r="M143" s="8">
        <v>3205.454545454545</v>
      </c>
      <c r="N143" s="8">
        <v>3207.0504239178936</v>
      </c>
      <c r="O143" s="8">
        <v>3103.5087719298249</v>
      </c>
      <c r="P143" s="8">
        <v>2971.4409346603202</v>
      </c>
      <c r="Q143" s="8">
        <v>2995.2910958904113</v>
      </c>
      <c r="R143" s="8">
        <v>3209.6980008507016</v>
      </c>
      <c r="S143" s="8">
        <v>3330.2207130730053</v>
      </c>
      <c r="T143" s="8">
        <v>3540.6315789473683</v>
      </c>
      <c r="U143" s="8">
        <v>3666.1087866108783</v>
      </c>
      <c r="V143" s="8">
        <v>3817.9551122194512</v>
      </c>
      <c r="W143" s="8">
        <v>3865.4560462236896</v>
      </c>
      <c r="X143" s="8">
        <v>4198.2793936911103</v>
      </c>
      <c r="Y143" s="8">
        <v>4223.1707317073169</v>
      </c>
      <c r="Z143" s="8">
        <v>4287.5</v>
      </c>
      <c r="AA143" s="8">
        <v>4231.4741035856578</v>
      </c>
      <c r="AB143" s="8">
        <v>4143.6464088397797</v>
      </c>
      <c r="AC143" s="8">
        <v>4010.5592491200628</v>
      </c>
      <c r="AD143" s="8">
        <v>4026.0295260295261</v>
      </c>
      <c r="AE143" s="8">
        <v>4037.8524526844344</v>
      </c>
      <c r="AF143" s="8">
        <v>4066.7946257197696</v>
      </c>
      <c r="AG143" s="8">
        <v>4087.5047764615974</v>
      </c>
      <c r="AH143" s="8">
        <v>4278.3701447067788</v>
      </c>
      <c r="AI143" s="8">
        <v>4318.4230477634574</v>
      </c>
      <c r="AJ143" s="8">
        <v>4343.0188679245284</v>
      </c>
      <c r="AK143" s="8">
        <v>4438.9785955689076</v>
      </c>
      <c r="AL143" s="8">
        <v>4480.5680119581466</v>
      </c>
      <c r="AM143" s="8">
        <v>4400.8925251022683</v>
      </c>
    </row>
    <row r="144" spans="1:39">
      <c r="A144" s="19" t="s">
        <v>137</v>
      </c>
      <c r="B144" s="8" t="e">
        <v>#VALUE!</v>
      </c>
      <c r="C144" s="8" t="e">
        <v>#VALUE!</v>
      </c>
      <c r="D144" s="8" t="e">
        <v>#VALUE!</v>
      </c>
      <c r="E144" s="8" t="e">
        <v>#VALUE!</v>
      </c>
      <c r="F144" s="8" t="e">
        <v>#VALUE!</v>
      </c>
      <c r="G144" s="8" t="e">
        <v>#VALUE!</v>
      </c>
      <c r="H144" s="8" t="e">
        <v>#VALUE!</v>
      </c>
      <c r="I144" s="8" t="e">
        <v>#VALUE!</v>
      </c>
      <c r="J144" s="8" t="e">
        <v>#VALUE!</v>
      </c>
      <c r="K144" s="8">
        <v>13448.275862068966</v>
      </c>
      <c r="L144" s="8">
        <v>13531.428571428572</v>
      </c>
      <c r="M144" s="8">
        <v>13129.943502824859</v>
      </c>
      <c r="N144" s="8">
        <v>12983.146067415732</v>
      </c>
      <c r="O144" s="8">
        <v>12605.555555555557</v>
      </c>
      <c r="P144" s="8">
        <v>12203.296703296704</v>
      </c>
      <c r="Q144" s="8">
        <v>11407.608695652174</v>
      </c>
      <c r="R144" s="8">
        <v>11419.354838709678</v>
      </c>
      <c r="S144" s="8">
        <v>11468.08510638298</v>
      </c>
      <c r="T144" s="8">
        <v>12296.296296296296</v>
      </c>
      <c r="U144" s="8">
        <v>12350.785340314136</v>
      </c>
      <c r="V144" s="8">
        <v>12505.208333333334</v>
      </c>
      <c r="W144" s="8">
        <v>12906.25</v>
      </c>
      <c r="X144" s="8">
        <v>13500</v>
      </c>
      <c r="Y144" s="8">
        <v>14229.166666666666</v>
      </c>
      <c r="Z144" s="8">
        <v>14345.549738219896</v>
      </c>
      <c r="AA144" s="8">
        <v>14687.830687830688</v>
      </c>
      <c r="AB144" s="8">
        <v>14849.462365591398</v>
      </c>
      <c r="AC144" s="8">
        <v>15119.565217391304</v>
      </c>
      <c r="AD144" s="8">
        <v>15175.824175824177</v>
      </c>
      <c r="AE144" s="8">
        <v>14955.801104972375</v>
      </c>
      <c r="AF144" s="8">
        <v>15127.777777777779</v>
      </c>
      <c r="AG144" s="8">
        <v>15104.972375690608</v>
      </c>
      <c r="AH144" s="8">
        <v>15230.76923076923</v>
      </c>
      <c r="AI144" s="8">
        <v>15217.391304347826</v>
      </c>
      <c r="AJ144" s="8">
        <v>15279.569892473119</v>
      </c>
      <c r="AK144" s="8">
        <v>15306.878306878307</v>
      </c>
      <c r="AL144" s="8">
        <v>15418.848167539267</v>
      </c>
      <c r="AM144" s="8">
        <v>15489.690721649484</v>
      </c>
    </row>
    <row r="145" spans="1:39">
      <c r="A145" s="19" t="s">
        <v>138</v>
      </c>
      <c r="B145" s="8">
        <v>5107.6051779935278</v>
      </c>
      <c r="C145" s="8">
        <v>5059.5844766758128</v>
      </c>
      <c r="D145" s="8">
        <v>5218.4650455927049</v>
      </c>
      <c r="E145" s="8">
        <v>5774.6686303387332</v>
      </c>
      <c r="F145" s="8">
        <v>5588.8650963597429</v>
      </c>
      <c r="G145" s="8">
        <v>5701.0380622837365</v>
      </c>
      <c r="H145" s="8">
        <v>5991.6107382550335</v>
      </c>
      <c r="I145" s="8">
        <v>5356.4453125</v>
      </c>
      <c r="J145" s="8">
        <v>3823.6409608091021</v>
      </c>
      <c r="K145" s="8">
        <v>3885.7844642308874</v>
      </c>
      <c r="L145" s="8">
        <v>3980.5970149253731</v>
      </c>
      <c r="M145" s="8">
        <v>3841.4173685739179</v>
      </c>
      <c r="N145" s="8">
        <v>3912.8959276018099</v>
      </c>
      <c r="O145" s="8">
        <v>3755.9293987865417</v>
      </c>
      <c r="P145" s="8">
        <v>3516.2853297442803</v>
      </c>
      <c r="Q145" s="8">
        <v>3403.7904711766255</v>
      </c>
      <c r="R145" s="8">
        <v>3308.1679979386759</v>
      </c>
      <c r="S145" s="8">
        <v>2836.4875094625281</v>
      </c>
      <c r="T145" s="8">
        <v>2729.0689059026918</v>
      </c>
      <c r="U145" s="8">
        <v>2666.0226998309586</v>
      </c>
      <c r="V145" s="8">
        <v>2598.8207547169809</v>
      </c>
      <c r="W145" s="8">
        <v>2545.0989415554532</v>
      </c>
      <c r="X145" s="8">
        <v>2473.731477323754</v>
      </c>
      <c r="Y145" s="8">
        <v>2496.3823722867792</v>
      </c>
      <c r="Z145" s="8">
        <v>2585.5488850771872</v>
      </c>
      <c r="AA145" s="8">
        <v>2692.9861402771949</v>
      </c>
      <c r="AB145" s="8">
        <v>2746.0350154479916</v>
      </c>
      <c r="AC145" s="8">
        <v>2796.7233009708739</v>
      </c>
      <c r="AD145" s="8">
        <v>2943.5163086714401</v>
      </c>
      <c r="AE145" s="8">
        <v>3016.2490211433046</v>
      </c>
      <c r="AF145" s="8">
        <v>3059.9922839506171</v>
      </c>
      <c r="AG145" s="8">
        <v>3040.9056316590563</v>
      </c>
      <c r="AH145" s="8">
        <v>3077.183098591549</v>
      </c>
      <c r="AI145" s="8">
        <v>3199.1101223581759</v>
      </c>
      <c r="AJ145" s="8">
        <v>3295.9912136188905</v>
      </c>
      <c r="AK145" s="8">
        <v>3375.0903832248732</v>
      </c>
      <c r="AL145" s="8">
        <v>3461.0169491525421</v>
      </c>
      <c r="AM145" s="8">
        <v>3536.1042620641069</v>
      </c>
    </row>
    <row r="146" spans="1:39">
      <c r="A146" s="19" t="s">
        <v>139</v>
      </c>
      <c r="B146" s="8">
        <v>4487.4112330535836</v>
      </c>
      <c r="C146" s="8">
        <v>4566.582914572864</v>
      </c>
      <c r="D146" s="8">
        <v>4686.8501529051991</v>
      </c>
      <c r="E146" s="8">
        <v>4675.4020250148897</v>
      </c>
      <c r="F146" s="8">
        <v>4628.5548461984908</v>
      </c>
      <c r="G146" s="8">
        <v>4584.841628959276</v>
      </c>
      <c r="H146" s="8">
        <v>4522.3386651958081</v>
      </c>
      <c r="I146" s="8">
        <v>4840.2366863905327</v>
      </c>
      <c r="J146" s="8">
        <v>4939.0756302521013</v>
      </c>
      <c r="K146" s="8">
        <v>4877.8860954335551</v>
      </c>
      <c r="L146" s="8">
        <v>5204.0100250626565</v>
      </c>
      <c r="M146" s="8">
        <v>5361.7647058823532</v>
      </c>
      <c r="N146" s="8">
        <v>5010.0719424460431</v>
      </c>
      <c r="O146" s="8">
        <v>5037.0892018779341</v>
      </c>
      <c r="P146" s="8">
        <v>5174.6323529411757</v>
      </c>
      <c r="Q146" s="8">
        <v>5250.3376857271496</v>
      </c>
      <c r="R146" s="8">
        <v>5048.5008818342158</v>
      </c>
      <c r="S146" s="8">
        <v>4286.0847018150389</v>
      </c>
      <c r="T146" s="8">
        <v>4264.6062658763758</v>
      </c>
      <c r="U146" s="8">
        <v>4516.3832434674405</v>
      </c>
      <c r="V146" s="8">
        <v>4841.5278342137344</v>
      </c>
      <c r="W146" s="8">
        <v>5132.1656050955417</v>
      </c>
      <c r="X146" s="8">
        <v>5302.2620904836194</v>
      </c>
      <c r="Y146" s="8">
        <v>5343.1410011463504</v>
      </c>
      <c r="Z146" s="8">
        <v>5328.8389513108614</v>
      </c>
      <c r="AA146" s="8">
        <v>5368.0733944954127</v>
      </c>
      <c r="AB146" s="8">
        <v>5599.7842502696867</v>
      </c>
      <c r="AC146" s="8">
        <v>5892.1395840676769</v>
      </c>
      <c r="AD146" s="8">
        <v>6004.4936052540615</v>
      </c>
      <c r="AE146" s="8">
        <v>6048.4745762711864</v>
      </c>
      <c r="AF146" s="8">
        <v>5969.7272122421828</v>
      </c>
      <c r="AG146" s="8">
        <v>5989.2262487757098</v>
      </c>
      <c r="AH146" s="8">
        <v>6129.208079512664</v>
      </c>
      <c r="AI146" s="8">
        <v>6474.0157480314965</v>
      </c>
      <c r="AJ146" s="8">
        <v>6817.1410891089108</v>
      </c>
      <c r="AK146" s="8">
        <v>7272.5060827250609</v>
      </c>
      <c r="AL146" s="8">
        <v>7983.2385513319359</v>
      </c>
      <c r="AM146" s="8">
        <v>8577.3195876288664</v>
      </c>
    </row>
    <row r="147" spans="1:39">
      <c r="A147" s="19" t="s">
        <v>140</v>
      </c>
      <c r="B147" s="8">
        <v>2659.6009975062343</v>
      </c>
      <c r="C147" s="8">
        <v>2765.3268371904182</v>
      </c>
      <c r="D147" s="8">
        <v>2894.9246629659001</v>
      </c>
      <c r="E147" s="8">
        <v>3054.5032856590642</v>
      </c>
      <c r="F147" s="8">
        <v>3159.83452425724</v>
      </c>
      <c r="G147" s="8">
        <v>3281.3868613138684</v>
      </c>
      <c r="H147" s="8">
        <v>3527.2277227722775</v>
      </c>
      <c r="I147" s="8">
        <v>3801.163586584531</v>
      </c>
      <c r="J147" s="8">
        <v>4098.0781974817764</v>
      </c>
      <c r="K147" s="8">
        <v>4560.3725112395632</v>
      </c>
      <c r="L147" s="8">
        <v>4803.053910875662</v>
      </c>
      <c r="M147" s="8">
        <v>4491.5254237288136</v>
      </c>
      <c r="N147" s="8">
        <v>4232.6470588235297</v>
      </c>
      <c r="O147" s="8">
        <v>4237.0751213938875</v>
      </c>
      <c r="P147" s="8">
        <v>4273.7600443336105</v>
      </c>
      <c r="Q147" s="8">
        <v>4142.8955143701314</v>
      </c>
      <c r="R147" s="8">
        <v>4186.2643080124863</v>
      </c>
      <c r="S147" s="8">
        <v>4312.1693121693124</v>
      </c>
      <c r="T147" s="8">
        <v>4423.0581338544207</v>
      </c>
      <c r="U147" s="8">
        <v>4424.5081772931971</v>
      </c>
      <c r="V147" s="8">
        <v>4406.35798203179</v>
      </c>
      <c r="W147" s="8">
        <v>4432.6686085592646</v>
      </c>
      <c r="X147" s="8">
        <v>4490.3888160768893</v>
      </c>
      <c r="Y147" s="8">
        <v>4547.4514821923649</v>
      </c>
      <c r="Z147" s="8">
        <v>4685.5594915607417</v>
      </c>
      <c r="AA147" s="8">
        <v>4598.8999796292528</v>
      </c>
      <c r="AB147" s="8">
        <v>4633.5193304105223</v>
      </c>
      <c r="AC147" s="8">
        <v>4561.3419153501072</v>
      </c>
      <c r="AD147" s="8">
        <v>4399.4653427534849</v>
      </c>
      <c r="AE147" s="8">
        <v>4165.5443322109986</v>
      </c>
      <c r="AF147" s="8">
        <v>4165.872434017595</v>
      </c>
      <c r="AG147" s="8">
        <v>4080.8334830249682</v>
      </c>
      <c r="AH147" s="8">
        <v>4155.3637484586934</v>
      </c>
      <c r="AI147" s="8">
        <v>4244.1257774706291</v>
      </c>
      <c r="AJ147" s="8">
        <v>4284.1159518562472</v>
      </c>
      <c r="AK147" s="8">
        <v>4382.3138297872338</v>
      </c>
      <c r="AL147" s="8">
        <v>4599.1830065359472</v>
      </c>
      <c r="AM147" s="8">
        <v>4781.114501365023</v>
      </c>
    </row>
    <row r="148" spans="1:39">
      <c r="A148" s="19" t="s">
        <v>141</v>
      </c>
      <c r="B148" s="8">
        <v>4834.2545508143558</v>
      </c>
      <c r="C148" s="8">
        <v>4835.8176866848216</v>
      </c>
      <c r="D148" s="8">
        <v>4955.8126568162807</v>
      </c>
      <c r="E148" s="8">
        <v>5265.930043383948</v>
      </c>
      <c r="F148" s="8">
        <v>5297.1511474544977</v>
      </c>
      <c r="G148" s="8">
        <v>5254.7799307070445</v>
      </c>
      <c r="H148" s="8">
        <v>5134.3031968031974</v>
      </c>
      <c r="I148" s="8">
        <v>5012.6436082912887</v>
      </c>
      <c r="J148" s="8">
        <v>5165.3641207815272</v>
      </c>
      <c r="K148" s="8">
        <v>5189.7506925207754</v>
      </c>
      <c r="L148" s="8">
        <v>5425.250478441968</v>
      </c>
      <c r="M148" s="8">
        <v>5263.2533098939739</v>
      </c>
      <c r="N148" s="8">
        <v>4533.1259052625937</v>
      </c>
      <c r="O148" s="8">
        <v>4658.8753209999477</v>
      </c>
      <c r="P148" s="8">
        <v>4680.4097311139567</v>
      </c>
      <c r="Q148" s="8">
        <v>5032.7425653349355</v>
      </c>
      <c r="R148" s="8">
        <v>5315.039655341232</v>
      </c>
      <c r="S148" s="8">
        <v>4747.5811859373507</v>
      </c>
      <c r="T148" s="8">
        <v>4103.4741431853345</v>
      </c>
      <c r="U148" s="8">
        <v>3812.5459221160913</v>
      </c>
      <c r="V148" s="8">
        <v>3817.6253488162752</v>
      </c>
      <c r="W148" s="8">
        <v>3727.918781725888</v>
      </c>
      <c r="X148" s="8">
        <v>3832.4598258760343</v>
      </c>
      <c r="Y148" s="8">
        <v>4244.8016328613348</v>
      </c>
      <c r="Z148" s="8">
        <v>4528.2128388255442</v>
      </c>
      <c r="AA148" s="8">
        <v>4561.4560676324536</v>
      </c>
      <c r="AB148" s="8">
        <v>4791.9877355065155</v>
      </c>
      <c r="AC148" s="8">
        <v>4682.0490437266881</v>
      </c>
      <c r="AD148" s="8">
        <v>4649.9531396438615</v>
      </c>
      <c r="AE148" s="8">
        <v>4714.2362713428702</v>
      </c>
      <c r="AF148" s="8">
        <v>4655.2860932171279</v>
      </c>
      <c r="AG148" s="8">
        <v>4820.4745002802174</v>
      </c>
      <c r="AH148" s="8">
        <v>4947.1821901146286</v>
      </c>
      <c r="AI148" s="8">
        <v>5126.1323534761887</v>
      </c>
      <c r="AJ148" s="8">
        <v>5407.4220433970404</v>
      </c>
      <c r="AK148" s="8">
        <v>5755.6785917092566</v>
      </c>
      <c r="AL148" s="8">
        <v>6192.5073663533049</v>
      </c>
      <c r="AM148" s="8">
        <v>6724.1044491451958</v>
      </c>
    </row>
    <row r="149" spans="1:39">
      <c r="A149" s="19" t="s">
        <v>142</v>
      </c>
      <c r="B149" s="8">
        <v>6609.5820591233432</v>
      </c>
      <c r="C149" s="8">
        <v>6935.2881698685542</v>
      </c>
      <c r="D149" s="8">
        <v>7000</v>
      </c>
      <c r="E149" s="8">
        <v>7216.3509471585248</v>
      </c>
      <c r="F149" s="8">
        <v>7257.905138339921</v>
      </c>
      <c r="G149" s="8">
        <v>7639.2961876832851</v>
      </c>
      <c r="H149" s="8">
        <v>8239.6135265700486</v>
      </c>
      <c r="I149" s="8">
        <v>8943.7559580552916</v>
      </c>
      <c r="J149" s="8">
        <v>9135.3383458646604</v>
      </c>
      <c r="K149" s="8">
        <v>9916.8207024029562</v>
      </c>
      <c r="L149" s="8">
        <v>10191.64396003633</v>
      </c>
      <c r="M149" s="8">
        <v>10404.634581105169</v>
      </c>
      <c r="N149" s="8">
        <v>9272.9658792650916</v>
      </c>
      <c r="O149" s="8">
        <v>8589.8538263112641</v>
      </c>
      <c r="P149" s="8">
        <v>8123.8337574215429</v>
      </c>
      <c r="Q149" s="8">
        <v>7771.8120805369135</v>
      </c>
      <c r="R149" s="8">
        <v>7361.3655287260608</v>
      </c>
      <c r="S149" s="8">
        <v>7026.4681555004136</v>
      </c>
      <c r="T149" s="8">
        <v>6928.4539473684208</v>
      </c>
      <c r="U149" s="8">
        <v>6986.9281045751632</v>
      </c>
      <c r="V149" s="8">
        <v>7121.6545012165443</v>
      </c>
      <c r="W149" s="8">
        <v>6953.3011272141712</v>
      </c>
      <c r="X149" s="8">
        <v>6797.9233226837059</v>
      </c>
      <c r="Y149" s="8">
        <v>6984.1521394611727</v>
      </c>
      <c r="Z149" s="8">
        <v>7214.9606299212601</v>
      </c>
      <c r="AA149" s="8">
        <v>7458.8880187940495</v>
      </c>
      <c r="AB149" s="8">
        <v>7618.3800623052957</v>
      </c>
      <c r="AC149" s="8">
        <v>8172.0930232558139</v>
      </c>
      <c r="AD149" s="8">
        <v>8498.0694980694989</v>
      </c>
      <c r="AE149" s="8">
        <v>8977.7094542659506</v>
      </c>
      <c r="AF149" s="8">
        <v>9316.4750957854412</v>
      </c>
      <c r="AG149" s="8">
        <v>10025.190839694656</v>
      </c>
      <c r="AH149" s="8">
        <v>11429.657794676807</v>
      </c>
      <c r="AI149" s="8">
        <v>12283.548142532223</v>
      </c>
      <c r="AJ149" s="8">
        <v>12984.138972809667</v>
      </c>
      <c r="AK149" s="8">
        <v>14524.096385542169</v>
      </c>
      <c r="AL149" s="8">
        <v>15265.5663915979</v>
      </c>
      <c r="AM149" s="8">
        <v>15725.710014947683</v>
      </c>
    </row>
    <row r="150" spans="1:39">
      <c r="A150" s="19" t="s">
        <v>143</v>
      </c>
      <c r="B150" s="8">
        <v>6330.4934327298542</v>
      </c>
      <c r="C150" s="8">
        <v>6240.4255319148942</v>
      </c>
      <c r="D150" s="8">
        <v>6255.2286423254163</v>
      </c>
      <c r="E150" s="8">
        <v>6431.8101310662414</v>
      </c>
      <c r="F150" s="8">
        <v>6809.4733121244253</v>
      </c>
      <c r="G150" s="8">
        <v>7050</v>
      </c>
      <c r="H150" s="8">
        <v>7114.8861646234673</v>
      </c>
      <c r="I150" s="8">
        <v>7447.8079331941544</v>
      </c>
      <c r="J150" s="8">
        <v>7854.8721492743607</v>
      </c>
      <c r="K150" s="8">
        <v>8256.6918325326005</v>
      </c>
      <c r="L150" s="8">
        <v>8331.4012956017741</v>
      </c>
      <c r="M150" s="8">
        <v>7469.8509485094855</v>
      </c>
      <c r="N150" s="8">
        <v>6659.7105351733417</v>
      </c>
      <c r="O150" s="8">
        <v>6541.4715719063543</v>
      </c>
      <c r="P150" s="8">
        <v>6595.5466932535728</v>
      </c>
      <c r="Q150" s="8">
        <v>7131.7701453104355</v>
      </c>
      <c r="R150" s="8">
        <v>7653.7577945520179</v>
      </c>
      <c r="S150" s="8">
        <v>7718.8519243313767</v>
      </c>
      <c r="T150" s="8">
        <v>7755.9157212317668</v>
      </c>
      <c r="U150" s="8">
        <v>7726.6580811332906</v>
      </c>
      <c r="V150" s="8">
        <v>7946.2743843939888</v>
      </c>
      <c r="W150" s="8">
        <v>8516.6719593521757</v>
      </c>
      <c r="X150" s="8">
        <v>8682.1192052980132</v>
      </c>
      <c r="Y150" s="8">
        <v>9244.4444444444453</v>
      </c>
      <c r="Z150" s="8">
        <v>9045.3697949036668</v>
      </c>
      <c r="AA150" s="8">
        <v>9496.9097651421507</v>
      </c>
      <c r="AB150" s="8">
        <v>9914.9262899262903</v>
      </c>
      <c r="AC150" s="8">
        <v>10308.18570555895</v>
      </c>
      <c r="AD150" s="8">
        <v>9968.9875342049254</v>
      </c>
      <c r="AE150" s="8">
        <v>9789.4577400787621</v>
      </c>
      <c r="AF150" s="8">
        <v>9438.0290205562287</v>
      </c>
      <c r="AG150" s="8">
        <v>8394.3789664551223</v>
      </c>
      <c r="AH150" s="8">
        <v>8589.8910411622273</v>
      </c>
      <c r="AI150" s="8">
        <v>9611.1447607510599</v>
      </c>
      <c r="AJ150" s="8">
        <v>10235.329703569269</v>
      </c>
      <c r="AK150" s="8">
        <v>10685.274592637295</v>
      </c>
      <c r="AL150" s="8">
        <v>11460.890493381468</v>
      </c>
      <c r="AM150" s="8">
        <v>12443.011397720456</v>
      </c>
    </row>
    <row r="151" spans="1:39">
      <c r="A151" s="21" t="s">
        <v>144</v>
      </c>
      <c r="B151" s="8">
        <v>7361.9803408783473</v>
      </c>
      <c r="C151" s="8">
        <v>7206.2924873627326</v>
      </c>
      <c r="D151" s="8">
        <v>7456.6809800454657</v>
      </c>
      <c r="E151" s="8">
        <v>7351.0612344474257</v>
      </c>
      <c r="F151" s="8">
        <v>7304.381969530391</v>
      </c>
      <c r="G151" s="8">
        <v>7596.8157695223654</v>
      </c>
      <c r="H151" s="8">
        <v>7793.7495425601992</v>
      </c>
      <c r="I151" s="8">
        <v>7704.8427006009197</v>
      </c>
      <c r="J151" s="8">
        <v>7509.9500786432336</v>
      </c>
      <c r="K151" s="8">
        <v>6955.2713537870259</v>
      </c>
      <c r="L151" s="8">
        <v>6716.8914579319198</v>
      </c>
      <c r="M151" s="8">
        <v>6381.8544366899305</v>
      </c>
      <c r="N151" s="8">
        <v>5965.3794940079897</v>
      </c>
      <c r="O151" s="8">
        <v>5883.6579768139827</v>
      </c>
      <c r="P151" s="8">
        <v>5737.3997709049254</v>
      </c>
      <c r="Q151" s="8">
        <v>5953.0212576019649</v>
      </c>
      <c r="R151" s="8">
        <v>6012.2946360570122</v>
      </c>
      <c r="S151" s="8">
        <v>6207.9197409628969</v>
      </c>
      <c r="T151" s="8">
        <v>5541.7983933661562</v>
      </c>
      <c r="U151" s="8">
        <v>5764.3037974683548</v>
      </c>
      <c r="V151" s="8">
        <v>6185.176016240036</v>
      </c>
      <c r="W151" s="8">
        <v>6413.3307517304811</v>
      </c>
      <c r="X151" s="8">
        <v>6290.3271625396528</v>
      </c>
      <c r="Y151" s="8">
        <v>6011.0271973312329</v>
      </c>
      <c r="Z151" s="8">
        <v>6118.178106428345</v>
      </c>
      <c r="AA151" s="8">
        <v>5981.5127544218294</v>
      </c>
      <c r="AB151" s="8">
        <v>6235.9423319831003</v>
      </c>
      <c r="AC151" s="8">
        <v>6133.0030325033104</v>
      </c>
      <c r="AD151" s="8">
        <v>5657.1416600326811</v>
      </c>
      <c r="AE151" s="8">
        <v>5758.5866480194154</v>
      </c>
      <c r="AF151" s="8">
        <v>5844.9020795477491</v>
      </c>
      <c r="AG151" s="8">
        <v>5231.1657414750198</v>
      </c>
      <c r="AH151" s="8">
        <v>4740.1651476201605</v>
      </c>
      <c r="AI151" s="8">
        <v>5509.7408810808747</v>
      </c>
      <c r="AJ151" s="8">
        <v>5975.3170034240129</v>
      </c>
      <c r="AK151" s="8">
        <v>6482.8900151677708</v>
      </c>
      <c r="AL151" s="8">
        <v>6911.8727940908921</v>
      </c>
      <c r="AM151" s="8">
        <v>7125.7560032924166</v>
      </c>
    </row>
    <row r="152" spans="1:39">
      <c r="A152" s="19" t="s">
        <v>145</v>
      </c>
      <c r="B152" s="8">
        <v>5954.5804464973062</v>
      </c>
      <c r="C152" s="8">
        <v>5988.9228418640187</v>
      </c>
      <c r="D152" s="8">
        <v>6162.5522218002279</v>
      </c>
      <c r="E152" s="8">
        <v>6082.3885109599405</v>
      </c>
      <c r="F152" s="8">
        <v>6105.5597295266716</v>
      </c>
      <c r="G152" s="8">
        <v>6295.4121596419245</v>
      </c>
      <c r="H152" s="8">
        <v>6603.6269430051816</v>
      </c>
      <c r="I152" s="8">
        <v>6914.4954128440368</v>
      </c>
      <c r="J152" s="8">
        <v>7221.9796215429396</v>
      </c>
      <c r="K152" s="8">
        <v>7451.2987012987014</v>
      </c>
      <c r="L152" s="8">
        <v>7355.5078683834054</v>
      </c>
      <c r="M152" s="8">
        <v>7157.5026605179146</v>
      </c>
      <c r="N152" s="8">
        <v>7129.4862772695287</v>
      </c>
      <c r="O152" s="8">
        <v>7322.5130890052351</v>
      </c>
      <c r="P152" s="8">
        <v>7401.9404019404019</v>
      </c>
      <c r="Q152" s="8">
        <v>7561.1015490533564</v>
      </c>
      <c r="R152" s="8">
        <v>8109.0225563909771</v>
      </c>
      <c r="S152" s="8">
        <v>8583.9837122497447</v>
      </c>
      <c r="T152" s="8">
        <v>8891.3189771197849</v>
      </c>
      <c r="U152" s="8">
        <v>9021.6594468510502</v>
      </c>
      <c r="V152" s="8">
        <v>8772.2478576137109</v>
      </c>
      <c r="W152" s="8">
        <v>8887.1861754157144</v>
      </c>
      <c r="X152" s="8">
        <v>8961.6993884776311</v>
      </c>
      <c r="Y152" s="8">
        <v>9187.7979027645379</v>
      </c>
      <c r="Z152" s="8">
        <v>9225.3299811439356</v>
      </c>
      <c r="AA152" s="8">
        <v>9430.4388422035481</v>
      </c>
      <c r="AB152" s="8">
        <v>9811.0939907550073</v>
      </c>
      <c r="AC152" s="8">
        <v>9999.3893129770986</v>
      </c>
      <c r="AD152" s="8">
        <v>10133.434190620272</v>
      </c>
      <c r="AE152" s="8">
        <v>10381.137724550899</v>
      </c>
      <c r="AF152" s="8">
        <v>10292.357819905214</v>
      </c>
      <c r="AG152" s="8">
        <v>10312.426729191091</v>
      </c>
      <c r="AH152" s="8">
        <v>10363.974799541809</v>
      </c>
      <c r="AI152" s="8">
        <v>10610.890527509926</v>
      </c>
      <c r="AJ152" s="8">
        <v>10824.831838565022</v>
      </c>
      <c r="AK152" s="8">
        <v>11203.446359088382</v>
      </c>
      <c r="AL152" s="8">
        <v>11471.546961325967</v>
      </c>
      <c r="AM152" s="8">
        <v>11643.053267435474</v>
      </c>
    </row>
    <row r="153" spans="1:39">
      <c r="A153" s="20" t="s">
        <v>146</v>
      </c>
      <c r="B153" s="8">
        <v>4920.0183449953083</v>
      </c>
      <c r="C153" s="8">
        <v>5116.3320530008305</v>
      </c>
      <c r="D153" s="8">
        <v>5397.487958443563</v>
      </c>
      <c r="E153" s="8">
        <v>5624.8289690964848</v>
      </c>
      <c r="F153" s="8">
        <v>5667.7293563869071</v>
      </c>
      <c r="G153" s="8">
        <v>5853.9723492598396</v>
      </c>
      <c r="H153" s="8">
        <v>6023.8005024959257</v>
      </c>
      <c r="I153" s="8">
        <v>6033.9464858874153</v>
      </c>
      <c r="J153" s="8">
        <v>6256.3162026394803</v>
      </c>
      <c r="K153" s="8">
        <v>6459.9845697084083</v>
      </c>
      <c r="L153" s="8">
        <v>6220.0744747173494</v>
      </c>
      <c r="M153" s="8">
        <v>6025.0410590260608</v>
      </c>
      <c r="N153" s="8">
        <v>5801.767334340655</v>
      </c>
      <c r="O153" s="8">
        <v>5908.2880091070074</v>
      </c>
      <c r="P153" s="8">
        <v>5957.9257239359813</v>
      </c>
      <c r="Q153" s="8">
        <v>6227.0453185420547</v>
      </c>
      <c r="R153" s="8">
        <v>6336.7573107080716</v>
      </c>
      <c r="S153" s="8">
        <v>6243.8605876179863</v>
      </c>
      <c r="T153" s="8">
        <v>6156.5176719054443</v>
      </c>
      <c r="U153" s="8">
        <v>5959.1880444247809</v>
      </c>
      <c r="V153" s="8">
        <v>6063.1424497875232</v>
      </c>
      <c r="W153" s="8">
        <v>6142.4443519357446</v>
      </c>
      <c r="X153" s="8">
        <v>6272.1316825750118</v>
      </c>
      <c r="Y153" s="8">
        <v>6474.6688066514935</v>
      </c>
      <c r="Z153" s="8">
        <v>6598.2102410246716</v>
      </c>
      <c r="AA153" s="8">
        <v>6693.8363248233381</v>
      </c>
      <c r="AB153" s="8">
        <v>6903.5980820928462</v>
      </c>
      <c r="AC153" s="8">
        <v>6897.0056922715994</v>
      </c>
      <c r="AD153" s="8">
        <v>6742.3011235080312</v>
      </c>
      <c r="AE153" s="8">
        <v>6848.79909653504</v>
      </c>
      <c r="AF153" s="8">
        <v>6801.3780062636652</v>
      </c>
      <c r="AG153" s="8">
        <v>6708.9801683868982</v>
      </c>
      <c r="AH153" s="8">
        <v>6797.9355509259894</v>
      </c>
      <c r="AI153" s="8">
        <v>7134.9149249564807</v>
      </c>
      <c r="AJ153" s="8">
        <v>7429.9131814494258</v>
      </c>
      <c r="AK153" s="8">
        <v>7780.8671085900523</v>
      </c>
      <c r="AL153" s="8">
        <v>8199.3573847133739</v>
      </c>
      <c r="AM153" s="8">
        <v>8520.3764265879418</v>
      </c>
    </row>
    <row r="154" spans="1:39">
      <c r="A154" s="19" t="s">
        <v>147</v>
      </c>
      <c r="B154" s="8">
        <v>1060.6564070793968</v>
      </c>
      <c r="C154" s="8">
        <v>888.51717282511822</v>
      </c>
      <c r="D154" s="8">
        <v>893.86071471479488</v>
      </c>
      <c r="E154" s="8">
        <v>953.63222871994799</v>
      </c>
      <c r="F154" s="8">
        <v>890.35914432820141</v>
      </c>
      <c r="G154" s="8">
        <v>915.80464016550911</v>
      </c>
      <c r="H154" s="8">
        <v>915.37391804733022</v>
      </c>
      <c r="I154" s="8">
        <v>954.19054399458457</v>
      </c>
      <c r="J154" s="8">
        <v>973.55952232158074</v>
      </c>
      <c r="K154" s="8">
        <v>955.60693385842444</v>
      </c>
      <c r="L154" s="8">
        <v>965.77127716864481</v>
      </c>
      <c r="M154" s="8">
        <v>962.76835624914781</v>
      </c>
      <c r="N154" s="8">
        <v>975.46150152727125</v>
      </c>
      <c r="O154" s="8">
        <v>999.91039515735599</v>
      </c>
      <c r="P154" s="8">
        <v>1006.573262260542</v>
      </c>
      <c r="Q154" s="8">
        <v>1024.0292596031761</v>
      </c>
      <c r="R154" s="8">
        <v>1037.3166782327087</v>
      </c>
      <c r="S154" s="8">
        <v>1035.4872833467448</v>
      </c>
      <c r="T154" s="8">
        <v>1038.8783790951363</v>
      </c>
      <c r="U154" s="8">
        <v>1076.7088695170887</v>
      </c>
      <c r="V154" s="8">
        <v>1089.139084059934</v>
      </c>
      <c r="W154" s="8">
        <v>1120.467942924892</v>
      </c>
      <c r="X154" s="8">
        <v>1148.1156523929062</v>
      </c>
      <c r="Y154" s="8">
        <v>1171.339613476561</v>
      </c>
      <c r="Z154" s="8">
        <v>1204.9950814296644</v>
      </c>
      <c r="AA154" s="8">
        <v>1236.3218742822141</v>
      </c>
      <c r="AB154" s="8">
        <v>1278.0965542103525</v>
      </c>
      <c r="AC154" s="8">
        <v>1319.6946024820918</v>
      </c>
      <c r="AD154" s="8">
        <v>1358.4909755127137</v>
      </c>
      <c r="AE154" s="8">
        <v>1413.3639276250826</v>
      </c>
      <c r="AF154" s="8">
        <v>1461.7102499145085</v>
      </c>
      <c r="AG154" s="8">
        <v>1499.9965705741545</v>
      </c>
      <c r="AH154" s="8">
        <v>1552.3903939142574</v>
      </c>
      <c r="AI154" s="8">
        <v>1622.9714846808115</v>
      </c>
      <c r="AJ154" s="8">
        <v>1692.7221431277017</v>
      </c>
      <c r="AK154" s="8">
        <v>1777.7541923158565</v>
      </c>
      <c r="AL154" s="8">
        <v>1864.5604204040496</v>
      </c>
      <c r="AM154" s="8">
        <v>1952.54375</v>
      </c>
    </row>
    <row r="155" spans="1:39">
      <c r="A155" s="19" t="s">
        <v>148</v>
      </c>
      <c r="B155" s="8">
        <v>25514.705882352941</v>
      </c>
      <c r="C155" s="8">
        <v>26387.323943661973</v>
      </c>
      <c r="D155" s="8">
        <v>27337.837837837844</v>
      </c>
      <c r="E155" s="8">
        <v>27493.506493506495</v>
      </c>
      <c r="F155" s="8">
        <v>26391.304347826088</v>
      </c>
      <c r="G155" s="8">
        <v>30574.850299401194</v>
      </c>
      <c r="H155" s="8">
        <v>32545.977011494255</v>
      </c>
      <c r="I155" s="8">
        <v>33594.444444444445</v>
      </c>
      <c r="J155" s="8">
        <v>39631.01604278075</v>
      </c>
      <c r="K155" s="8">
        <v>35715.025906735747</v>
      </c>
      <c r="L155" s="8">
        <v>27768.844221105526</v>
      </c>
      <c r="M155" s="8">
        <v>28024.390243902442</v>
      </c>
      <c r="N155" s="8">
        <v>27364.928909952607</v>
      </c>
      <c r="O155" s="8">
        <v>26764.976958525345</v>
      </c>
      <c r="P155" s="8">
        <v>25659.192825112106</v>
      </c>
      <c r="Q155" s="8">
        <v>24305.676855895195</v>
      </c>
      <c r="R155" s="8">
        <v>24059.322033898305</v>
      </c>
      <c r="S155" s="8">
        <v>23625.514403292182</v>
      </c>
      <c r="T155" s="8">
        <v>22716</v>
      </c>
      <c r="U155" s="8">
        <v>22338.521400778209</v>
      </c>
      <c r="V155" s="8">
        <v>22428.0303030303</v>
      </c>
      <c r="W155" s="8">
        <v>22805.147058823528</v>
      </c>
      <c r="X155" s="8">
        <v>22221.428571428569</v>
      </c>
      <c r="Y155" s="8">
        <v>22362.369337979097</v>
      </c>
      <c r="Z155" s="8">
        <v>22728.813559322036</v>
      </c>
      <c r="AA155" s="8">
        <v>22765.676567656767</v>
      </c>
      <c r="AB155" s="8">
        <v>21925.806451612902</v>
      </c>
      <c r="AC155" s="8">
        <v>21254.716981132075</v>
      </c>
      <c r="AD155" s="8">
        <v>21365.030674846625</v>
      </c>
      <c r="AE155" s="8">
        <v>21510.51051051051</v>
      </c>
      <c r="AF155" s="8">
        <v>21583.577712609967</v>
      </c>
      <c r="AG155" s="8">
        <v>21905.444126074501</v>
      </c>
      <c r="AH155" s="8">
        <v>21974.860335195532</v>
      </c>
      <c r="AI155" s="8">
        <v>21603.825136612024</v>
      </c>
      <c r="AJ155" s="8">
        <v>21221.925133689838</v>
      </c>
      <c r="AK155" s="8">
        <v>21691.099476439791</v>
      </c>
      <c r="AL155" s="8">
        <v>21434.447300771208</v>
      </c>
      <c r="AM155" s="8">
        <v>20685.138539042819</v>
      </c>
    </row>
    <row r="156" spans="1:39">
      <c r="A156" s="19" t="s">
        <v>149</v>
      </c>
      <c r="B156" s="8" t="e">
        <v>#VALUE!</v>
      </c>
      <c r="C156" s="8" t="e">
        <v>#VALUE!</v>
      </c>
      <c r="D156" s="8" t="e">
        <v>#VALUE!</v>
      </c>
      <c r="E156" s="8" t="e">
        <v>#VALUE!</v>
      </c>
      <c r="F156" s="8" t="e">
        <v>#VALUE!</v>
      </c>
      <c r="G156" s="8" t="e">
        <v>#VALUE!</v>
      </c>
      <c r="H156" s="8" t="e">
        <v>#VALUE!</v>
      </c>
      <c r="I156" s="8" t="e">
        <v>#VALUE!</v>
      </c>
      <c r="J156" s="8" t="e">
        <v>#VALUE!</v>
      </c>
      <c r="K156" s="8" t="e">
        <v>#VALUE!</v>
      </c>
      <c r="L156" s="8" t="e">
        <v>#VALUE!</v>
      </c>
      <c r="M156" s="8" t="e">
        <v>#VALUE!</v>
      </c>
      <c r="N156" s="8" t="e">
        <v>#VALUE!</v>
      </c>
      <c r="O156" s="8" t="e">
        <v>#VALUE!</v>
      </c>
      <c r="P156" s="8" t="e">
        <v>#VALUE!</v>
      </c>
      <c r="Q156" s="8" t="e">
        <v>#VALUE!</v>
      </c>
      <c r="R156" s="8" t="e">
        <v>#VALUE!</v>
      </c>
      <c r="S156" s="8" t="e">
        <v>#VALUE!</v>
      </c>
      <c r="T156" s="8" t="e">
        <v>#VALUE!</v>
      </c>
      <c r="U156" s="8" t="e">
        <v>#VALUE!</v>
      </c>
      <c r="V156" s="8" t="e">
        <v>#VALUE!</v>
      </c>
      <c r="W156" s="8" t="e">
        <v>#VALUE!</v>
      </c>
      <c r="X156" s="8" t="e">
        <v>#VALUE!</v>
      </c>
      <c r="Y156" s="8" t="e">
        <v>#VALUE!</v>
      </c>
      <c r="Z156" s="8">
        <v>1405.9675296182536</v>
      </c>
      <c r="AA156" s="8">
        <v>1443.4188034188035</v>
      </c>
      <c r="AB156" s="8">
        <v>1487.7804654266411</v>
      </c>
      <c r="AC156" s="8">
        <v>1527.3157208088717</v>
      </c>
      <c r="AD156" s="8">
        <v>1673.4791633402524</v>
      </c>
      <c r="AE156" s="8">
        <v>1783.9593114241002</v>
      </c>
      <c r="AF156" s="8">
        <v>1891.2776412776414</v>
      </c>
      <c r="AG156" s="8">
        <v>1982.0499283505542</v>
      </c>
      <c r="AH156" s="8">
        <v>2113.9446956779598</v>
      </c>
      <c r="AI156" s="8">
        <v>2293.2215743440233</v>
      </c>
      <c r="AJ156" s="8">
        <v>2553.1670965892808</v>
      </c>
      <c r="AK156" s="8">
        <v>2780.1648235542721</v>
      </c>
      <c r="AL156" s="8">
        <v>3011.0757303059672</v>
      </c>
      <c r="AM156" s="8">
        <v>3114.0816326530612</v>
      </c>
    </row>
    <row r="157" spans="1:39">
      <c r="A157" s="19" t="s">
        <v>150</v>
      </c>
      <c r="B157" s="8">
        <v>3595.4551548464942</v>
      </c>
      <c r="C157" s="8">
        <v>3991.2649415473529</v>
      </c>
      <c r="D157" s="8">
        <v>4418.2661342264591</v>
      </c>
      <c r="E157" s="8">
        <v>4394.9064711830133</v>
      </c>
      <c r="F157" s="8">
        <v>4526.7336558739607</v>
      </c>
      <c r="G157" s="8">
        <v>5055.8054711246205</v>
      </c>
      <c r="H157" s="8">
        <v>5465.236818588025</v>
      </c>
      <c r="I157" s="8">
        <v>6093.6185133239842</v>
      </c>
      <c r="J157" s="8">
        <v>6479.9426934097428</v>
      </c>
      <c r="K157" s="8">
        <v>6801.7705064993279</v>
      </c>
      <c r="L157" s="8">
        <v>7095.3952797491347</v>
      </c>
      <c r="M157" s="8">
        <v>7213.0155126749896</v>
      </c>
      <c r="N157" s="8">
        <v>7687.6562250704674</v>
      </c>
      <c r="O157" s="8">
        <v>8386.1028140229537</v>
      </c>
      <c r="P157" s="8">
        <v>8691.4205926462218</v>
      </c>
      <c r="Q157" s="8">
        <v>9581.5606463489457</v>
      </c>
      <c r="R157" s="8">
        <v>10684.229172993219</v>
      </c>
      <c r="S157" s="8">
        <v>11417.25070084101</v>
      </c>
      <c r="T157" s="8">
        <v>12239.855502771181</v>
      </c>
      <c r="U157" s="8">
        <v>12892.888845053754</v>
      </c>
      <c r="V157" s="8">
        <v>13725.307437048603</v>
      </c>
      <c r="W157" s="8">
        <v>14663.218446367284</v>
      </c>
      <c r="X157" s="8">
        <v>15525.615244661496</v>
      </c>
      <c r="Y157" s="8">
        <v>16509.315886787084</v>
      </c>
      <c r="Z157" s="8">
        <v>17418.130577736028</v>
      </c>
      <c r="AA157" s="8">
        <v>18370.491192096189</v>
      </c>
      <c r="AB157" s="8">
        <v>19417.302093442395</v>
      </c>
      <c r="AC157" s="8">
        <v>20119.492534579098</v>
      </c>
      <c r="AD157" s="8">
        <v>21108.142493638679</v>
      </c>
      <c r="AE157" s="8">
        <v>22149.979714195557</v>
      </c>
      <c r="AF157" s="8">
        <v>21520.86318051576</v>
      </c>
      <c r="AG157" s="8">
        <v>22404.079996436685</v>
      </c>
      <c r="AH157" s="8">
        <v>23093.598899880231</v>
      </c>
      <c r="AI157" s="8">
        <v>24428.255680311202</v>
      </c>
      <c r="AJ157" s="8">
        <v>25334.038148099204</v>
      </c>
      <c r="AK157" s="8">
        <v>26425.379685716794</v>
      </c>
      <c r="AL157" s="8">
        <v>27836.519532787959</v>
      </c>
      <c r="AM157" s="8">
        <v>27795.340517429431</v>
      </c>
    </row>
    <row r="158" spans="1:39">
      <c r="A158" s="19" t="s">
        <v>151</v>
      </c>
      <c r="B158" s="8">
        <v>1109.6207529253857</v>
      </c>
      <c r="C158" s="8">
        <v>1078.7622354439657</v>
      </c>
      <c r="D158" s="8">
        <v>1089.6762307666063</v>
      </c>
      <c r="E158" s="8">
        <v>1077.9046866218732</v>
      </c>
      <c r="F158" s="8">
        <v>1150.0067649182749</v>
      </c>
      <c r="G158" s="8">
        <v>1142.6456904683</v>
      </c>
      <c r="H158" s="8">
        <v>1197.908847685997</v>
      </c>
      <c r="I158" s="8">
        <v>1237.7519442385237</v>
      </c>
      <c r="J158" s="8">
        <v>1146.6025615270953</v>
      </c>
      <c r="K158" s="8">
        <v>1196.6633300937538</v>
      </c>
      <c r="L158" s="8">
        <v>1240.5007818491479</v>
      </c>
      <c r="M158" s="8">
        <v>1255.6115730778117</v>
      </c>
      <c r="N158" s="8">
        <v>1318.5477718806874</v>
      </c>
      <c r="O158" s="8">
        <v>1340.4626259042227</v>
      </c>
      <c r="P158" s="8">
        <v>1382.1043538039096</v>
      </c>
      <c r="Q158" s="8">
        <v>1416.9931179841742</v>
      </c>
      <c r="R158" s="8">
        <v>1442.1082285771524</v>
      </c>
      <c r="S158" s="8">
        <v>1548.3085864220993</v>
      </c>
      <c r="T158" s="8">
        <v>1607.0555592257383</v>
      </c>
      <c r="U158" s="8">
        <v>1662.0118538224751</v>
      </c>
      <c r="V158" s="8">
        <v>1646.7069807161899</v>
      </c>
      <c r="W158" s="8">
        <v>1704.8982749617419</v>
      </c>
      <c r="X158" s="8">
        <v>1753.395031184361</v>
      </c>
      <c r="Y158" s="8">
        <v>1836.6413780977769</v>
      </c>
      <c r="Z158" s="8">
        <v>1940.7271127893755</v>
      </c>
      <c r="AA158" s="8">
        <v>2050.9159860407121</v>
      </c>
      <c r="AB158" s="8">
        <v>2097.2242362972693</v>
      </c>
      <c r="AC158" s="8">
        <v>2189.1258442936237</v>
      </c>
      <c r="AD158" s="8">
        <v>2311.2302505665575</v>
      </c>
      <c r="AE158" s="8">
        <v>2364.3691500241653</v>
      </c>
      <c r="AF158" s="8">
        <v>2447.8383454095169</v>
      </c>
      <c r="AG158" s="8">
        <v>2500.8825708702975</v>
      </c>
      <c r="AH158" s="8">
        <v>2670.1049136648949</v>
      </c>
      <c r="AI158" s="8">
        <v>2850.1131310773803</v>
      </c>
      <c r="AJ158" s="8">
        <v>3074.3470344414263</v>
      </c>
      <c r="AK158" s="8">
        <v>3325.3526951886406</v>
      </c>
      <c r="AL158" s="8">
        <v>3578.3557242393449</v>
      </c>
      <c r="AM158" s="8">
        <v>3781.0836297605629</v>
      </c>
    </row>
    <row r="159" spans="1:39">
      <c r="A159" s="19" t="s">
        <v>152</v>
      </c>
      <c r="B159" s="8">
        <v>890.2059158228742</v>
      </c>
      <c r="C159" s="8">
        <v>937.24870298313874</v>
      </c>
      <c r="D159" s="8">
        <v>1004.0503124752789</v>
      </c>
      <c r="E159" s="8">
        <v>1061.0274982818401</v>
      </c>
      <c r="F159" s="8">
        <v>1100.377859400101</v>
      </c>
      <c r="G159" s="8">
        <v>1137.826243717946</v>
      </c>
      <c r="H159" s="8">
        <v>1207.7198481624202</v>
      </c>
      <c r="I159" s="8">
        <v>1290.0762285167787</v>
      </c>
      <c r="J159" s="8">
        <v>1352.4872299706738</v>
      </c>
      <c r="K159" s="8">
        <v>1440.341732803787</v>
      </c>
      <c r="L159" s="8">
        <v>1526.7968672548825</v>
      </c>
      <c r="M159" s="8">
        <v>1514.2338487471231</v>
      </c>
      <c r="N159" s="8">
        <v>1611.7513060188219</v>
      </c>
      <c r="O159" s="8">
        <v>1695.8613150085898</v>
      </c>
      <c r="P159" s="8">
        <v>1722.9691601854804</v>
      </c>
      <c r="Q159" s="8">
        <v>1792.9705147125262</v>
      </c>
      <c r="R159" s="8">
        <v>1854.7606367240664</v>
      </c>
      <c r="S159" s="8">
        <v>1938.1897042920102</v>
      </c>
      <c r="T159" s="8">
        <v>2077.2064913773902</v>
      </c>
      <c r="U159" s="8">
        <v>2223.9272408995016</v>
      </c>
      <c r="V159" s="8">
        <v>2381.2210456651223</v>
      </c>
      <c r="W159" s="8">
        <v>2511.5721400592442</v>
      </c>
      <c r="X159" s="8">
        <v>2651.8971116048538</v>
      </c>
      <c r="Y159" s="8">
        <v>2809.6693906115984</v>
      </c>
      <c r="Z159" s="8">
        <v>3002.8067444876783</v>
      </c>
      <c r="AA159" s="8">
        <v>3187.5399704282786</v>
      </c>
      <c r="AB159" s="8">
        <v>3291.7799992935106</v>
      </c>
      <c r="AC159" s="8">
        <v>2821.1801839027817</v>
      </c>
      <c r="AD159" s="8">
        <v>2805.7700620922737</v>
      </c>
      <c r="AE159" s="8">
        <v>2905.3208251521105</v>
      </c>
      <c r="AF159" s="8">
        <v>2971.5760666749593</v>
      </c>
      <c r="AG159" s="8">
        <v>3064.1874825911045</v>
      </c>
      <c r="AH159" s="8">
        <v>3167.9383623540812</v>
      </c>
      <c r="AI159" s="8">
        <v>3282.7696507603855</v>
      </c>
      <c r="AJ159" s="8">
        <v>3422.9046327950018</v>
      </c>
      <c r="AK159" s="8">
        <v>3570.9776633997185</v>
      </c>
      <c r="AL159" s="8">
        <v>3751.6376368390729</v>
      </c>
      <c r="AM159" s="8">
        <v>3933.4235856455011</v>
      </c>
    </row>
    <row r="160" spans="1:39">
      <c r="A160" s="19" t="s">
        <v>153</v>
      </c>
      <c r="B160" s="8">
        <v>725.67096906371637</v>
      </c>
      <c r="C160" s="8">
        <v>802.19487861656137</v>
      </c>
      <c r="D160" s="8">
        <v>875.67322042696776</v>
      </c>
      <c r="E160" s="8">
        <v>947.58883248730967</v>
      </c>
      <c r="F160" s="8">
        <v>1036.3364858138377</v>
      </c>
      <c r="G160" s="8">
        <v>1142.2801542133284</v>
      </c>
      <c r="H160" s="8">
        <v>1264.9490134556206</v>
      </c>
      <c r="I160" s="8">
        <v>1402.8836987607247</v>
      </c>
      <c r="J160" s="8">
        <v>1537.1176470588234</v>
      </c>
      <c r="K160" s="8">
        <v>1665.8158825917976</v>
      </c>
      <c r="L160" s="8">
        <v>1804.1466758053461</v>
      </c>
      <c r="M160" s="8">
        <v>1951.859341647006</v>
      </c>
      <c r="N160" s="8">
        <v>2108.7736734581194</v>
      </c>
      <c r="O160" s="8">
        <v>2275.8807882308238</v>
      </c>
      <c r="P160" s="8">
        <v>2454.1958228727099</v>
      </c>
      <c r="Q160" s="8">
        <v>2507.7335858585861</v>
      </c>
      <c r="R160" s="8">
        <v>2635.3502359101985</v>
      </c>
      <c r="S160" s="8">
        <v>2744.6841136781845</v>
      </c>
      <c r="T160" s="8">
        <v>2864.8158411850654</v>
      </c>
      <c r="U160" s="8">
        <v>2718.2147644342949</v>
      </c>
      <c r="V160" s="8">
        <v>2537.6943385156937</v>
      </c>
      <c r="W160" s="8">
        <v>2308.703186675652</v>
      </c>
      <c r="X160" s="8">
        <v>2175.6173863582499</v>
      </c>
      <c r="Y160" s="8">
        <v>2104.7912580554776</v>
      </c>
      <c r="Z160" s="8">
        <v>1980.1980198019803</v>
      </c>
      <c r="AA160" s="8">
        <v>1882.1818181818182</v>
      </c>
      <c r="AB160" s="8">
        <v>1733.0818626790608</v>
      </c>
      <c r="AC160" s="8">
        <v>1695.0439648281374</v>
      </c>
      <c r="AD160" s="8">
        <v>1678.1270608925038</v>
      </c>
      <c r="AE160" s="8">
        <v>1663.4271768499955</v>
      </c>
      <c r="AF160" s="8">
        <v>1601.2455669924748</v>
      </c>
      <c r="AG160" s="8">
        <v>1619.5427982124443</v>
      </c>
      <c r="AH160" s="8">
        <v>1639.6307850091875</v>
      </c>
      <c r="AI160" s="8">
        <v>1661.0955175640045</v>
      </c>
      <c r="AJ160" s="8">
        <v>1683.7313685636857</v>
      </c>
      <c r="AK160" s="8">
        <v>1707.3561666947867</v>
      </c>
      <c r="AL160" s="8">
        <v>1683.1770592439977</v>
      </c>
      <c r="AM160" s="8">
        <v>1712.3815910805599</v>
      </c>
    </row>
    <row r="161" spans="1:39">
      <c r="A161" s="19" t="s">
        <v>154</v>
      </c>
      <c r="B161" s="8">
        <v>2578.450754852624</v>
      </c>
      <c r="C161" s="8">
        <v>2751.2930656614358</v>
      </c>
      <c r="D161" s="8">
        <v>2999.2301112061591</v>
      </c>
      <c r="E161" s="8">
        <v>3171.6361814081683</v>
      </c>
      <c r="F161" s="8">
        <v>3122.7769619840105</v>
      </c>
      <c r="G161" s="8">
        <v>3404.4164540816323</v>
      </c>
      <c r="H161" s="8">
        <v>3585.9113223720096</v>
      </c>
      <c r="I161" s="8">
        <v>3738.213116002742</v>
      </c>
      <c r="J161" s="8">
        <v>3993.6746539663641</v>
      </c>
      <c r="K161" s="8">
        <v>4189.6388868705953</v>
      </c>
      <c r="L161" s="8">
        <v>4371.5440238196516</v>
      </c>
      <c r="M161" s="8">
        <v>4515.7254441141904</v>
      </c>
      <c r="N161" s="8">
        <v>4675.1532296086752</v>
      </c>
      <c r="O161" s="8">
        <v>4904.9180327868853</v>
      </c>
      <c r="P161" s="8">
        <v>4717.7393633986094</v>
      </c>
      <c r="Q161" s="8">
        <v>4637.840183497613</v>
      </c>
      <c r="R161" s="8">
        <v>4747.06484436149</v>
      </c>
      <c r="S161" s="8">
        <v>5068.0582353972986</v>
      </c>
      <c r="T161" s="8">
        <v>5369.8591229266076</v>
      </c>
      <c r="U161" s="8">
        <v>5692.3161906866262</v>
      </c>
      <c r="V161" s="8">
        <v>6070.0650642576757</v>
      </c>
      <c r="W161" s="8">
        <v>6439.6709802483365</v>
      </c>
      <c r="X161" s="8">
        <v>6899.0755401195156</v>
      </c>
      <c r="Y161" s="8">
        <v>7346.9794312465756</v>
      </c>
      <c r="Z161" s="8">
        <v>7867.3400019423125</v>
      </c>
      <c r="AA161" s="8">
        <v>8436.7337278106515</v>
      </c>
      <c r="AB161" s="8">
        <v>8827.6259922466306</v>
      </c>
      <c r="AC161" s="8">
        <v>7976.9514720446568</v>
      </c>
      <c r="AD161" s="8">
        <v>8266.3502109704641</v>
      </c>
      <c r="AE161" s="8">
        <v>8796.8548594998701</v>
      </c>
      <c r="AF161" s="8">
        <v>8656.0672975814941</v>
      </c>
      <c r="AG161" s="8">
        <v>8941.0503751339766</v>
      </c>
      <c r="AH161" s="8">
        <v>9278.8337107732114</v>
      </c>
      <c r="AI161" s="8">
        <v>9726.1323488547496</v>
      </c>
      <c r="AJ161" s="8">
        <v>10060.265855845322</v>
      </c>
      <c r="AK161" s="8">
        <v>10453.320058206325</v>
      </c>
      <c r="AL161" s="8">
        <v>10934.274952919021</v>
      </c>
      <c r="AM161" s="8">
        <v>11253.880635720372</v>
      </c>
    </row>
    <row r="162" spans="1:39">
      <c r="A162" s="19" t="s">
        <v>155</v>
      </c>
      <c r="B162" s="8" t="e">
        <v>#VALUE!</v>
      </c>
      <c r="C162" s="8" t="e">
        <v>#VALUE!</v>
      </c>
      <c r="D162" s="8" t="e">
        <v>#VALUE!</v>
      </c>
      <c r="E162" s="8" t="e">
        <v>#VALUE!</v>
      </c>
      <c r="F162" s="8" t="e">
        <v>#VALUE!</v>
      </c>
      <c r="G162" s="8" t="e">
        <v>#VALUE!</v>
      </c>
      <c r="H162" s="8" t="e">
        <v>#VALUE!</v>
      </c>
      <c r="I162" s="8" t="e">
        <v>#VALUE!</v>
      </c>
      <c r="J162" s="8" t="e">
        <v>#VALUE!</v>
      </c>
      <c r="K162" s="8" t="e">
        <v>#VALUE!</v>
      </c>
      <c r="L162" s="8" t="e">
        <v>#VALUE!</v>
      </c>
      <c r="M162" s="8" t="e">
        <v>#VALUE!</v>
      </c>
      <c r="N162" s="8" t="e">
        <v>#VALUE!</v>
      </c>
      <c r="O162" s="8" t="e">
        <v>#VALUE!</v>
      </c>
      <c r="P162" s="8">
        <v>1849.6595075955997</v>
      </c>
      <c r="Q162" s="8">
        <v>1977.4705581157193</v>
      </c>
      <c r="R162" s="8">
        <v>2004.012036108325</v>
      </c>
      <c r="S162" s="8">
        <v>2066.9291338582675</v>
      </c>
      <c r="T162" s="8">
        <v>2114.5480908651525</v>
      </c>
      <c r="U162" s="8">
        <v>2025.1661918328587</v>
      </c>
      <c r="V162" s="8">
        <v>1807.1895424836603</v>
      </c>
      <c r="W162" s="8">
        <v>1609.0950849793294</v>
      </c>
      <c r="X162" s="8">
        <v>1536.8611488014474</v>
      </c>
      <c r="Y162" s="8">
        <v>1549.7102095407936</v>
      </c>
      <c r="Z162" s="8">
        <v>1624.6153846153848</v>
      </c>
      <c r="AA162" s="8">
        <v>1641.4930555555557</v>
      </c>
      <c r="AB162" s="8">
        <v>1687.6876876876877</v>
      </c>
      <c r="AC162" s="8">
        <v>1728.7775891341259</v>
      </c>
      <c r="AD162" s="8">
        <v>1767.8721614802355</v>
      </c>
      <c r="AE162" s="8">
        <v>1761.8849040867387</v>
      </c>
      <c r="AF162" s="8">
        <v>1796.7781908302356</v>
      </c>
      <c r="AG162" s="8">
        <v>1860.3511637403024</v>
      </c>
      <c r="AH162" s="8">
        <v>1965.7258064516129</v>
      </c>
      <c r="AI162" s="8">
        <v>2144.3339960238568</v>
      </c>
      <c r="AJ162" s="8">
        <v>2264.6828504306973</v>
      </c>
      <c r="AK162" s="8">
        <v>2429.0135396518376</v>
      </c>
      <c r="AL162" s="8">
        <v>2653.7576687116562</v>
      </c>
      <c r="AM162" s="8">
        <v>2862.8419452887538</v>
      </c>
    </row>
    <row r="163" spans="1:39">
      <c r="A163" s="19" t="s">
        <v>156</v>
      </c>
      <c r="B163" s="8">
        <v>584.94194216404105</v>
      </c>
      <c r="C163" s="8">
        <v>584.33409066320462</v>
      </c>
      <c r="D163" s="8">
        <v>564.3442478809834</v>
      </c>
      <c r="E163" s="8">
        <v>580.0020588134372</v>
      </c>
      <c r="F163" s="8">
        <v>589.84152511140144</v>
      </c>
      <c r="G163" s="8">
        <v>611.46580231149528</v>
      </c>
      <c r="H163" s="8">
        <v>633.60122954756491</v>
      </c>
      <c r="I163" s="8">
        <v>660.41046529844903</v>
      </c>
      <c r="J163" s="8">
        <v>680.14232255689842</v>
      </c>
      <c r="K163" s="8">
        <v>718.86826455217158</v>
      </c>
      <c r="L163" s="8">
        <v>749.17627677100495</v>
      </c>
      <c r="M163" s="8">
        <v>775.14195947309258</v>
      </c>
      <c r="N163" s="8">
        <v>793.19112869049297</v>
      </c>
      <c r="O163" s="8">
        <v>815.93018423604383</v>
      </c>
      <c r="P163" s="8">
        <v>823.72927425930959</v>
      </c>
      <c r="Q163" s="8">
        <v>799.631813452149</v>
      </c>
      <c r="R163" s="8">
        <v>753.8844491025809</v>
      </c>
      <c r="S163" s="8">
        <v>656.33367662203909</v>
      </c>
      <c r="T163" s="8">
        <v>669.23193762341145</v>
      </c>
      <c r="U163" s="8">
        <v>676.9123471243181</v>
      </c>
      <c r="V163" s="8">
        <v>661.87579711566764</v>
      </c>
      <c r="W163" s="8">
        <v>715.41119891732524</v>
      </c>
      <c r="X163" s="8">
        <v>746.96211579699786</v>
      </c>
      <c r="Y163" s="8">
        <v>786.78855101753061</v>
      </c>
      <c r="Z163" s="8">
        <v>832.10460425650297</v>
      </c>
      <c r="AA163" s="8">
        <v>873.63027017134493</v>
      </c>
      <c r="AB163" s="8">
        <v>911.44328034682087</v>
      </c>
      <c r="AC163" s="8">
        <v>952.21850613154959</v>
      </c>
      <c r="AD163" s="8">
        <v>1043.5606477911206</v>
      </c>
      <c r="AE163" s="8">
        <v>1173.6335105919275</v>
      </c>
      <c r="AF163" s="8">
        <v>1293.3129059404871</v>
      </c>
      <c r="AG163" s="8">
        <v>1435.3617858364694</v>
      </c>
      <c r="AH163" s="8">
        <v>1619.503921984312</v>
      </c>
      <c r="AI163" s="8">
        <v>1824.4927993272365</v>
      </c>
      <c r="AJ163" s="8">
        <v>2048.0121750370045</v>
      </c>
      <c r="AK163" s="8">
        <v>2172.6988982823127</v>
      </c>
      <c r="AL163" s="8">
        <v>2272.3489740278374</v>
      </c>
      <c r="AM163" s="8">
        <v>2355.8243545436067</v>
      </c>
    </row>
    <row r="164" spans="1:39">
      <c r="A164" s="19" t="s">
        <v>157</v>
      </c>
      <c r="B164" s="8">
        <v>812.72654047523167</v>
      </c>
      <c r="C164" s="8">
        <v>820.26014978320848</v>
      </c>
      <c r="D164" s="8">
        <v>798.75038568343098</v>
      </c>
      <c r="E164" s="8">
        <v>830.95615425250924</v>
      </c>
      <c r="F164" s="8">
        <v>824.62356067316205</v>
      </c>
      <c r="G164" s="8">
        <v>841.97227837135426</v>
      </c>
      <c r="H164" s="8">
        <v>848.15756035578147</v>
      </c>
      <c r="I164" s="8">
        <v>865.81998895637776</v>
      </c>
      <c r="J164" s="8">
        <v>866.52270733517776</v>
      </c>
      <c r="K164" s="8">
        <v>827.42924995052442</v>
      </c>
      <c r="L164" s="8">
        <v>876.26539428718809</v>
      </c>
      <c r="M164" s="8">
        <v>888.76985127300225</v>
      </c>
      <c r="N164" s="8">
        <v>842.76652090903497</v>
      </c>
      <c r="O164" s="8">
        <v>903.22580645161293</v>
      </c>
      <c r="P164" s="8">
        <v>936.95230253484681</v>
      </c>
      <c r="Q164" s="8">
        <v>957.4113454796252</v>
      </c>
      <c r="R164" s="8">
        <v>951.47157942035506</v>
      </c>
      <c r="S164" s="8">
        <v>1001.2622797870589</v>
      </c>
      <c r="T164" s="8">
        <v>1020.2068928552286</v>
      </c>
      <c r="U164" s="8">
        <v>1041.9587736737469</v>
      </c>
      <c r="V164" s="8">
        <v>1081.2535089062421</v>
      </c>
      <c r="W164" s="8">
        <v>1097.7005773442168</v>
      </c>
      <c r="X164" s="8">
        <v>1111.4130434782608</v>
      </c>
      <c r="Y164" s="8">
        <v>1172.6438304314913</v>
      </c>
      <c r="Z164" s="8">
        <v>1183.3241048357327</v>
      </c>
      <c r="AA164" s="8">
        <v>1215.835433921498</v>
      </c>
      <c r="AB164" s="8">
        <v>1246.3214301401151</v>
      </c>
      <c r="AC164" s="8">
        <v>1253.4196646799021</v>
      </c>
      <c r="AD164" s="8">
        <v>1278.4735894106311</v>
      </c>
      <c r="AE164" s="8">
        <v>1327.3680330889879</v>
      </c>
      <c r="AF164" s="8">
        <v>1361.046558217806</v>
      </c>
      <c r="AG164" s="8">
        <v>1334.1963830371503</v>
      </c>
      <c r="AH164" s="8">
        <v>1358.5949809769031</v>
      </c>
      <c r="AI164" s="8">
        <v>1393.6506740980644</v>
      </c>
      <c r="AJ164" s="8">
        <v>1408.5406363032405</v>
      </c>
      <c r="AK164" s="8">
        <v>1431.9670055352558</v>
      </c>
      <c r="AL164" s="8">
        <v>1455.3152127508183</v>
      </c>
      <c r="AM164" s="8">
        <v>1507.7321391085297</v>
      </c>
    </row>
    <row r="165" spans="1:39">
      <c r="A165" s="19" t="s">
        <v>158</v>
      </c>
      <c r="B165" s="8">
        <v>983.81835625199869</v>
      </c>
      <c r="C165" s="8">
        <v>960.81043402831551</v>
      </c>
      <c r="D165" s="8">
        <v>996.36920122426932</v>
      </c>
      <c r="E165" s="8">
        <v>999.24432883321458</v>
      </c>
      <c r="F165" s="8">
        <v>1008.7846493883125</v>
      </c>
      <c r="G165" s="8">
        <v>1027.9244253461563</v>
      </c>
      <c r="H165" s="8">
        <v>1035.7020072461851</v>
      </c>
      <c r="I165" s="8">
        <v>1085.250442409787</v>
      </c>
      <c r="J165" s="8">
        <v>1092.8018518057595</v>
      </c>
      <c r="K165" s="8">
        <v>1169.8537410854588</v>
      </c>
      <c r="L165" s="8">
        <v>1227.4137444768262</v>
      </c>
      <c r="M165" s="8">
        <v>1272.6565716638454</v>
      </c>
      <c r="N165" s="8">
        <v>1322.6801139905604</v>
      </c>
      <c r="O165" s="8">
        <v>1352.7480386632569</v>
      </c>
      <c r="P165" s="8">
        <v>1416.9145726522777</v>
      </c>
      <c r="Q165" s="8">
        <v>1455.5539577213058</v>
      </c>
      <c r="R165" s="8">
        <v>1509.1893189799205</v>
      </c>
      <c r="S165" s="8">
        <v>1582.0194500204634</v>
      </c>
      <c r="T165" s="8">
        <v>1618.7137836040658</v>
      </c>
      <c r="U165" s="8">
        <v>1648.5297522574672</v>
      </c>
      <c r="V165" s="8">
        <v>1688.568848758465</v>
      </c>
      <c r="W165" s="8">
        <v>1773.656680932002</v>
      </c>
      <c r="X165" s="8">
        <v>1760.1679777403731</v>
      </c>
      <c r="Y165" s="8">
        <v>1780.7155659034188</v>
      </c>
      <c r="Z165" s="8">
        <v>1823.6731358529112</v>
      </c>
      <c r="AA165" s="8">
        <v>1865.7922015788215</v>
      </c>
      <c r="AB165" s="8">
        <v>1840.0087188709063</v>
      </c>
      <c r="AC165" s="8">
        <v>1842.1212627867035</v>
      </c>
      <c r="AD165" s="8">
        <v>1864.0997106610284</v>
      </c>
      <c r="AE165" s="8">
        <v>1897.2045191193508</v>
      </c>
      <c r="AF165" s="8">
        <v>1888.7168610816545</v>
      </c>
      <c r="AG165" s="8">
        <v>1903.1759396005577</v>
      </c>
      <c r="AH165" s="8">
        <v>1947.8573690202711</v>
      </c>
      <c r="AI165" s="8">
        <v>2041.575420390501</v>
      </c>
      <c r="AJ165" s="8">
        <v>2145.7386436586808</v>
      </c>
      <c r="AK165" s="8">
        <v>2232.0159494849122</v>
      </c>
      <c r="AL165" s="8">
        <v>2315.5938232777985</v>
      </c>
      <c r="AM165" s="8">
        <v>2400.8443901058199</v>
      </c>
    </row>
    <row r="166" spans="1:39">
      <c r="A166" s="19" t="s">
        <v>159</v>
      </c>
      <c r="B166" s="8">
        <v>3019.5901225379439</v>
      </c>
      <c r="C166" s="8">
        <v>3095.6971184907611</v>
      </c>
      <c r="D166" s="8">
        <v>3279.2047853624213</v>
      </c>
      <c r="E166" s="8">
        <v>3303.4081463009143</v>
      </c>
      <c r="F166" s="8">
        <v>3393.001570008088</v>
      </c>
      <c r="G166" s="8">
        <v>3592.7494964928119</v>
      </c>
      <c r="H166" s="8">
        <v>3693.0461039253682</v>
      </c>
      <c r="I166" s="8">
        <v>3781.0560028078175</v>
      </c>
      <c r="J166" s="8">
        <v>3888.2767456758488</v>
      </c>
      <c r="K166" s="8">
        <v>3979.5269371466575</v>
      </c>
      <c r="L166" s="8">
        <v>4005.7856088038357</v>
      </c>
      <c r="M166" s="8">
        <v>4039.770825539958</v>
      </c>
      <c r="N166" s="8">
        <v>4005.8833675092469</v>
      </c>
      <c r="O166" s="8">
        <v>3614.4187174655299</v>
      </c>
      <c r="P166" s="8">
        <v>3262.9742695159184</v>
      </c>
      <c r="Q166" s="8">
        <v>3287.6515889174116</v>
      </c>
      <c r="R166" s="8">
        <v>3342.3631720615635</v>
      </c>
      <c r="S166" s="8">
        <v>3479.028920405794</v>
      </c>
      <c r="T166" s="8">
        <v>3604.4378066993813</v>
      </c>
      <c r="U166" s="8">
        <v>3624.9058900796131</v>
      </c>
      <c r="V166" s="8">
        <v>3519.428714451084</v>
      </c>
      <c r="W166" s="8">
        <v>3450.3033915661726</v>
      </c>
      <c r="X166" s="8">
        <v>3444.1439691622718</v>
      </c>
      <c r="Y166" s="8">
        <v>3515.8453019300732</v>
      </c>
      <c r="Z166" s="8">
        <v>3600.2715643536053</v>
      </c>
      <c r="AA166" s="8">
        <v>3729.0935283997928</v>
      </c>
      <c r="AB166" s="8">
        <v>3839.6473117101823</v>
      </c>
      <c r="AC166" s="8">
        <v>3738.2653813667262</v>
      </c>
      <c r="AD166" s="8">
        <v>3786.4929470172578</v>
      </c>
      <c r="AE166" s="8">
        <v>3932.384250022526</v>
      </c>
      <c r="AF166" s="8">
        <v>3923.1565264579308</v>
      </c>
      <c r="AG166" s="8">
        <v>4019.0991347832005</v>
      </c>
      <c r="AH166" s="8">
        <v>4137.5813659768774</v>
      </c>
      <c r="AI166" s="8">
        <v>4319.3502639701592</v>
      </c>
      <c r="AJ166" s="8">
        <v>4449.1906054084402</v>
      </c>
      <c r="AK166" s="8">
        <v>4600.5694669284376</v>
      </c>
      <c r="AL166" s="8">
        <v>4836.3353547194483</v>
      </c>
      <c r="AM166" s="8">
        <v>4931.3985921105059</v>
      </c>
    </row>
    <row r="167" spans="1:39">
      <c r="A167" s="19" t="s">
        <v>160</v>
      </c>
      <c r="B167" s="8">
        <v>5094.6521533364885</v>
      </c>
      <c r="C167" s="8">
        <v>5674.2565055762079</v>
      </c>
      <c r="D167" s="8">
        <v>6189.2384860921111</v>
      </c>
      <c r="E167" s="8">
        <v>6455.1569506726455</v>
      </c>
      <c r="F167" s="8">
        <v>6560.7600530269556</v>
      </c>
      <c r="G167" s="8">
        <v>6931.9668556476227</v>
      </c>
      <c r="H167" s="8">
        <v>7368.6021505376339</v>
      </c>
      <c r="I167" s="8">
        <v>7897.6210705182666</v>
      </c>
      <c r="J167" s="8">
        <v>8533.1375838926178</v>
      </c>
      <c r="K167" s="8">
        <v>9245.2361226180601</v>
      </c>
      <c r="L167" s="8">
        <v>9668.3774180813271</v>
      </c>
      <c r="M167" s="8">
        <v>9911.2202493388741</v>
      </c>
      <c r="N167" s="8">
        <v>10618.798955613576</v>
      </c>
      <c r="O167" s="8">
        <v>11288.799414348461</v>
      </c>
      <c r="P167" s="8">
        <v>11109.649122807017</v>
      </c>
      <c r="Q167" s="8">
        <v>11357.848518111965</v>
      </c>
      <c r="R167" s="8">
        <v>12285.765765765766</v>
      </c>
      <c r="S167" s="8">
        <v>13353.478566408994</v>
      </c>
      <c r="T167" s="8">
        <v>14264.414875469123</v>
      </c>
      <c r="U167" s="8">
        <v>14986.215950114867</v>
      </c>
      <c r="V167" s="8">
        <v>15520.255183413079</v>
      </c>
      <c r="W167" s="8">
        <v>16013.618074899412</v>
      </c>
      <c r="X167" s="8">
        <v>17444.477972238987</v>
      </c>
      <c r="Y167" s="8">
        <v>18864.580286633522</v>
      </c>
      <c r="Z167" s="8">
        <v>19789.503546099291</v>
      </c>
      <c r="AA167" s="8">
        <v>20482.97466630346</v>
      </c>
      <c r="AB167" s="8">
        <v>21460.484720758694</v>
      </c>
      <c r="AC167" s="8">
        <v>20459.129106187931</v>
      </c>
      <c r="AD167" s="8">
        <v>21755.241222530942</v>
      </c>
      <c r="AE167" s="8">
        <v>23533.763654419068</v>
      </c>
      <c r="AF167" s="8">
        <v>22358.627356210731</v>
      </c>
      <c r="AG167" s="8">
        <v>23076.149425287356</v>
      </c>
      <c r="AH167" s="8">
        <v>24233.77885783718</v>
      </c>
      <c r="AI167" s="8">
        <v>26223.66210703144</v>
      </c>
      <c r="AJ167" s="8">
        <v>27486.872948898264</v>
      </c>
      <c r="AK167" s="8">
        <v>28868.893433310612</v>
      </c>
      <c r="AL167" s="8">
        <v>29836.347788189145</v>
      </c>
      <c r="AM167" s="8">
        <v>28620.169456499276</v>
      </c>
    </row>
    <row r="168" spans="1:39">
      <c r="A168" s="19" t="s">
        <v>161</v>
      </c>
      <c r="B168" s="8">
        <v>1388.4087845873305</v>
      </c>
      <c r="C168" s="8">
        <v>1353.9321481251454</v>
      </c>
      <c r="D168" s="8">
        <v>1420.203864293321</v>
      </c>
      <c r="E168" s="8">
        <v>1445.8945484376165</v>
      </c>
      <c r="F168" s="8">
        <v>1504.9736688121709</v>
      </c>
      <c r="G168" s="8">
        <v>1525.9078512989811</v>
      </c>
      <c r="H168" s="8">
        <v>1574.1758241758241</v>
      </c>
      <c r="I168" s="8">
        <v>1633.5708849373832</v>
      </c>
      <c r="J168" s="8">
        <v>1708.6308916547644</v>
      </c>
      <c r="K168" s="8">
        <v>1779.7336189010105</v>
      </c>
      <c r="L168" s="8">
        <v>1853.1680622403903</v>
      </c>
      <c r="M168" s="8">
        <v>1902.9384995449227</v>
      </c>
      <c r="N168" s="8">
        <v>1967.8019370149445</v>
      </c>
      <c r="O168" s="8">
        <v>2040.7594936708861</v>
      </c>
      <c r="P168" s="8">
        <v>2114.2821457565724</v>
      </c>
      <c r="Q168" s="8">
        <v>2176.7605199926065</v>
      </c>
      <c r="R168" s="8">
        <v>2184.4040600498388</v>
      </c>
      <c r="S168" s="8">
        <v>2208.5032381866158</v>
      </c>
      <c r="T168" s="8">
        <v>2229.7449251346393</v>
      </c>
      <c r="U168" s="8">
        <v>2342.3512913404229</v>
      </c>
      <c r="V168" s="8">
        <v>2420.3994458554603</v>
      </c>
      <c r="W168" s="8">
        <v>2497.2047917855102</v>
      </c>
      <c r="X168" s="8">
        <v>2640.0203091504009</v>
      </c>
      <c r="Y168" s="8">
        <v>2759.0307632181339</v>
      </c>
      <c r="Z168" s="8">
        <v>2883.5730088495579</v>
      </c>
      <c r="AA168" s="8">
        <v>2967.8622353844462</v>
      </c>
      <c r="AB168" s="8">
        <v>3134.1098350840907</v>
      </c>
      <c r="AC168" s="8">
        <v>3259.1631527732725</v>
      </c>
      <c r="AD168" s="8">
        <v>3378.7007683627962</v>
      </c>
      <c r="AE168" s="8">
        <v>3561.7184995190769</v>
      </c>
      <c r="AF168" s="8">
        <v>3491.1954035218387</v>
      </c>
      <c r="AG168" s="8">
        <v>3589.5196506550215</v>
      </c>
      <c r="AH168" s="8">
        <v>3754.1162416246821</v>
      </c>
      <c r="AI168" s="8">
        <v>3916.0415168019731</v>
      </c>
      <c r="AJ168" s="8">
        <v>4116.8903803131989</v>
      </c>
      <c r="AK168" s="8">
        <v>4383.9384491602132</v>
      </c>
      <c r="AL168" s="8">
        <v>4652.973513243378</v>
      </c>
      <c r="AM168" s="8">
        <v>4894.0762055963487</v>
      </c>
    </row>
    <row r="169" spans="1:39">
      <c r="A169" s="21" t="s">
        <v>162</v>
      </c>
      <c r="B169" s="8">
        <v>1668.8918558077437</v>
      </c>
      <c r="C169" s="8">
        <v>1695.3915992961161</v>
      </c>
      <c r="D169" s="8">
        <v>1821.9631047685345</v>
      </c>
      <c r="E169" s="8">
        <v>1856.8032985690033</v>
      </c>
      <c r="F169" s="8">
        <v>1902.6659721564542</v>
      </c>
      <c r="G169" s="8">
        <v>2032.1043623074431</v>
      </c>
      <c r="H169" s="8">
        <v>2182.1141888072357</v>
      </c>
      <c r="I169" s="8">
        <v>2353.9298509443142</v>
      </c>
      <c r="J169" s="8">
        <v>2426.1919183179025</v>
      </c>
      <c r="K169" s="8">
        <v>2495.7684495599187</v>
      </c>
      <c r="L169" s="8">
        <v>2584.895510035175</v>
      </c>
      <c r="M169" s="8">
        <v>2663.3008215629934</v>
      </c>
      <c r="N169" s="8">
        <v>2751.5989149159454</v>
      </c>
      <c r="O169" s="8">
        <v>2850.6197505479799</v>
      </c>
      <c r="P169" s="8">
        <v>2926.7865638976114</v>
      </c>
      <c r="Q169" s="8">
        <v>3035.5366027007817</v>
      </c>
      <c r="R169" s="8">
        <v>3272.0394676288129</v>
      </c>
      <c r="S169" s="8">
        <v>3652.5666606203517</v>
      </c>
      <c r="T169" s="8">
        <v>4040.817056592974</v>
      </c>
      <c r="U169" s="8">
        <v>4431.4223704409505</v>
      </c>
      <c r="V169" s="8">
        <v>4746.9269074067624</v>
      </c>
      <c r="W169" s="8">
        <v>5064.345375176159</v>
      </c>
      <c r="X169" s="8">
        <v>5415.186907955047</v>
      </c>
      <c r="Y169" s="8">
        <v>5836.7610765072277</v>
      </c>
      <c r="Z169" s="8">
        <v>6314.765547056867</v>
      </c>
      <c r="AA169" s="8">
        <v>6634.3511324458523</v>
      </c>
      <c r="AB169" s="8">
        <v>6500.2703898530062</v>
      </c>
      <c r="AC169" s="8">
        <v>5781.4622387986774</v>
      </c>
      <c r="AD169" s="8">
        <v>5997.0885093167708</v>
      </c>
      <c r="AE169" s="8">
        <v>6229.2652413107289</v>
      </c>
      <c r="AF169" s="8">
        <v>6299.2014732263342</v>
      </c>
      <c r="AG169" s="8">
        <v>6556.8299494775156</v>
      </c>
      <c r="AH169" s="8">
        <v>6939.0759884072349</v>
      </c>
      <c r="AI169" s="8">
        <v>7293.8464130884358</v>
      </c>
      <c r="AJ169" s="8">
        <v>7552.5278257968639</v>
      </c>
      <c r="AK169" s="8">
        <v>7880.2080983956575</v>
      </c>
      <c r="AL169" s="8">
        <v>8210.1404917959353</v>
      </c>
      <c r="AM169" s="8">
        <v>8370.9969429851899</v>
      </c>
    </row>
    <row r="170" spans="1:39">
      <c r="A170" s="19" t="s">
        <v>163</v>
      </c>
      <c r="B170" s="8">
        <v>937.81589479702689</v>
      </c>
      <c r="C170" s="8">
        <v>828.34353635104333</v>
      </c>
      <c r="D170" s="8">
        <v>818.7670485542825</v>
      </c>
      <c r="E170" s="8">
        <v>846.17843897864361</v>
      </c>
      <c r="F170" s="8">
        <v>862.81490734957322</v>
      </c>
      <c r="G170" s="8">
        <v>896.23255624720287</v>
      </c>
      <c r="H170" s="8">
        <v>893.48841833184213</v>
      </c>
      <c r="I170" s="8">
        <v>898.94237499027918</v>
      </c>
      <c r="J170" s="8">
        <v>863.03115608475673</v>
      </c>
      <c r="K170" s="8">
        <v>815.34450651769089</v>
      </c>
      <c r="L170" s="8">
        <v>846.53338693761191</v>
      </c>
      <c r="M170" s="8">
        <v>900.10235782139466</v>
      </c>
      <c r="N170" s="8">
        <v>947.50683964345603</v>
      </c>
      <c r="O170" s="8">
        <v>1008.6320460375789</v>
      </c>
      <c r="P170" s="8">
        <v>1026.1092613983828</v>
      </c>
      <c r="Q170" s="8">
        <v>1030.5399259738751</v>
      </c>
      <c r="R170" s="8">
        <v>1041.5222672064776</v>
      </c>
      <c r="S170" s="8">
        <v>1068.8237990610626</v>
      </c>
      <c r="T170" s="8">
        <v>1120.7737672522926</v>
      </c>
      <c r="U170" s="8">
        <v>1152.5679758308156</v>
      </c>
      <c r="V170" s="8">
        <v>1195.8701890364762</v>
      </c>
      <c r="W170" s="8">
        <v>1273.1990143499058</v>
      </c>
      <c r="X170" s="8">
        <v>1349.4200261556832</v>
      </c>
      <c r="Y170" s="8">
        <v>1441.4263591846984</v>
      </c>
      <c r="Z170" s="8">
        <v>1550.7947382844613</v>
      </c>
      <c r="AA170" s="8">
        <v>1665.5047106325708</v>
      </c>
      <c r="AB170" s="8">
        <v>1773.5886562417177</v>
      </c>
      <c r="AC170" s="8">
        <v>1849.8431782540513</v>
      </c>
      <c r="AD170" s="8">
        <v>1913.268399664581</v>
      </c>
      <c r="AE170" s="8">
        <v>2039.9690861080696</v>
      </c>
      <c r="AF170" s="8">
        <v>2151.5009023206158</v>
      </c>
      <c r="AG170" s="8">
        <v>2273.7466604788842</v>
      </c>
      <c r="AH170" s="8">
        <v>2405.2186596128649</v>
      </c>
      <c r="AI170" s="8">
        <v>2556.8680514921007</v>
      </c>
      <c r="AJ170" s="8">
        <v>2736.8782037398023</v>
      </c>
      <c r="AK170" s="8">
        <v>2925.7995887659413</v>
      </c>
      <c r="AL170" s="8">
        <v>3135.9520873700899</v>
      </c>
      <c r="AM170" s="8">
        <v>3287.8982960411086</v>
      </c>
    </row>
    <row r="171" spans="1:39">
      <c r="A171" s="19" t="s">
        <v>164</v>
      </c>
      <c r="B171" s="8">
        <v>1239.2777300085984</v>
      </c>
      <c r="C171" s="8">
        <v>1213.3387172757252</v>
      </c>
      <c r="D171" s="8">
        <v>1215.5382688377613</v>
      </c>
      <c r="E171" s="8">
        <v>1258.4745762711864</v>
      </c>
      <c r="F171" s="8">
        <v>1240.0852335973029</v>
      </c>
      <c r="G171" s="8">
        <v>1239.8846648070955</v>
      </c>
      <c r="H171" s="8">
        <v>1239.5285528676607</v>
      </c>
      <c r="I171" s="8">
        <v>1309.1131125019081</v>
      </c>
      <c r="J171" s="8">
        <v>1335.6052837927498</v>
      </c>
      <c r="K171" s="8">
        <v>1343.720605637649</v>
      </c>
      <c r="L171" s="8">
        <v>1411.8619742917758</v>
      </c>
      <c r="M171" s="8">
        <v>1459.2023764378714</v>
      </c>
      <c r="N171" s="8">
        <v>1490.097171504611</v>
      </c>
      <c r="O171" s="8">
        <v>1492.7302100161551</v>
      </c>
      <c r="P171" s="8">
        <v>1569.7228275883238</v>
      </c>
      <c r="Q171" s="8">
        <v>1527.9407781890402</v>
      </c>
      <c r="R171" s="8">
        <v>1547.8779997635654</v>
      </c>
      <c r="S171" s="8">
        <v>1557.595704139962</v>
      </c>
      <c r="T171" s="8">
        <v>1543.6939461883408</v>
      </c>
      <c r="U171" s="8">
        <v>1448.0649496694916</v>
      </c>
      <c r="V171" s="8">
        <v>1487.4530831099196</v>
      </c>
      <c r="W171" s="8">
        <v>1583.1640942323313</v>
      </c>
      <c r="X171" s="8">
        <v>1551.469365452688</v>
      </c>
      <c r="Y171" s="8">
        <v>1540.6192831492649</v>
      </c>
      <c r="Z171" s="8">
        <v>1662.181754915038</v>
      </c>
      <c r="AA171" s="8">
        <v>1666.4222667155468</v>
      </c>
      <c r="AB171" s="8">
        <v>1628.9879743012466</v>
      </c>
      <c r="AC171" s="8">
        <v>1586.8513220864636</v>
      </c>
      <c r="AD171" s="8">
        <v>1598.1580727405171</v>
      </c>
      <c r="AE171" s="8">
        <v>1602.9845388579781</v>
      </c>
      <c r="AF171" s="8">
        <v>1615.6460859418601</v>
      </c>
      <c r="AG171" s="8">
        <v>1684.9648985959439</v>
      </c>
      <c r="AH171" s="8">
        <v>1722.7474972191324</v>
      </c>
      <c r="AI171" s="8">
        <v>1796.6403381911225</v>
      </c>
      <c r="AJ171" s="8">
        <v>1841.6454313796869</v>
      </c>
      <c r="AK171" s="8">
        <v>1908.7285109210197</v>
      </c>
      <c r="AL171" s="8">
        <v>2072.8636594019258</v>
      </c>
      <c r="AM171" s="8">
        <v>2148.8961488961486</v>
      </c>
    </row>
    <row r="172" spans="1:39">
      <c r="A172" s="20" t="s">
        <v>165</v>
      </c>
      <c r="B172" s="8">
        <v>1201.2255068781149</v>
      </c>
      <c r="C172" s="8">
        <v>1185.2315659888779</v>
      </c>
      <c r="D172" s="8">
        <v>1222.7291853061195</v>
      </c>
      <c r="E172" s="8">
        <v>1235.7456130703888</v>
      </c>
      <c r="F172" s="8">
        <v>1283.0265848670758</v>
      </c>
      <c r="G172" s="8">
        <v>1313.5623799997315</v>
      </c>
      <c r="H172" s="8">
        <v>1371.5211878892617</v>
      </c>
      <c r="I172" s="8">
        <v>1433.7732401125122</v>
      </c>
      <c r="J172" s="8">
        <v>1413.5795943521591</v>
      </c>
      <c r="K172" s="8">
        <v>1468.1054435888441</v>
      </c>
      <c r="L172" s="8">
        <v>1522.6503903145608</v>
      </c>
      <c r="M172" s="8">
        <v>1546.7711170362281</v>
      </c>
      <c r="N172" s="8">
        <v>1611.6424185103235</v>
      </c>
      <c r="O172" s="8">
        <v>1644.8274335381411</v>
      </c>
      <c r="P172" s="8">
        <v>1671.2618592365641</v>
      </c>
      <c r="Q172" s="8">
        <v>1716.2345988287836</v>
      </c>
      <c r="R172" s="8">
        <v>1768.7143456209894</v>
      </c>
      <c r="S172" s="8">
        <v>1872.2491251178346</v>
      </c>
      <c r="T172" s="8">
        <v>1958.2298285910874</v>
      </c>
      <c r="U172" s="8">
        <v>2032.5748626211864</v>
      </c>
      <c r="V172" s="8">
        <v>2067.6662399158085</v>
      </c>
      <c r="W172" s="8">
        <v>2148.491369295496</v>
      </c>
      <c r="X172" s="8">
        <v>2221.4068889463897</v>
      </c>
      <c r="Y172" s="8">
        <v>2325.8580679622723</v>
      </c>
      <c r="Z172" s="8">
        <v>2449.8780767129056</v>
      </c>
      <c r="AA172" s="8">
        <v>2571.7391100037098</v>
      </c>
      <c r="AB172" s="8">
        <v>2629.7505664006258</v>
      </c>
      <c r="AC172" s="8">
        <v>2600.9057154393558</v>
      </c>
      <c r="AD172" s="8">
        <v>2698.2947732955481</v>
      </c>
      <c r="AE172" s="8">
        <v>2787.6300095210236</v>
      </c>
      <c r="AF172" s="8">
        <v>2837.2815605098945</v>
      </c>
      <c r="AG172" s="8">
        <v>2913.4566054243655</v>
      </c>
      <c r="AH172" s="8">
        <v>3059.8052871733444</v>
      </c>
      <c r="AI172" s="8">
        <v>3233.1137017698884</v>
      </c>
      <c r="AJ172" s="8">
        <v>3421.8340849187175</v>
      </c>
      <c r="AK172" s="8">
        <v>3630.9489944897091</v>
      </c>
      <c r="AL172" s="8">
        <v>3853.8714036024012</v>
      </c>
      <c r="AM172" s="8">
        <v>4012.9374260468198</v>
      </c>
    </row>
    <row r="173" spans="1:39">
      <c r="A173" s="21" t="s">
        <v>166</v>
      </c>
      <c r="B173" s="8">
        <v>528.47385284833638</v>
      </c>
      <c r="C173" s="8">
        <v>535.24007285129289</v>
      </c>
      <c r="D173" s="8">
        <v>564.48624622990224</v>
      </c>
      <c r="E173" s="8">
        <v>565.66113178208468</v>
      </c>
      <c r="F173" s="8">
        <v>604.1084903344082</v>
      </c>
      <c r="G173" s="8">
        <v>585.31511735979416</v>
      </c>
      <c r="H173" s="8">
        <v>621.27499456783835</v>
      </c>
      <c r="I173" s="8">
        <v>684.73955854899521</v>
      </c>
      <c r="J173" s="8">
        <v>727.01688845774788</v>
      </c>
      <c r="K173" s="8">
        <v>773.95527065381896</v>
      </c>
      <c r="L173" s="8">
        <v>803.83847225785678</v>
      </c>
      <c r="M173" s="8">
        <v>864.16723674687444</v>
      </c>
      <c r="N173" s="8">
        <v>944.61306935337291</v>
      </c>
      <c r="O173" s="8">
        <v>1074.0095966050201</v>
      </c>
      <c r="P173" s="8">
        <v>1202.5137007154819</v>
      </c>
      <c r="Q173" s="8">
        <v>1289.0193946324957</v>
      </c>
      <c r="R173" s="8">
        <v>1415.6609334569455</v>
      </c>
      <c r="S173" s="8">
        <v>1550.4643119740747</v>
      </c>
      <c r="T173" s="8">
        <v>1589.4766012604478</v>
      </c>
      <c r="U173" s="8">
        <v>1625.84424565159</v>
      </c>
      <c r="V173" s="8">
        <v>1751.3625540937451</v>
      </c>
      <c r="W173" s="8">
        <v>1975.693794689992</v>
      </c>
      <c r="X173" s="8">
        <v>2226.5469603883098</v>
      </c>
      <c r="Y173" s="8">
        <v>2489.921843208162</v>
      </c>
      <c r="Z173" s="8">
        <v>2731.4838715032097</v>
      </c>
      <c r="AA173" s="8">
        <v>2973.3037657591067</v>
      </c>
      <c r="AB173" s="8">
        <v>3216.7306871532223</v>
      </c>
      <c r="AC173" s="8">
        <v>3434.5211303329079</v>
      </c>
      <c r="AD173" s="8">
        <v>3660.7624418238306</v>
      </c>
      <c r="AE173" s="8">
        <v>3940.2642864779887</v>
      </c>
      <c r="AF173" s="8">
        <v>4236.4217478476239</v>
      </c>
      <c r="AG173" s="8">
        <v>4591.0723211496406</v>
      </c>
      <c r="AH173" s="8">
        <v>5018.8217944737653</v>
      </c>
      <c r="AI173" s="8">
        <v>5492.6532819712429</v>
      </c>
      <c r="AJ173" s="8">
        <v>6028.7124535943303</v>
      </c>
      <c r="AK173" s="8">
        <v>6690.5798538542513</v>
      </c>
      <c r="AL173" s="8">
        <v>7518.547989471369</v>
      </c>
      <c r="AM173" s="8">
        <v>8149.9026885127178</v>
      </c>
    </row>
    <row r="174" spans="1:39">
      <c r="A174" s="23" t="s">
        <v>167</v>
      </c>
      <c r="B174" s="8">
        <v>6622.9913473423985</v>
      </c>
      <c r="C174" s="8">
        <v>7210.9602327837056</v>
      </c>
      <c r="D174" s="8">
        <v>8230.0801508722307</v>
      </c>
      <c r="E174" s="8">
        <v>8230.0415320719894</v>
      </c>
      <c r="F174" s="8">
        <v>8036.3065889735553</v>
      </c>
      <c r="G174" s="8">
        <v>9243.4705621956618</v>
      </c>
      <c r="H174" s="8">
        <v>10171.029668411868</v>
      </c>
      <c r="I174" s="8">
        <v>10833.547557840617</v>
      </c>
      <c r="J174" s="8">
        <v>11451.724137931034</v>
      </c>
      <c r="K174" s="8">
        <v>12300.019751135691</v>
      </c>
      <c r="L174" s="8">
        <v>13134.671039938261</v>
      </c>
      <c r="M174" s="8">
        <v>13307.692307692309</v>
      </c>
      <c r="N174" s="8">
        <v>13890.551917680075</v>
      </c>
      <c r="O174" s="8">
        <v>15119.118191922935</v>
      </c>
      <c r="P174" s="8">
        <v>15058.651026392961</v>
      </c>
      <c r="Q174" s="8">
        <v>16520.904977375565</v>
      </c>
      <c r="R174" s="8">
        <v>18515.471293149705</v>
      </c>
      <c r="S174" s="8">
        <v>19947.050461975836</v>
      </c>
      <c r="T174" s="8">
        <v>20182.20189940204</v>
      </c>
      <c r="U174" s="8">
        <v>20899.211218229622</v>
      </c>
      <c r="V174" s="8">
        <v>21908.727399165509</v>
      </c>
      <c r="W174" s="8">
        <v>23047.405619720736</v>
      </c>
      <c r="X174" s="8">
        <v>24026.097271648872</v>
      </c>
      <c r="Y174" s="8">
        <v>24905.219552609775</v>
      </c>
      <c r="Z174" s="8">
        <v>24975.633528265109</v>
      </c>
      <c r="AA174" s="8">
        <v>24890.770665009324</v>
      </c>
      <c r="AB174" s="8">
        <v>25935.737401756818</v>
      </c>
      <c r="AC174" s="8">
        <v>24167.940097799514</v>
      </c>
      <c r="AD174" s="8">
        <v>24549.265930074162</v>
      </c>
      <c r="AE174" s="8">
        <v>26270.667666916728</v>
      </c>
      <c r="AF174" s="8">
        <v>26208.51951146857</v>
      </c>
      <c r="AG174" s="8">
        <v>26572.360616844602</v>
      </c>
      <c r="AH174" s="8">
        <v>27424.008319714754</v>
      </c>
      <c r="AI174" s="8">
        <v>29513.413915094341</v>
      </c>
      <c r="AJ174" s="8">
        <v>31469.103185087333</v>
      </c>
      <c r="AK174" s="8">
        <v>33462.009625200524</v>
      </c>
      <c r="AL174" s="8">
        <v>35242.419867167198</v>
      </c>
      <c r="AM174" s="8">
        <v>35807.108053883632</v>
      </c>
    </row>
    <row r="175" spans="1:39">
      <c r="A175" s="20" t="s">
        <v>168</v>
      </c>
      <c r="B175" s="8">
        <v>557.64302194876655</v>
      </c>
      <c r="C175" s="8">
        <v>567.02503249999427</v>
      </c>
      <c r="D175" s="8">
        <v>601.18011875664365</v>
      </c>
      <c r="E175" s="8">
        <v>602.37828899372596</v>
      </c>
      <c r="F175" s="8">
        <v>640.12110457975564</v>
      </c>
      <c r="G175" s="8">
        <v>627.14298392969226</v>
      </c>
      <c r="H175" s="8">
        <v>667.45038969915799</v>
      </c>
      <c r="I175" s="8">
        <v>734.045354395613</v>
      </c>
      <c r="J175" s="8">
        <v>781.30470719298523</v>
      </c>
      <c r="K175" s="8">
        <v>833.12244372390489</v>
      </c>
      <c r="L175" s="8">
        <v>867.80879779954921</v>
      </c>
      <c r="M175" s="8">
        <v>928.78453883291661</v>
      </c>
      <c r="N175" s="8">
        <v>1011.8815346253117</v>
      </c>
      <c r="O175" s="8">
        <v>1146.7536218256555</v>
      </c>
      <c r="P175" s="8">
        <v>1274.0701337250684</v>
      </c>
      <c r="Q175" s="8">
        <v>1367.500221483426</v>
      </c>
      <c r="R175" s="8">
        <v>1503.4020847520158</v>
      </c>
      <c r="S175" s="8">
        <v>1643.9709625037706</v>
      </c>
      <c r="T175" s="8">
        <v>1683.503863613724</v>
      </c>
      <c r="U175" s="8">
        <v>1722.2203718149865</v>
      </c>
      <c r="V175" s="8">
        <v>1851.6150007090164</v>
      </c>
      <c r="W175" s="8">
        <v>2080.1010616081198</v>
      </c>
      <c r="X175" s="8">
        <v>2335.16360575206</v>
      </c>
      <c r="Y175" s="8">
        <v>2602.8525632998576</v>
      </c>
      <c r="Z175" s="8">
        <v>2844.5588025211991</v>
      </c>
      <c r="AA175" s="8">
        <v>3088.55084943782</v>
      </c>
      <c r="AB175" s="8">
        <v>3335.9510708705734</v>
      </c>
      <c r="AC175" s="8">
        <v>3543.1969620634386</v>
      </c>
      <c r="AD175" s="8">
        <v>3770.2647376664427</v>
      </c>
      <c r="AE175" s="8">
        <v>4057.5186518659748</v>
      </c>
      <c r="AF175" s="8">
        <v>4351.8017087920507</v>
      </c>
      <c r="AG175" s="8">
        <v>4706.2434350779713</v>
      </c>
      <c r="AH175" s="8">
        <v>5135.2650812929342</v>
      </c>
      <c r="AI175" s="8">
        <v>5617.7217540932397</v>
      </c>
      <c r="AJ175" s="8">
        <v>6160.9680946607223</v>
      </c>
      <c r="AK175" s="8">
        <v>6829.873349333815</v>
      </c>
      <c r="AL175" s="8">
        <v>7663.439568499497</v>
      </c>
      <c r="AM175" s="8">
        <v>8294.724369624304</v>
      </c>
    </row>
    <row r="176" spans="1:39">
      <c r="A176" s="24" t="s">
        <v>169</v>
      </c>
      <c r="B176" s="25" t="s">
        <v>6</v>
      </c>
      <c r="C176" s="25" t="s">
        <v>6</v>
      </c>
      <c r="D176" s="25" t="s">
        <v>6</v>
      </c>
      <c r="E176" s="25" t="s">
        <v>6</v>
      </c>
      <c r="F176" s="25" t="s">
        <v>6</v>
      </c>
      <c r="G176" s="25" t="s">
        <v>6</v>
      </c>
      <c r="H176" s="25" t="s">
        <v>6</v>
      </c>
      <c r="I176" s="25" t="s">
        <v>6</v>
      </c>
      <c r="J176" s="25" t="s">
        <v>6</v>
      </c>
      <c r="K176" s="25" t="s">
        <v>6</v>
      </c>
      <c r="L176" s="25" t="s">
        <v>6</v>
      </c>
      <c r="M176" s="25" t="s">
        <v>6</v>
      </c>
      <c r="N176" s="25" t="s">
        <v>6</v>
      </c>
      <c r="O176" s="25" t="s">
        <v>6</v>
      </c>
      <c r="P176" s="25" t="s">
        <v>6</v>
      </c>
      <c r="Q176" s="25" t="s">
        <v>6</v>
      </c>
      <c r="R176" s="25" t="s">
        <v>6</v>
      </c>
      <c r="S176" s="25" t="s">
        <v>6</v>
      </c>
      <c r="T176" s="25" t="s">
        <v>6</v>
      </c>
      <c r="U176" s="8">
        <v>18110.176176146539</v>
      </c>
      <c r="V176" s="8">
        <v>18160.515660141522</v>
      </c>
      <c r="W176" s="8">
        <v>18232.210107976829</v>
      </c>
      <c r="X176" s="8">
        <v>18143.88914634888</v>
      </c>
      <c r="Y176" s="8">
        <v>18631.59745258122</v>
      </c>
      <c r="Z176" s="8">
        <v>19135.515151008745</v>
      </c>
      <c r="AA176" s="8">
        <v>19487.196171051397</v>
      </c>
      <c r="AB176" s="8">
        <v>19988.522811744544</v>
      </c>
      <c r="AC176" s="8">
        <v>20552.830176908152</v>
      </c>
      <c r="AD176" s="8">
        <v>21138.240898730866</v>
      </c>
      <c r="AE176" s="8">
        <v>21914.868900052599</v>
      </c>
      <c r="AF176" s="8">
        <v>22317.993818743751</v>
      </c>
      <c r="AG176" s="8">
        <v>22551.171583790172</v>
      </c>
      <c r="AH176" s="8">
        <v>22795.589706992159</v>
      </c>
      <c r="AI176" s="8">
        <v>23305.034990160293</v>
      </c>
      <c r="AJ176" s="8">
        <v>23691.707765118033</v>
      </c>
      <c r="AK176" s="8">
        <v>24391.860385102671</v>
      </c>
      <c r="AL176" s="8">
        <v>25022.053268706597</v>
      </c>
      <c r="AM176" s="8">
        <v>25149.802197978468</v>
      </c>
    </row>
    <row r="179" spans="2:43"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"/>
      <c r="AL179" s="2"/>
      <c r="AM179" s="2"/>
      <c r="AN179" s="2"/>
      <c r="AO179" s="2"/>
      <c r="AP179" s="2"/>
      <c r="AQ179" s="2"/>
    </row>
    <row r="183" spans="2:43"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"/>
      <c r="AM183" s="2"/>
      <c r="AN183" s="2"/>
      <c r="AO183" s="2"/>
      <c r="AP183" s="2"/>
      <c r="AQ183" s="2"/>
    </row>
    <row r="186" spans="2:43"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  <c r="AC186" s="28"/>
      <c r="AD186" s="28"/>
      <c r="AE186" s="28"/>
      <c r="AF186" s="28"/>
      <c r="AG186" s="28"/>
      <c r="AH186" s="28"/>
      <c r="AI186" s="28"/>
      <c r="AJ186" s="28"/>
      <c r="AK186" s="2"/>
      <c r="AL186" s="2"/>
      <c r="AM186" s="2"/>
      <c r="AN186" s="2"/>
      <c r="AO186" s="2"/>
      <c r="AP186" s="2"/>
      <c r="AQ186" s="2"/>
    </row>
    <row r="188" spans="2:43"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4"/>
  <sheetViews>
    <sheetView workbookViewId="0">
      <selection activeCell="B1" sqref="B1:AF4"/>
    </sheetView>
  </sheetViews>
  <sheetFormatPr defaultRowHeight="15"/>
  <cols>
    <col min="1" max="1" width="46" customWidth="1"/>
  </cols>
  <sheetData>
    <row r="1" spans="1:32">
      <c r="A1" s="30" t="s">
        <v>172</v>
      </c>
      <c r="C1">
        <v>1980</v>
      </c>
      <c r="D1">
        <v>1981</v>
      </c>
      <c r="E1">
        <v>1982</v>
      </c>
      <c r="F1">
        <v>1983</v>
      </c>
      <c r="G1">
        <v>1984</v>
      </c>
      <c r="H1">
        <v>1985</v>
      </c>
      <c r="I1">
        <v>1986</v>
      </c>
      <c r="J1">
        <v>1987</v>
      </c>
      <c r="K1">
        <v>1988</v>
      </c>
      <c r="L1">
        <v>1989</v>
      </c>
      <c r="M1">
        <v>1990</v>
      </c>
      <c r="N1">
        <v>1991</v>
      </c>
      <c r="O1">
        <v>1992</v>
      </c>
      <c r="P1">
        <v>1993</v>
      </c>
      <c r="Q1">
        <v>1994</v>
      </c>
      <c r="R1">
        <v>1995</v>
      </c>
      <c r="S1">
        <v>1996</v>
      </c>
      <c r="T1">
        <v>1997</v>
      </c>
      <c r="U1">
        <v>1998</v>
      </c>
      <c r="V1">
        <v>1999</v>
      </c>
      <c r="W1">
        <v>2000</v>
      </c>
      <c r="X1">
        <v>2001</v>
      </c>
      <c r="Y1">
        <v>2002</v>
      </c>
      <c r="Z1">
        <v>2003</v>
      </c>
      <c r="AA1">
        <v>2004</v>
      </c>
      <c r="AB1">
        <v>2005</v>
      </c>
      <c r="AC1">
        <v>2006</v>
      </c>
      <c r="AD1">
        <v>2007</v>
      </c>
      <c r="AE1">
        <v>2008</v>
      </c>
      <c r="AF1">
        <v>2009</v>
      </c>
    </row>
    <row r="2" spans="1:32" s="30" customFormat="1">
      <c r="B2" s="30" t="s">
        <v>2</v>
      </c>
      <c r="C2" s="60">
        <v>5899.904679123526</v>
      </c>
      <c r="D2" s="60">
        <v>5917.2199125026755</v>
      </c>
      <c r="E2" s="60">
        <v>5850.3258947093</v>
      </c>
      <c r="F2" s="60">
        <v>5906.3356817518361</v>
      </c>
      <c r="G2" s="60">
        <v>6079.4720575770561</v>
      </c>
      <c r="H2" s="60">
        <v>6203.6126401967813</v>
      </c>
      <c r="I2" s="60">
        <v>6304.8154698397684</v>
      </c>
      <c r="J2" s="60">
        <v>6424.8917323447249</v>
      </c>
      <c r="K2" s="60">
        <v>6604.8740026913138</v>
      </c>
      <c r="L2" s="60">
        <v>6734.0018128190986</v>
      </c>
      <c r="M2" s="60">
        <v>6794.4962096803702</v>
      </c>
      <c r="N2" s="60">
        <v>6776.0631979216114</v>
      </c>
      <c r="O2" s="60">
        <v>6786.6803860573364</v>
      </c>
      <c r="P2" s="60">
        <v>6803.9389106465806</v>
      </c>
      <c r="Q2" s="60">
        <v>6914.8709161947054</v>
      </c>
      <c r="R2" s="60">
        <v>7034.2084628900911</v>
      </c>
      <c r="S2" s="60">
        <v>7192.8133173117021</v>
      </c>
      <c r="T2" s="60">
        <v>7375.8223148669467</v>
      </c>
      <c r="U2" s="60">
        <v>7457.3252238820978</v>
      </c>
      <c r="V2" s="60">
        <v>7625.2566818726109</v>
      </c>
      <c r="W2" s="60">
        <v>7880.7401471032126</v>
      </c>
      <c r="X2" s="60">
        <v>7954.2338797992143</v>
      </c>
      <c r="Y2" s="60">
        <v>8065.2304962769704</v>
      </c>
      <c r="Z2" s="60">
        <v>8245.5767466570505</v>
      </c>
      <c r="AA2" s="60">
        <v>8549.4155459567592</v>
      </c>
      <c r="AB2" s="60">
        <v>8827.7747423518358</v>
      </c>
      <c r="AC2" s="60">
        <v>9170.3286538377997</v>
      </c>
      <c r="AD2" s="60">
        <v>9535.2702069283332</v>
      </c>
      <c r="AE2" s="60">
        <v>9685.6096994003492</v>
      </c>
      <c r="AF2" s="60">
        <v>9512.2599595227093</v>
      </c>
    </row>
    <row r="3" spans="1:32" s="30" customFormat="1">
      <c r="B3" s="30" t="s">
        <v>3</v>
      </c>
      <c r="C3" s="60">
        <v>25531.081530818221</v>
      </c>
      <c r="D3" s="60">
        <v>25924.537845889463</v>
      </c>
      <c r="E3" s="60">
        <v>25170.073903532939</v>
      </c>
      <c r="F3" s="60">
        <v>26067.187932537247</v>
      </c>
      <c r="G3" s="60">
        <v>27701.897598584557</v>
      </c>
      <c r="H3" s="60">
        <v>28586.43937029337</v>
      </c>
      <c r="I3" s="60">
        <v>29294.599247941602</v>
      </c>
      <c r="J3" s="60">
        <v>29953.072575512007</v>
      </c>
      <c r="K3" s="60">
        <v>30899.512886230474</v>
      </c>
      <c r="L3" s="60">
        <v>31700.152749290992</v>
      </c>
      <c r="M3" s="60">
        <v>31926.144633348929</v>
      </c>
      <c r="N3" s="60">
        <v>31419.750895207009</v>
      </c>
      <c r="O3" s="60">
        <v>32042.305689980247</v>
      </c>
      <c r="P3" s="60">
        <v>32530.903865921664</v>
      </c>
      <c r="Q3" s="60">
        <v>33456.594945390898</v>
      </c>
      <c r="R3" s="60">
        <v>33903.289049727093</v>
      </c>
      <c r="S3" s="60">
        <v>34779.542239028699</v>
      </c>
      <c r="T3" s="60">
        <v>35911.786611677308</v>
      </c>
      <c r="U3" s="60">
        <v>37057.646441650882</v>
      </c>
      <c r="V3" s="60">
        <v>38418.506315724073</v>
      </c>
      <c r="W3" s="60">
        <v>39577.633507299863</v>
      </c>
      <c r="X3" s="60">
        <v>39601.939080400574</v>
      </c>
      <c r="Y3" s="60">
        <v>39944.198143586538</v>
      </c>
      <c r="Z3" s="60">
        <v>40588.166422272756</v>
      </c>
      <c r="AA3" s="60">
        <v>41652.846321804238</v>
      </c>
      <c r="AB3" s="60">
        <v>42534.479785496682</v>
      </c>
      <c r="AC3" s="60">
        <v>43256.539834776791</v>
      </c>
      <c r="AD3" s="60">
        <v>43662.144719820746</v>
      </c>
      <c r="AE3" s="60">
        <v>43260.879072720069</v>
      </c>
      <c r="AF3" s="60">
        <v>41761.076378289938</v>
      </c>
    </row>
    <row r="4" spans="1:32" s="30" customFormat="1">
      <c r="B4" s="30" t="s">
        <v>4</v>
      </c>
      <c r="C4" s="60">
        <v>4849.9114292709501</v>
      </c>
      <c r="D4" s="60">
        <v>4857.9284931580132</v>
      </c>
      <c r="E4" s="60">
        <v>4838.0287203454554</v>
      </c>
      <c r="F4" s="60">
        <v>4858.8836485811535</v>
      </c>
      <c r="G4" s="60">
        <v>4965.1430358002153</v>
      </c>
      <c r="H4" s="60">
        <v>5059.6661417605492</v>
      </c>
      <c r="I4" s="60">
        <v>5139.8650319498911</v>
      </c>
      <c r="J4" s="60">
        <v>5243.963411084138</v>
      </c>
      <c r="K4" s="60">
        <v>5395.9489364536857</v>
      </c>
      <c r="L4" s="60">
        <v>5502.2101337555141</v>
      </c>
      <c r="M4" s="60">
        <v>5562.8799288628707</v>
      </c>
      <c r="N4" s="60">
        <v>5570.8747369374323</v>
      </c>
      <c r="O4" s="60">
        <v>5549.702557191943</v>
      </c>
      <c r="P4" s="60">
        <v>5543.739656908836</v>
      </c>
      <c r="Q4" s="60">
        <v>5616.225706568689</v>
      </c>
      <c r="R4" s="60">
        <v>5724.3420681942853</v>
      </c>
      <c r="S4" s="60">
        <v>5851.0064399892117</v>
      </c>
      <c r="T4" s="60">
        <v>5990.1098038132441</v>
      </c>
      <c r="U4" s="60">
        <v>6022.057777304859</v>
      </c>
      <c r="V4" s="60">
        <v>6133.462762595932</v>
      </c>
      <c r="W4" s="60">
        <v>6351.6622899306631</v>
      </c>
      <c r="X4" s="60">
        <v>6431.4479196128368</v>
      </c>
      <c r="Y4" s="60">
        <v>6535.3719725434257</v>
      </c>
      <c r="Z4" s="60">
        <v>6698.1198441243241</v>
      </c>
      <c r="AA4" s="60">
        <v>6969.1099053848102</v>
      </c>
      <c r="AB4" s="60">
        <v>7223.0097492343275</v>
      </c>
      <c r="AC4" s="60">
        <v>7551.9588920921396</v>
      </c>
      <c r="AD4" s="60">
        <v>7919.2537253594282</v>
      </c>
      <c r="AE4" s="60">
        <v>8099.9154604786345</v>
      </c>
      <c r="AF4" s="60">
        <f>0.836*AF2</f>
        <v>7952.2493261609843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H206"/>
  <sheetViews>
    <sheetView workbookViewId="0">
      <selection activeCell="B3" sqref="B3:BH7"/>
    </sheetView>
  </sheetViews>
  <sheetFormatPr defaultRowHeight="15"/>
  <cols>
    <col min="1" max="1" width="38.85546875" style="55" customWidth="1"/>
    <col min="2" max="55" width="11.42578125" style="37" customWidth="1"/>
    <col min="56" max="58" width="11.42578125" style="56" customWidth="1"/>
    <col min="59" max="61" width="11.42578125" style="37" customWidth="1"/>
    <col min="62" max="62" width="11.5703125" style="37" bestFit="1" customWidth="1"/>
    <col min="63" max="116" width="9.140625" style="37"/>
    <col min="117" max="117" width="38.85546875" style="37" customWidth="1"/>
    <col min="118" max="118" width="11.140625" style="37" customWidth="1"/>
    <col min="119" max="119" width="2.85546875" style="37" customWidth="1"/>
    <col min="120" max="120" width="11.140625" style="37" customWidth="1"/>
    <col min="121" max="121" width="2.85546875" style="37" customWidth="1"/>
    <col min="122" max="122" width="9.140625" style="37" customWidth="1"/>
    <col min="123" max="123" width="2.85546875" style="37" customWidth="1"/>
    <col min="124" max="124" width="9.140625" style="37" customWidth="1"/>
    <col min="125" max="125" width="2.85546875" style="37" customWidth="1"/>
    <col min="126" max="126" width="9.140625" style="37" customWidth="1"/>
    <col min="127" max="127" width="2.85546875" style="37" customWidth="1"/>
    <col min="128" max="128" width="10.7109375" style="37" customWidth="1"/>
    <col min="129" max="172" width="9.140625" style="37" customWidth="1"/>
    <col min="173" max="317" width="11.42578125" style="37" customWidth="1"/>
    <col min="318" max="318" width="11.5703125" style="37" bestFit="1" customWidth="1"/>
    <col min="319" max="372" width="9.140625" style="37"/>
    <col min="373" max="373" width="38.85546875" style="37" customWidth="1"/>
    <col min="374" max="374" width="11.140625" style="37" customWidth="1"/>
    <col min="375" max="375" width="2.85546875" style="37" customWidth="1"/>
    <col min="376" max="376" width="11.140625" style="37" customWidth="1"/>
    <col min="377" max="377" width="2.85546875" style="37" customWidth="1"/>
    <col min="378" max="378" width="9.140625" style="37" customWidth="1"/>
    <col min="379" max="379" width="2.85546875" style="37" customWidth="1"/>
    <col min="380" max="380" width="9.140625" style="37" customWidth="1"/>
    <col min="381" max="381" width="2.85546875" style="37" customWidth="1"/>
    <col min="382" max="382" width="9.140625" style="37" customWidth="1"/>
    <col min="383" max="383" width="2.85546875" style="37" customWidth="1"/>
    <col min="384" max="384" width="10.7109375" style="37" customWidth="1"/>
    <col min="385" max="428" width="9.140625" style="37" customWidth="1"/>
    <col min="429" max="573" width="11.42578125" style="37" customWidth="1"/>
    <col min="574" max="574" width="11.5703125" style="37" bestFit="1" customWidth="1"/>
    <col min="575" max="628" width="9.140625" style="37"/>
    <col min="629" max="629" width="38.85546875" style="37" customWidth="1"/>
    <col min="630" max="630" width="11.140625" style="37" customWidth="1"/>
    <col min="631" max="631" width="2.85546875" style="37" customWidth="1"/>
    <col min="632" max="632" width="11.140625" style="37" customWidth="1"/>
    <col min="633" max="633" width="2.85546875" style="37" customWidth="1"/>
    <col min="634" max="634" width="9.140625" style="37" customWidth="1"/>
    <col min="635" max="635" width="2.85546875" style="37" customWidth="1"/>
    <col min="636" max="636" width="9.140625" style="37" customWidth="1"/>
    <col min="637" max="637" width="2.85546875" style="37" customWidth="1"/>
    <col min="638" max="638" width="9.140625" style="37" customWidth="1"/>
    <col min="639" max="639" width="2.85546875" style="37" customWidth="1"/>
    <col min="640" max="640" width="10.7109375" style="37" customWidth="1"/>
    <col min="641" max="684" width="9.140625" style="37" customWidth="1"/>
    <col min="685" max="829" width="11.42578125" style="37" customWidth="1"/>
    <col min="830" max="830" width="11.5703125" style="37" bestFit="1" customWidth="1"/>
    <col min="831" max="884" width="9.140625" style="37"/>
    <col min="885" max="885" width="38.85546875" style="37" customWidth="1"/>
    <col min="886" max="886" width="11.140625" style="37" customWidth="1"/>
    <col min="887" max="887" width="2.85546875" style="37" customWidth="1"/>
    <col min="888" max="888" width="11.140625" style="37" customWidth="1"/>
    <col min="889" max="889" width="2.85546875" style="37" customWidth="1"/>
    <col min="890" max="890" width="9.140625" style="37" customWidth="1"/>
    <col min="891" max="891" width="2.85546875" style="37" customWidth="1"/>
    <col min="892" max="892" width="9.140625" style="37" customWidth="1"/>
    <col min="893" max="893" width="2.85546875" style="37" customWidth="1"/>
    <col min="894" max="894" width="9.140625" style="37" customWidth="1"/>
    <col min="895" max="895" width="2.85546875" style="37" customWidth="1"/>
    <col min="896" max="896" width="10.7109375" style="37" customWidth="1"/>
    <col min="897" max="940" width="9.140625" style="37" customWidth="1"/>
    <col min="941" max="1085" width="11.42578125" style="37" customWidth="1"/>
    <col min="1086" max="1086" width="11.5703125" style="37" bestFit="1" customWidth="1"/>
    <col min="1087" max="1140" width="9.140625" style="37"/>
    <col min="1141" max="1141" width="38.85546875" style="37" customWidth="1"/>
    <col min="1142" max="1142" width="11.140625" style="37" customWidth="1"/>
    <col min="1143" max="1143" width="2.85546875" style="37" customWidth="1"/>
    <col min="1144" max="1144" width="11.140625" style="37" customWidth="1"/>
    <col min="1145" max="1145" width="2.85546875" style="37" customWidth="1"/>
    <col min="1146" max="1146" width="9.140625" style="37" customWidth="1"/>
    <col min="1147" max="1147" width="2.85546875" style="37" customWidth="1"/>
    <col min="1148" max="1148" width="9.140625" style="37" customWidth="1"/>
    <col min="1149" max="1149" width="2.85546875" style="37" customWidth="1"/>
    <col min="1150" max="1150" width="9.140625" style="37" customWidth="1"/>
    <col min="1151" max="1151" width="2.85546875" style="37" customWidth="1"/>
    <col min="1152" max="1152" width="10.7109375" style="37" customWidth="1"/>
    <col min="1153" max="1196" width="9.140625" style="37" customWidth="1"/>
    <col min="1197" max="1341" width="11.42578125" style="37" customWidth="1"/>
    <col min="1342" max="1342" width="11.5703125" style="37" bestFit="1" customWidth="1"/>
    <col min="1343" max="1396" width="9.140625" style="37"/>
    <col min="1397" max="1397" width="38.85546875" style="37" customWidth="1"/>
    <col min="1398" max="1398" width="11.140625" style="37" customWidth="1"/>
    <col min="1399" max="1399" width="2.85546875" style="37" customWidth="1"/>
    <col min="1400" max="1400" width="11.140625" style="37" customWidth="1"/>
    <col min="1401" max="1401" width="2.85546875" style="37" customWidth="1"/>
    <col min="1402" max="1402" width="9.140625" style="37" customWidth="1"/>
    <col min="1403" max="1403" width="2.85546875" style="37" customWidth="1"/>
    <col min="1404" max="1404" width="9.140625" style="37" customWidth="1"/>
    <col min="1405" max="1405" width="2.85546875" style="37" customWidth="1"/>
    <col min="1406" max="1406" width="9.140625" style="37" customWidth="1"/>
    <col min="1407" max="1407" width="2.85546875" style="37" customWidth="1"/>
    <col min="1408" max="1408" width="10.7109375" style="37" customWidth="1"/>
    <col min="1409" max="1452" width="9.140625" style="37" customWidth="1"/>
    <col min="1453" max="1597" width="11.42578125" style="37" customWidth="1"/>
    <col min="1598" max="1598" width="11.5703125" style="37" bestFit="1" customWidth="1"/>
    <col min="1599" max="1652" width="9.140625" style="37"/>
    <col min="1653" max="1653" width="38.85546875" style="37" customWidth="1"/>
    <col min="1654" max="1654" width="11.140625" style="37" customWidth="1"/>
    <col min="1655" max="1655" width="2.85546875" style="37" customWidth="1"/>
    <col min="1656" max="1656" width="11.140625" style="37" customWidth="1"/>
    <col min="1657" max="1657" width="2.85546875" style="37" customWidth="1"/>
    <col min="1658" max="1658" width="9.140625" style="37" customWidth="1"/>
    <col min="1659" max="1659" width="2.85546875" style="37" customWidth="1"/>
    <col min="1660" max="1660" width="9.140625" style="37" customWidth="1"/>
    <col min="1661" max="1661" width="2.85546875" style="37" customWidth="1"/>
    <col min="1662" max="1662" width="9.140625" style="37" customWidth="1"/>
    <col min="1663" max="1663" width="2.85546875" style="37" customWidth="1"/>
    <col min="1664" max="1664" width="10.7109375" style="37" customWidth="1"/>
    <col min="1665" max="1708" width="9.140625" style="37" customWidth="1"/>
    <col min="1709" max="1853" width="11.42578125" style="37" customWidth="1"/>
    <col min="1854" max="1854" width="11.5703125" style="37" bestFit="1" customWidth="1"/>
    <col min="1855" max="1908" width="9.140625" style="37"/>
    <col min="1909" max="1909" width="38.85546875" style="37" customWidth="1"/>
    <col min="1910" max="1910" width="11.140625" style="37" customWidth="1"/>
    <col min="1911" max="1911" width="2.85546875" style="37" customWidth="1"/>
    <col min="1912" max="1912" width="11.140625" style="37" customWidth="1"/>
    <col min="1913" max="1913" width="2.85546875" style="37" customWidth="1"/>
    <col min="1914" max="1914" width="9.140625" style="37" customWidth="1"/>
    <col min="1915" max="1915" width="2.85546875" style="37" customWidth="1"/>
    <col min="1916" max="1916" width="9.140625" style="37" customWidth="1"/>
    <col min="1917" max="1917" width="2.85546875" style="37" customWidth="1"/>
    <col min="1918" max="1918" width="9.140625" style="37" customWidth="1"/>
    <col min="1919" max="1919" width="2.85546875" style="37" customWidth="1"/>
    <col min="1920" max="1920" width="10.7109375" style="37" customWidth="1"/>
    <col min="1921" max="1964" width="9.140625" style="37" customWidth="1"/>
    <col min="1965" max="2109" width="11.42578125" style="37" customWidth="1"/>
    <col min="2110" max="2110" width="11.5703125" style="37" bestFit="1" customWidth="1"/>
    <col min="2111" max="2164" width="9.140625" style="37"/>
    <col min="2165" max="2165" width="38.85546875" style="37" customWidth="1"/>
    <col min="2166" max="2166" width="11.140625" style="37" customWidth="1"/>
    <col min="2167" max="2167" width="2.85546875" style="37" customWidth="1"/>
    <col min="2168" max="2168" width="11.140625" style="37" customWidth="1"/>
    <col min="2169" max="2169" width="2.85546875" style="37" customWidth="1"/>
    <col min="2170" max="2170" width="9.140625" style="37" customWidth="1"/>
    <col min="2171" max="2171" width="2.85546875" style="37" customWidth="1"/>
    <col min="2172" max="2172" width="9.140625" style="37" customWidth="1"/>
    <col min="2173" max="2173" width="2.85546875" style="37" customWidth="1"/>
    <col min="2174" max="2174" width="9.140625" style="37" customWidth="1"/>
    <col min="2175" max="2175" width="2.85546875" style="37" customWidth="1"/>
    <col min="2176" max="2176" width="10.7109375" style="37" customWidth="1"/>
    <col min="2177" max="2220" width="9.140625" style="37" customWidth="1"/>
    <col min="2221" max="2365" width="11.42578125" style="37" customWidth="1"/>
    <col min="2366" max="2366" width="11.5703125" style="37" bestFit="1" customWidth="1"/>
    <col min="2367" max="2420" width="9.140625" style="37"/>
    <col min="2421" max="2421" width="38.85546875" style="37" customWidth="1"/>
    <col min="2422" max="2422" width="11.140625" style="37" customWidth="1"/>
    <col min="2423" max="2423" width="2.85546875" style="37" customWidth="1"/>
    <col min="2424" max="2424" width="11.140625" style="37" customWidth="1"/>
    <col min="2425" max="2425" width="2.85546875" style="37" customWidth="1"/>
    <col min="2426" max="2426" width="9.140625" style="37" customWidth="1"/>
    <col min="2427" max="2427" width="2.85546875" style="37" customWidth="1"/>
    <col min="2428" max="2428" width="9.140625" style="37" customWidth="1"/>
    <col min="2429" max="2429" width="2.85546875" style="37" customWidth="1"/>
    <col min="2430" max="2430" width="9.140625" style="37" customWidth="1"/>
    <col min="2431" max="2431" width="2.85546875" style="37" customWidth="1"/>
    <col min="2432" max="2432" width="10.7109375" style="37" customWidth="1"/>
    <col min="2433" max="2476" width="9.140625" style="37" customWidth="1"/>
    <col min="2477" max="2621" width="11.42578125" style="37" customWidth="1"/>
    <col min="2622" max="2622" width="11.5703125" style="37" bestFit="1" customWidth="1"/>
    <col min="2623" max="2676" width="9.140625" style="37"/>
    <col min="2677" max="2677" width="38.85546875" style="37" customWidth="1"/>
    <col min="2678" max="2678" width="11.140625" style="37" customWidth="1"/>
    <col min="2679" max="2679" width="2.85546875" style="37" customWidth="1"/>
    <col min="2680" max="2680" width="11.140625" style="37" customWidth="1"/>
    <col min="2681" max="2681" width="2.85546875" style="37" customWidth="1"/>
    <col min="2682" max="2682" width="9.140625" style="37" customWidth="1"/>
    <col min="2683" max="2683" width="2.85546875" style="37" customWidth="1"/>
    <col min="2684" max="2684" width="9.140625" style="37" customWidth="1"/>
    <col min="2685" max="2685" width="2.85546875" style="37" customWidth="1"/>
    <col min="2686" max="2686" width="9.140625" style="37" customWidth="1"/>
    <col min="2687" max="2687" width="2.85546875" style="37" customWidth="1"/>
    <col min="2688" max="2688" width="10.7109375" style="37" customWidth="1"/>
    <col min="2689" max="2732" width="9.140625" style="37" customWidth="1"/>
    <col min="2733" max="2877" width="11.42578125" style="37" customWidth="1"/>
    <col min="2878" max="2878" width="11.5703125" style="37" bestFit="1" customWidth="1"/>
    <col min="2879" max="2932" width="9.140625" style="37"/>
    <col min="2933" max="2933" width="38.85546875" style="37" customWidth="1"/>
    <col min="2934" max="2934" width="11.140625" style="37" customWidth="1"/>
    <col min="2935" max="2935" width="2.85546875" style="37" customWidth="1"/>
    <col min="2936" max="2936" width="11.140625" style="37" customWidth="1"/>
    <col min="2937" max="2937" width="2.85546875" style="37" customWidth="1"/>
    <col min="2938" max="2938" width="9.140625" style="37" customWidth="1"/>
    <col min="2939" max="2939" width="2.85546875" style="37" customWidth="1"/>
    <col min="2940" max="2940" width="9.140625" style="37" customWidth="1"/>
    <col min="2941" max="2941" width="2.85546875" style="37" customWidth="1"/>
    <col min="2942" max="2942" width="9.140625" style="37" customWidth="1"/>
    <col min="2943" max="2943" width="2.85546875" style="37" customWidth="1"/>
    <col min="2944" max="2944" width="10.7109375" style="37" customWidth="1"/>
    <col min="2945" max="2988" width="9.140625" style="37" customWidth="1"/>
    <col min="2989" max="3133" width="11.42578125" style="37" customWidth="1"/>
    <col min="3134" max="3134" width="11.5703125" style="37" bestFit="1" customWidth="1"/>
    <col min="3135" max="3188" width="9.140625" style="37"/>
    <col min="3189" max="3189" width="38.85546875" style="37" customWidth="1"/>
    <col min="3190" max="3190" width="11.140625" style="37" customWidth="1"/>
    <col min="3191" max="3191" width="2.85546875" style="37" customWidth="1"/>
    <col min="3192" max="3192" width="11.140625" style="37" customWidth="1"/>
    <col min="3193" max="3193" width="2.85546875" style="37" customWidth="1"/>
    <col min="3194" max="3194" width="9.140625" style="37" customWidth="1"/>
    <col min="3195" max="3195" width="2.85546875" style="37" customWidth="1"/>
    <col min="3196" max="3196" width="9.140625" style="37" customWidth="1"/>
    <col min="3197" max="3197" width="2.85546875" style="37" customWidth="1"/>
    <col min="3198" max="3198" width="9.140625" style="37" customWidth="1"/>
    <col min="3199" max="3199" width="2.85546875" style="37" customWidth="1"/>
    <col min="3200" max="3200" width="10.7109375" style="37" customWidth="1"/>
    <col min="3201" max="3244" width="9.140625" style="37" customWidth="1"/>
    <col min="3245" max="3389" width="11.42578125" style="37" customWidth="1"/>
    <col min="3390" max="3390" width="11.5703125" style="37" bestFit="1" customWidth="1"/>
    <col min="3391" max="3444" width="9.140625" style="37"/>
    <col min="3445" max="3445" width="38.85546875" style="37" customWidth="1"/>
    <col min="3446" max="3446" width="11.140625" style="37" customWidth="1"/>
    <col min="3447" max="3447" width="2.85546875" style="37" customWidth="1"/>
    <col min="3448" max="3448" width="11.140625" style="37" customWidth="1"/>
    <col min="3449" max="3449" width="2.85546875" style="37" customWidth="1"/>
    <col min="3450" max="3450" width="9.140625" style="37" customWidth="1"/>
    <col min="3451" max="3451" width="2.85546875" style="37" customWidth="1"/>
    <col min="3452" max="3452" width="9.140625" style="37" customWidth="1"/>
    <col min="3453" max="3453" width="2.85546875" style="37" customWidth="1"/>
    <col min="3454" max="3454" width="9.140625" style="37" customWidth="1"/>
    <col min="3455" max="3455" width="2.85546875" style="37" customWidth="1"/>
    <col min="3456" max="3456" width="10.7109375" style="37" customWidth="1"/>
    <col min="3457" max="3500" width="9.140625" style="37" customWidth="1"/>
    <col min="3501" max="3645" width="11.42578125" style="37" customWidth="1"/>
    <col min="3646" max="3646" width="11.5703125" style="37" bestFit="1" customWidth="1"/>
    <col min="3647" max="3700" width="9.140625" style="37"/>
    <col min="3701" max="3701" width="38.85546875" style="37" customWidth="1"/>
    <col min="3702" max="3702" width="11.140625" style="37" customWidth="1"/>
    <col min="3703" max="3703" width="2.85546875" style="37" customWidth="1"/>
    <col min="3704" max="3704" width="11.140625" style="37" customWidth="1"/>
    <col min="3705" max="3705" width="2.85546875" style="37" customWidth="1"/>
    <col min="3706" max="3706" width="9.140625" style="37" customWidth="1"/>
    <col min="3707" max="3707" width="2.85546875" style="37" customWidth="1"/>
    <col min="3708" max="3708" width="9.140625" style="37" customWidth="1"/>
    <col min="3709" max="3709" width="2.85546875" style="37" customWidth="1"/>
    <col min="3710" max="3710" width="9.140625" style="37" customWidth="1"/>
    <col min="3711" max="3711" width="2.85546875" style="37" customWidth="1"/>
    <col min="3712" max="3712" width="10.7109375" style="37" customWidth="1"/>
    <col min="3713" max="3756" width="9.140625" style="37" customWidth="1"/>
    <col min="3757" max="3901" width="11.42578125" style="37" customWidth="1"/>
    <col min="3902" max="3902" width="11.5703125" style="37" bestFit="1" customWidth="1"/>
    <col min="3903" max="3956" width="9.140625" style="37"/>
    <col min="3957" max="3957" width="38.85546875" style="37" customWidth="1"/>
    <col min="3958" max="3958" width="11.140625" style="37" customWidth="1"/>
    <col min="3959" max="3959" width="2.85546875" style="37" customWidth="1"/>
    <col min="3960" max="3960" width="11.140625" style="37" customWidth="1"/>
    <col min="3961" max="3961" width="2.85546875" style="37" customWidth="1"/>
    <col min="3962" max="3962" width="9.140625" style="37" customWidth="1"/>
    <col min="3963" max="3963" width="2.85546875" style="37" customWidth="1"/>
    <col min="3964" max="3964" width="9.140625" style="37" customWidth="1"/>
    <col min="3965" max="3965" width="2.85546875" style="37" customWidth="1"/>
    <col min="3966" max="3966" width="9.140625" style="37" customWidth="1"/>
    <col min="3967" max="3967" width="2.85546875" style="37" customWidth="1"/>
    <col min="3968" max="3968" width="10.7109375" style="37" customWidth="1"/>
    <col min="3969" max="4012" width="9.140625" style="37" customWidth="1"/>
    <col min="4013" max="4157" width="11.42578125" style="37" customWidth="1"/>
    <col min="4158" max="4158" width="11.5703125" style="37" bestFit="1" customWidth="1"/>
    <col min="4159" max="4212" width="9.140625" style="37"/>
    <col min="4213" max="4213" width="38.85546875" style="37" customWidth="1"/>
    <col min="4214" max="4214" width="11.140625" style="37" customWidth="1"/>
    <col min="4215" max="4215" width="2.85546875" style="37" customWidth="1"/>
    <col min="4216" max="4216" width="11.140625" style="37" customWidth="1"/>
    <col min="4217" max="4217" width="2.85546875" style="37" customWidth="1"/>
    <col min="4218" max="4218" width="9.140625" style="37" customWidth="1"/>
    <col min="4219" max="4219" width="2.85546875" style="37" customWidth="1"/>
    <col min="4220" max="4220" width="9.140625" style="37" customWidth="1"/>
    <col min="4221" max="4221" width="2.85546875" style="37" customWidth="1"/>
    <col min="4222" max="4222" width="9.140625" style="37" customWidth="1"/>
    <col min="4223" max="4223" width="2.85546875" style="37" customWidth="1"/>
    <col min="4224" max="4224" width="10.7109375" style="37" customWidth="1"/>
    <col min="4225" max="4268" width="9.140625" style="37" customWidth="1"/>
    <col min="4269" max="4413" width="11.42578125" style="37" customWidth="1"/>
    <col min="4414" max="4414" width="11.5703125" style="37" bestFit="1" customWidth="1"/>
    <col min="4415" max="4468" width="9.140625" style="37"/>
    <col min="4469" max="4469" width="38.85546875" style="37" customWidth="1"/>
    <col min="4470" max="4470" width="11.140625" style="37" customWidth="1"/>
    <col min="4471" max="4471" width="2.85546875" style="37" customWidth="1"/>
    <col min="4472" max="4472" width="11.140625" style="37" customWidth="1"/>
    <col min="4473" max="4473" width="2.85546875" style="37" customWidth="1"/>
    <col min="4474" max="4474" width="9.140625" style="37" customWidth="1"/>
    <col min="4475" max="4475" width="2.85546875" style="37" customWidth="1"/>
    <col min="4476" max="4476" width="9.140625" style="37" customWidth="1"/>
    <col min="4477" max="4477" width="2.85546875" style="37" customWidth="1"/>
    <col min="4478" max="4478" width="9.140625" style="37" customWidth="1"/>
    <col min="4479" max="4479" width="2.85546875" style="37" customWidth="1"/>
    <col min="4480" max="4480" width="10.7109375" style="37" customWidth="1"/>
    <col min="4481" max="4524" width="9.140625" style="37" customWidth="1"/>
    <col min="4525" max="4669" width="11.42578125" style="37" customWidth="1"/>
    <col min="4670" max="4670" width="11.5703125" style="37" bestFit="1" customWidth="1"/>
    <col min="4671" max="4724" width="9.140625" style="37"/>
    <col min="4725" max="4725" width="38.85546875" style="37" customWidth="1"/>
    <col min="4726" max="4726" width="11.140625" style="37" customWidth="1"/>
    <col min="4727" max="4727" width="2.85546875" style="37" customWidth="1"/>
    <col min="4728" max="4728" width="11.140625" style="37" customWidth="1"/>
    <col min="4729" max="4729" width="2.85546875" style="37" customWidth="1"/>
    <col min="4730" max="4730" width="9.140625" style="37" customWidth="1"/>
    <col min="4731" max="4731" width="2.85546875" style="37" customWidth="1"/>
    <col min="4732" max="4732" width="9.140625" style="37" customWidth="1"/>
    <col min="4733" max="4733" width="2.85546875" style="37" customWidth="1"/>
    <col min="4734" max="4734" width="9.140625" style="37" customWidth="1"/>
    <col min="4735" max="4735" width="2.85546875" style="37" customWidth="1"/>
    <col min="4736" max="4736" width="10.7109375" style="37" customWidth="1"/>
    <col min="4737" max="4780" width="9.140625" style="37" customWidth="1"/>
    <col min="4781" max="4925" width="11.42578125" style="37" customWidth="1"/>
    <col min="4926" max="4926" width="11.5703125" style="37" bestFit="1" customWidth="1"/>
    <col min="4927" max="4980" width="9.140625" style="37"/>
    <col min="4981" max="4981" width="38.85546875" style="37" customWidth="1"/>
    <col min="4982" max="4982" width="11.140625" style="37" customWidth="1"/>
    <col min="4983" max="4983" width="2.85546875" style="37" customWidth="1"/>
    <col min="4984" max="4984" width="11.140625" style="37" customWidth="1"/>
    <col min="4985" max="4985" width="2.85546875" style="37" customWidth="1"/>
    <col min="4986" max="4986" width="9.140625" style="37" customWidth="1"/>
    <col min="4987" max="4987" width="2.85546875" style="37" customWidth="1"/>
    <col min="4988" max="4988" width="9.140625" style="37" customWidth="1"/>
    <col min="4989" max="4989" width="2.85546875" style="37" customWidth="1"/>
    <col min="4990" max="4990" width="9.140625" style="37" customWidth="1"/>
    <col min="4991" max="4991" width="2.85546875" style="37" customWidth="1"/>
    <col min="4992" max="4992" width="10.7109375" style="37" customWidth="1"/>
    <col min="4993" max="5036" width="9.140625" style="37" customWidth="1"/>
    <col min="5037" max="5181" width="11.42578125" style="37" customWidth="1"/>
    <col min="5182" max="5182" width="11.5703125" style="37" bestFit="1" customWidth="1"/>
    <col min="5183" max="5236" width="9.140625" style="37"/>
    <col min="5237" max="5237" width="38.85546875" style="37" customWidth="1"/>
    <col min="5238" max="5238" width="11.140625" style="37" customWidth="1"/>
    <col min="5239" max="5239" width="2.85546875" style="37" customWidth="1"/>
    <col min="5240" max="5240" width="11.140625" style="37" customWidth="1"/>
    <col min="5241" max="5241" width="2.85546875" style="37" customWidth="1"/>
    <col min="5242" max="5242" width="9.140625" style="37" customWidth="1"/>
    <col min="5243" max="5243" width="2.85546875" style="37" customWidth="1"/>
    <col min="5244" max="5244" width="9.140625" style="37" customWidth="1"/>
    <col min="5245" max="5245" width="2.85546875" style="37" customWidth="1"/>
    <col min="5246" max="5246" width="9.140625" style="37" customWidth="1"/>
    <col min="5247" max="5247" width="2.85546875" style="37" customWidth="1"/>
    <col min="5248" max="5248" width="10.7109375" style="37" customWidth="1"/>
    <col min="5249" max="5292" width="9.140625" style="37" customWidth="1"/>
    <col min="5293" max="5437" width="11.42578125" style="37" customWidth="1"/>
    <col min="5438" max="5438" width="11.5703125" style="37" bestFit="1" customWidth="1"/>
    <col min="5439" max="5492" width="9.140625" style="37"/>
    <col min="5493" max="5493" width="38.85546875" style="37" customWidth="1"/>
    <col min="5494" max="5494" width="11.140625" style="37" customWidth="1"/>
    <col min="5495" max="5495" width="2.85546875" style="37" customWidth="1"/>
    <col min="5496" max="5496" width="11.140625" style="37" customWidth="1"/>
    <col min="5497" max="5497" width="2.85546875" style="37" customWidth="1"/>
    <col min="5498" max="5498" width="9.140625" style="37" customWidth="1"/>
    <col min="5499" max="5499" width="2.85546875" style="37" customWidth="1"/>
    <col min="5500" max="5500" width="9.140625" style="37" customWidth="1"/>
    <col min="5501" max="5501" width="2.85546875" style="37" customWidth="1"/>
    <col min="5502" max="5502" width="9.140625" style="37" customWidth="1"/>
    <col min="5503" max="5503" width="2.85546875" style="37" customWidth="1"/>
    <col min="5504" max="5504" width="10.7109375" style="37" customWidth="1"/>
    <col min="5505" max="5548" width="9.140625" style="37" customWidth="1"/>
    <col min="5549" max="5693" width="11.42578125" style="37" customWidth="1"/>
    <col min="5694" max="5694" width="11.5703125" style="37" bestFit="1" customWidth="1"/>
    <col min="5695" max="5748" width="9.140625" style="37"/>
    <col min="5749" max="5749" width="38.85546875" style="37" customWidth="1"/>
    <col min="5750" max="5750" width="11.140625" style="37" customWidth="1"/>
    <col min="5751" max="5751" width="2.85546875" style="37" customWidth="1"/>
    <col min="5752" max="5752" width="11.140625" style="37" customWidth="1"/>
    <col min="5753" max="5753" width="2.85546875" style="37" customWidth="1"/>
    <col min="5754" max="5754" width="9.140625" style="37" customWidth="1"/>
    <col min="5755" max="5755" width="2.85546875" style="37" customWidth="1"/>
    <col min="5756" max="5756" width="9.140625" style="37" customWidth="1"/>
    <col min="5757" max="5757" width="2.85546875" style="37" customWidth="1"/>
    <col min="5758" max="5758" width="9.140625" style="37" customWidth="1"/>
    <col min="5759" max="5759" width="2.85546875" style="37" customWidth="1"/>
    <col min="5760" max="5760" width="10.7109375" style="37" customWidth="1"/>
    <col min="5761" max="5804" width="9.140625" style="37" customWidth="1"/>
    <col min="5805" max="5949" width="11.42578125" style="37" customWidth="1"/>
    <col min="5950" max="5950" width="11.5703125" style="37" bestFit="1" customWidth="1"/>
    <col min="5951" max="6004" width="9.140625" style="37"/>
    <col min="6005" max="6005" width="38.85546875" style="37" customWidth="1"/>
    <col min="6006" max="6006" width="11.140625" style="37" customWidth="1"/>
    <col min="6007" max="6007" width="2.85546875" style="37" customWidth="1"/>
    <col min="6008" max="6008" width="11.140625" style="37" customWidth="1"/>
    <col min="6009" max="6009" width="2.85546875" style="37" customWidth="1"/>
    <col min="6010" max="6010" width="9.140625" style="37" customWidth="1"/>
    <col min="6011" max="6011" width="2.85546875" style="37" customWidth="1"/>
    <col min="6012" max="6012" width="9.140625" style="37" customWidth="1"/>
    <col min="6013" max="6013" width="2.85546875" style="37" customWidth="1"/>
    <col min="6014" max="6014" width="9.140625" style="37" customWidth="1"/>
    <col min="6015" max="6015" width="2.85546875" style="37" customWidth="1"/>
    <col min="6016" max="6016" width="10.7109375" style="37" customWidth="1"/>
    <col min="6017" max="6060" width="9.140625" style="37" customWidth="1"/>
    <col min="6061" max="6205" width="11.42578125" style="37" customWidth="1"/>
    <col min="6206" max="6206" width="11.5703125" style="37" bestFit="1" customWidth="1"/>
    <col min="6207" max="6260" width="9.140625" style="37"/>
    <col min="6261" max="6261" width="38.85546875" style="37" customWidth="1"/>
    <col min="6262" max="6262" width="11.140625" style="37" customWidth="1"/>
    <col min="6263" max="6263" width="2.85546875" style="37" customWidth="1"/>
    <col min="6264" max="6264" width="11.140625" style="37" customWidth="1"/>
    <col min="6265" max="6265" width="2.85546875" style="37" customWidth="1"/>
    <col min="6266" max="6266" width="9.140625" style="37" customWidth="1"/>
    <col min="6267" max="6267" width="2.85546875" style="37" customWidth="1"/>
    <col min="6268" max="6268" width="9.140625" style="37" customWidth="1"/>
    <col min="6269" max="6269" width="2.85546875" style="37" customWidth="1"/>
    <col min="6270" max="6270" width="9.140625" style="37" customWidth="1"/>
    <col min="6271" max="6271" width="2.85546875" style="37" customWidth="1"/>
    <col min="6272" max="6272" width="10.7109375" style="37" customWidth="1"/>
    <col min="6273" max="6316" width="9.140625" style="37" customWidth="1"/>
    <col min="6317" max="6461" width="11.42578125" style="37" customWidth="1"/>
    <col min="6462" max="6462" width="11.5703125" style="37" bestFit="1" customWidth="1"/>
    <col min="6463" max="6516" width="9.140625" style="37"/>
    <col min="6517" max="6517" width="38.85546875" style="37" customWidth="1"/>
    <col min="6518" max="6518" width="11.140625" style="37" customWidth="1"/>
    <col min="6519" max="6519" width="2.85546875" style="37" customWidth="1"/>
    <col min="6520" max="6520" width="11.140625" style="37" customWidth="1"/>
    <col min="6521" max="6521" width="2.85546875" style="37" customWidth="1"/>
    <col min="6522" max="6522" width="9.140625" style="37" customWidth="1"/>
    <col min="6523" max="6523" width="2.85546875" style="37" customWidth="1"/>
    <col min="6524" max="6524" width="9.140625" style="37" customWidth="1"/>
    <col min="6525" max="6525" width="2.85546875" style="37" customWidth="1"/>
    <col min="6526" max="6526" width="9.140625" style="37" customWidth="1"/>
    <col min="6527" max="6527" width="2.85546875" style="37" customWidth="1"/>
    <col min="6528" max="6528" width="10.7109375" style="37" customWidth="1"/>
    <col min="6529" max="6572" width="9.140625" style="37" customWidth="1"/>
    <col min="6573" max="6717" width="11.42578125" style="37" customWidth="1"/>
    <col min="6718" max="6718" width="11.5703125" style="37" bestFit="1" customWidth="1"/>
    <col min="6719" max="6772" width="9.140625" style="37"/>
    <col min="6773" max="6773" width="38.85546875" style="37" customWidth="1"/>
    <col min="6774" max="6774" width="11.140625" style="37" customWidth="1"/>
    <col min="6775" max="6775" width="2.85546875" style="37" customWidth="1"/>
    <col min="6776" max="6776" width="11.140625" style="37" customWidth="1"/>
    <col min="6777" max="6777" width="2.85546875" style="37" customWidth="1"/>
    <col min="6778" max="6778" width="9.140625" style="37" customWidth="1"/>
    <col min="6779" max="6779" width="2.85546875" style="37" customWidth="1"/>
    <col min="6780" max="6780" width="9.140625" style="37" customWidth="1"/>
    <col min="6781" max="6781" width="2.85546875" style="37" customWidth="1"/>
    <col min="6782" max="6782" width="9.140625" style="37" customWidth="1"/>
    <col min="6783" max="6783" width="2.85546875" style="37" customWidth="1"/>
    <col min="6784" max="6784" width="10.7109375" style="37" customWidth="1"/>
    <col min="6785" max="6828" width="9.140625" style="37" customWidth="1"/>
    <col min="6829" max="6973" width="11.42578125" style="37" customWidth="1"/>
    <col min="6974" max="6974" width="11.5703125" style="37" bestFit="1" customWidth="1"/>
    <col min="6975" max="7028" width="9.140625" style="37"/>
    <col min="7029" max="7029" width="38.85546875" style="37" customWidth="1"/>
    <col min="7030" max="7030" width="11.140625" style="37" customWidth="1"/>
    <col min="7031" max="7031" width="2.85546875" style="37" customWidth="1"/>
    <col min="7032" max="7032" width="11.140625" style="37" customWidth="1"/>
    <col min="7033" max="7033" width="2.85546875" style="37" customWidth="1"/>
    <col min="7034" max="7034" width="9.140625" style="37" customWidth="1"/>
    <col min="7035" max="7035" width="2.85546875" style="37" customWidth="1"/>
    <col min="7036" max="7036" width="9.140625" style="37" customWidth="1"/>
    <col min="7037" max="7037" width="2.85546875" style="37" customWidth="1"/>
    <col min="7038" max="7038" width="9.140625" style="37" customWidth="1"/>
    <col min="7039" max="7039" width="2.85546875" style="37" customWidth="1"/>
    <col min="7040" max="7040" width="10.7109375" style="37" customWidth="1"/>
    <col min="7041" max="7084" width="9.140625" style="37" customWidth="1"/>
    <col min="7085" max="7229" width="11.42578125" style="37" customWidth="1"/>
    <col min="7230" max="7230" width="11.5703125" style="37" bestFit="1" customWidth="1"/>
    <col min="7231" max="7284" width="9.140625" style="37"/>
    <col min="7285" max="7285" width="38.85546875" style="37" customWidth="1"/>
    <col min="7286" max="7286" width="11.140625" style="37" customWidth="1"/>
    <col min="7287" max="7287" width="2.85546875" style="37" customWidth="1"/>
    <col min="7288" max="7288" width="11.140625" style="37" customWidth="1"/>
    <col min="7289" max="7289" width="2.85546875" style="37" customWidth="1"/>
    <col min="7290" max="7290" width="9.140625" style="37" customWidth="1"/>
    <col min="7291" max="7291" width="2.85546875" style="37" customWidth="1"/>
    <col min="7292" max="7292" width="9.140625" style="37" customWidth="1"/>
    <col min="7293" max="7293" width="2.85546875" style="37" customWidth="1"/>
    <col min="7294" max="7294" width="9.140625" style="37" customWidth="1"/>
    <col min="7295" max="7295" width="2.85546875" style="37" customWidth="1"/>
    <col min="7296" max="7296" width="10.7109375" style="37" customWidth="1"/>
    <col min="7297" max="7340" width="9.140625" style="37" customWidth="1"/>
    <col min="7341" max="7485" width="11.42578125" style="37" customWidth="1"/>
    <col min="7486" max="7486" width="11.5703125" style="37" bestFit="1" customWidth="1"/>
    <col min="7487" max="7540" width="9.140625" style="37"/>
    <col min="7541" max="7541" width="38.85546875" style="37" customWidth="1"/>
    <col min="7542" max="7542" width="11.140625" style="37" customWidth="1"/>
    <col min="7543" max="7543" width="2.85546875" style="37" customWidth="1"/>
    <col min="7544" max="7544" width="11.140625" style="37" customWidth="1"/>
    <col min="7545" max="7545" width="2.85546875" style="37" customWidth="1"/>
    <col min="7546" max="7546" width="9.140625" style="37" customWidth="1"/>
    <col min="7547" max="7547" width="2.85546875" style="37" customWidth="1"/>
    <col min="7548" max="7548" width="9.140625" style="37" customWidth="1"/>
    <col min="7549" max="7549" width="2.85546875" style="37" customWidth="1"/>
    <col min="7550" max="7550" width="9.140625" style="37" customWidth="1"/>
    <col min="7551" max="7551" width="2.85546875" style="37" customWidth="1"/>
    <col min="7552" max="7552" width="10.7109375" style="37" customWidth="1"/>
    <col min="7553" max="7596" width="9.140625" style="37" customWidth="1"/>
    <col min="7597" max="7741" width="11.42578125" style="37" customWidth="1"/>
    <col min="7742" max="7742" width="11.5703125" style="37" bestFit="1" customWidth="1"/>
    <col min="7743" max="7796" width="9.140625" style="37"/>
    <col min="7797" max="7797" width="38.85546875" style="37" customWidth="1"/>
    <col min="7798" max="7798" width="11.140625" style="37" customWidth="1"/>
    <col min="7799" max="7799" width="2.85546875" style="37" customWidth="1"/>
    <col min="7800" max="7800" width="11.140625" style="37" customWidth="1"/>
    <col min="7801" max="7801" width="2.85546875" style="37" customWidth="1"/>
    <col min="7802" max="7802" width="9.140625" style="37" customWidth="1"/>
    <col min="7803" max="7803" width="2.85546875" style="37" customWidth="1"/>
    <col min="7804" max="7804" width="9.140625" style="37" customWidth="1"/>
    <col min="7805" max="7805" width="2.85546875" style="37" customWidth="1"/>
    <col min="7806" max="7806" width="9.140625" style="37" customWidth="1"/>
    <col min="7807" max="7807" width="2.85546875" style="37" customWidth="1"/>
    <col min="7808" max="7808" width="10.7109375" style="37" customWidth="1"/>
    <col min="7809" max="7852" width="9.140625" style="37" customWidth="1"/>
    <col min="7853" max="7997" width="11.42578125" style="37" customWidth="1"/>
    <col min="7998" max="7998" width="11.5703125" style="37" bestFit="1" customWidth="1"/>
    <col min="7999" max="8052" width="9.140625" style="37"/>
    <col min="8053" max="8053" width="38.85546875" style="37" customWidth="1"/>
    <col min="8054" max="8054" width="11.140625" style="37" customWidth="1"/>
    <col min="8055" max="8055" width="2.85546875" style="37" customWidth="1"/>
    <col min="8056" max="8056" width="11.140625" style="37" customWidth="1"/>
    <col min="8057" max="8057" width="2.85546875" style="37" customWidth="1"/>
    <col min="8058" max="8058" width="9.140625" style="37" customWidth="1"/>
    <col min="8059" max="8059" width="2.85546875" style="37" customWidth="1"/>
    <col min="8060" max="8060" width="9.140625" style="37" customWidth="1"/>
    <col min="8061" max="8061" width="2.85546875" style="37" customWidth="1"/>
    <col min="8062" max="8062" width="9.140625" style="37" customWidth="1"/>
    <col min="8063" max="8063" width="2.85546875" style="37" customWidth="1"/>
    <col min="8064" max="8064" width="10.7109375" style="37" customWidth="1"/>
    <col min="8065" max="8108" width="9.140625" style="37" customWidth="1"/>
    <col min="8109" max="8253" width="11.42578125" style="37" customWidth="1"/>
    <col min="8254" max="8254" width="11.5703125" style="37" bestFit="1" customWidth="1"/>
    <col min="8255" max="8308" width="9.140625" style="37"/>
    <col min="8309" max="8309" width="38.85546875" style="37" customWidth="1"/>
    <col min="8310" max="8310" width="11.140625" style="37" customWidth="1"/>
    <col min="8311" max="8311" width="2.85546875" style="37" customWidth="1"/>
    <col min="8312" max="8312" width="11.140625" style="37" customWidth="1"/>
    <col min="8313" max="8313" width="2.85546875" style="37" customWidth="1"/>
    <col min="8314" max="8314" width="9.140625" style="37" customWidth="1"/>
    <col min="8315" max="8315" width="2.85546875" style="37" customWidth="1"/>
    <col min="8316" max="8316" width="9.140625" style="37" customWidth="1"/>
    <col min="8317" max="8317" width="2.85546875" style="37" customWidth="1"/>
    <col min="8318" max="8318" width="9.140625" style="37" customWidth="1"/>
    <col min="8319" max="8319" width="2.85546875" style="37" customWidth="1"/>
    <col min="8320" max="8320" width="10.7109375" style="37" customWidth="1"/>
    <col min="8321" max="8364" width="9.140625" style="37" customWidth="1"/>
    <col min="8365" max="8509" width="11.42578125" style="37" customWidth="1"/>
    <col min="8510" max="8510" width="11.5703125" style="37" bestFit="1" customWidth="1"/>
    <col min="8511" max="8564" width="9.140625" style="37"/>
    <col min="8565" max="8565" width="38.85546875" style="37" customWidth="1"/>
    <col min="8566" max="8566" width="11.140625" style="37" customWidth="1"/>
    <col min="8567" max="8567" width="2.85546875" style="37" customWidth="1"/>
    <col min="8568" max="8568" width="11.140625" style="37" customWidth="1"/>
    <col min="8569" max="8569" width="2.85546875" style="37" customWidth="1"/>
    <col min="8570" max="8570" width="9.140625" style="37" customWidth="1"/>
    <col min="8571" max="8571" width="2.85546875" style="37" customWidth="1"/>
    <col min="8572" max="8572" width="9.140625" style="37" customWidth="1"/>
    <col min="8573" max="8573" width="2.85546875" style="37" customWidth="1"/>
    <col min="8574" max="8574" width="9.140625" style="37" customWidth="1"/>
    <col min="8575" max="8575" width="2.85546875" style="37" customWidth="1"/>
    <col min="8576" max="8576" width="10.7109375" style="37" customWidth="1"/>
    <col min="8577" max="8620" width="9.140625" style="37" customWidth="1"/>
    <col min="8621" max="8765" width="11.42578125" style="37" customWidth="1"/>
    <col min="8766" max="8766" width="11.5703125" style="37" bestFit="1" customWidth="1"/>
    <col min="8767" max="8820" width="9.140625" style="37"/>
    <col min="8821" max="8821" width="38.85546875" style="37" customWidth="1"/>
    <col min="8822" max="8822" width="11.140625" style="37" customWidth="1"/>
    <col min="8823" max="8823" width="2.85546875" style="37" customWidth="1"/>
    <col min="8824" max="8824" width="11.140625" style="37" customWidth="1"/>
    <col min="8825" max="8825" width="2.85546875" style="37" customWidth="1"/>
    <col min="8826" max="8826" width="9.140625" style="37" customWidth="1"/>
    <col min="8827" max="8827" width="2.85546875" style="37" customWidth="1"/>
    <col min="8828" max="8828" width="9.140625" style="37" customWidth="1"/>
    <col min="8829" max="8829" width="2.85546875" style="37" customWidth="1"/>
    <col min="8830" max="8830" width="9.140625" style="37" customWidth="1"/>
    <col min="8831" max="8831" width="2.85546875" style="37" customWidth="1"/>
    <col min="8832" max="8832" width="10.7109375" style="37" customWidth="1"/>
    <col min="8833" max="8876" width="9.140625" style="37" customWidth="1"/>
    <col min="8877" max="9021" width="11.42578125" style="37" customWidth="1"/>
    <col min="9022" max="9022" width="11.5703125" style="37" bestFit="1" customWidth="1"/>
    <col min="9023" max="9076" width="9.140625" style="37"/>
    <col min="9077" max="9077" width="38.85546875" style="37" customWidth="1"/>
    <col min="9078" max="9078" width="11.140625" style="37" customWidth="1"/>
    <col min="9079" max="9079" width="2.85546875" style="37" customWidth="1"/>
    <col min="9080" max="9080" width="11.140625" style="37" customWidth="1"/>
    <col min="9081" max="9081" width="2.85546875" style="37" customWidth="1"/>
    <col min="9082" max="9082" width="9.140625" style="37" customWidth="1"/>
    <col min="9083" max="9083" width="2.85546875" style="37" customWidth="1"/>
    <col min="9084" max="9084" width="9.140625" style="37" customWidth="1"/>
    <col min="9085" max="9085" width="2.85546875" style="37" customWidth="1"/>
    <col min="9086" max="9086" width="9.140625" style="37" customWidth="1"/>
    <col min="9087" max="9087" width="2.85546875" style="37" customWidth="1"/>
    <col min="9088" max="9088" width="10.7109375" style="37" customWidth="1"/>
    <col min="9089" max="9132" width="9.140625" style="37" customWidth="1"/>
    <col min="9133" max="9277" width="11.42578125" style="37" customWidth="1"/>
    <col min="9278" max="9278" width="11.5703125" style="37" bestFit="1" customWidth="1"/>
    <col min="9279" max="9332" width="9.140625" style="37"/>
    <col min="9333" max="9333" width="38.85546875" style="37" customWidth="1"/>
    <col min="9334" max="9334" width="11.140625" style="37" customWidth="1"/>
    <col min="9335" max="9335" width="2.85546875" style="37" customWidth="1"/>
    <col min="9336" max="9336" width="11.140625" style="37" customWidth="1"/>
    <col min="9337" max="9337" width="2.85546875" style="37" customWidth="1"/>
    <col min="9338" max="9338" width="9.140625" style="37" customWidth="1"/>
    <col min="9339" max="9339" width="2.85546875" style="37" customWidth="1"/>
    <col min="9340" max="9340" width="9.140625" style="37" customWidth="1"/>
    <col min="9341" max="9341" width="2.85546875" style="37" customWidth="1"/>
    <col min="9342" max="9342" width="9.140625" style="37" customWidth="1"/>
    <col min="9343" max="9343" width="2.85546875" style="37" customWidth="1"/>
    <col min="9344" max="9344" width="10.7109375" style="37" customWidth="1"/>
    <col min="9345" max="9388" width="9.140625" style="37" customWidth="1"/>
    <col min="9389" max="9533" width="11.42578125" style="37" customWidth="1"/>
    <col min="9534" max="9534" width="11.5703125" style="37" bestFit="1" customWidth="1"/>
    <col min="9535" max="9588" width="9.140625" style="37"/>
    <col min="9589" max="9589" width="38.85546875" style="37" customWidth="1"/>
    <col min="9590" max="9590" width="11.140625" style="37" customWidth="1"/>
    <col min="9591" max="9591" width="2.85546875" style="37" customWidth="1"/>
    <col min="9592" max="9592" width="11.140625" style="37" customWidth="1"/>
    <col min="9593" max="9593" width="2.85546875" style="37" customWidth="1"/>
    <col min="9594" max="9594" width="9.140625" style="37" customWidth="1"/>
    <col min="9595" max="9595" width="2.85546875" style="37" customWidth="1"/>
    <col min="9596" max="9596" width="9.140625" style="37" customWidth="1"/>
    <col min="9597" max="9597" width="2.85546875" style="37" customWidth="1"/>
    <col min="9598" max="9598" width="9.140625" style="37" customWidth="1"/>
    <col min="9599" max="9599" width="2.85546875" style="37" customWidth="1"/>
    <col min="9600" max="9600" width="10.7109375" style="37" customWidth="1"/>
    <col min="9601" max="9644" width="9.140625" style="37" customWidth="1"/>
    <col min="9645" max="9789" width="11.42578125" style="37" customWidth="1"/>
    <col min="9790" max="9790" width="11.5703125" style="37" bestFit="1" customWidth="1"/>
    <col min="9791" max="9844" width="9.140625" style="37"/>
    <col min="9845" max="9845" width="38.85546875" style="37" customWidth="1"/>
    <col min="9846" max="9846" width="11.140625" style="37" customWidth="1"/>
    <col min="9847" max="9847" width="2.85546875" style="37" customWidth="1"/>
    <col min="9848" max="9848" width="11.140625" style="37" customWidth="1"/>
    <col min="9849" max="9849" width="2.85546875" style="37" customWidth="1"/>
    <col min="9850" max="9850" width="9.140625" style="37" customWidth="1"/>
    <col min="9851" max="9851" width="2.85546875" style="37" customWidth="1"/>
    <col min="9852" max="9852" width="9.140625" style="37" customWidth="1"/>
    <col min="9853" max="9853" width="2.85546875" style="37" customWidth="1"/>
    <col min="9854" max="9854" width="9.140625" style="37" customWidth="1"/>
    <col min="9855" max="9855" width="2.85546875" style="37" customWidth="1"/>
    <col min="9856" max="9856" width="10.7109375" style="37" customWidth="1"/>
    <col min="9857" max="9900" width="9.140625" style="37" customWidth="1"/>
    <col min="9901" max="10045" width="11.42578125" style="37" customWidth="1"/>
    <col min="10046" max="10046" width="11.5703125" style="37" bestFit="1" customWidth="1"/>
    <col min="10047" max="10100" width="9.140625" style="37"/>
    <col min="10101" max="10101" width="38.85546875" style="37" customWidth="1"/>
    <col min="10102" max="10102" width="11.140625" style="37" customWidth="1"/>
    <col min="10103" max="10103" width="2.85546875" style="37" customWidth="1"/>
    <col min="10104" max="10104" width="11.140625" style="37" customWidth="1"/>
    <col min="10105" max="10105" width="2.85546875" style="37" customWidth="1"/>
    <col min="10106" max="10106" width="9.140625" style="37" customWidth="1"/>
    <col min="10107" max="10107" width="2.85546875" style="37" customWidth="1"/>
    <col min="10108" max="10108" width="9.140625" style="37" customWidth="1"/>
    <col min="10109" max="10109" width="2.85546875" style="37" customWidth="1"/>
    <col min="10110" max="10110" width="9.140625" style="37" customWidth="1"/>
    <col min="10111" max="10111" width="2.85546875" style="37" customWidth="1"/>
    <col min="10112" max="10112" width="10.7109375" style="37" customWidth="1"/>
    <col min="10113" max="10156" width="9.140625" style="37" customWidth="1"/>
    <col min="10157" max="10301" width="11.42578125" style="37" customWidth="1"/>
    <col min="10302" max="10302" width="11.5703125" style="37" bestFit="1" customWidth="1"/>
    <col min="10303" max="10356" width="9.140625" style="37"/>
    <col min="10357" max="10357" width="38.85546875" style="37" customWidth="1"/>
    <col min="10358" max="10358" width="11.140625" style="37" customWidth="1"/>
    <col min="10359" max="10359" width="2.85546875" style="37" customWidth="1"/>
    <col min="10360" max="10360" width="11.140625" style="37" customWidth="1"/>
    <col min="10361" max="10361" width="2.85546875" style="37" customWidth="1"/>
    <col min="10362" max="10362" width="9.140625" style="37" customWidth="1"/>
    <col min="10363" max="10363" width="2.85546875" style="37" customWidth="1"/>
    <col min="10364" max="10364" width="9.140625" style="37" customWidth="1"/>
    <col min="10365" max="10365" width="2.85546875" style="37" customWidth="1"/>
    <col min="10366" max="10366" width="9.140625" style="37" customWidth="1"/>
    <col min="10367" max="10367" width="2.85546875" style="37" customWidth="1"/>
    <col min="10368" max="10368" width="10.7109375" style="37" customWidth="1"/>
    <col min="10369" max="10412" width="9.140625" style="37" customWidth="1"/>
    <col min="10413" max="10557" width="11.42578125" style="37" customWidth="1"/>
    <col min="10558" max="10558" width="11.5703125" style="37" bestFit="1" customWidth="1"/>
    <col min="10559" max="10612" width="9.140625" style="37"/>
    <col min="10613" max="10613" width="38.85546875" style="37" customWidth="1"/>
    <col min="10614" max="10614" width="11.140625" style="37" customWidth="1"/>
    <col min="10615" max="10615" width="2.85546875" style="37" customWidth="1"/>
    <col min="10616" max="10616" width="11.140625" style="37" customWidth="1"/>
    <col min="10617" max="10617" width="2.85546875" style="37" customWidth="1"/>
    <col min="10618" max="10618" width="9.140625" style="37" customWidth="1"/>
    <col min="10619" max="10619" width="2.85546875" style="37" customWidth="1"/>
    <col min="10620" max="10620" width="9.140625" style="37" customWidth="1"/>
    <col min="10621" max="10621" width="2.85546875" style="37" customWidth="1"/>
    <col min="10622" max="10622" width="9.140625" style="37" customWidth="1"/>
    <col min="10623" max="10623" width="2.85546875" style="37" customWidth="1"/>
    <col min="10624" max="10624" width="10.7109375" style="37" customWidth="1"/>
    <col min="10625" max="10668" width="9.140625" style="37" customWidth="1"/>
    <col min="10669" max="10813" width="11.42578125" style="37" customWidth="1"/>
    <col min="10814" max="10814" width="11.5703125" style="37" bestFit="1" customWidth="1"/>
    <col min="10815" max="10868" width="9.140625" style="37"/>
    <col min="10869" max="10869" width="38.85546875" style="37" customWidth="1"/>
    <col min="10870" max="10870" width="11.140625" style="37" customWidth="1"/>
    <col min="10871" max="10871" width="2.85546875" style="37" customWidth="1"/>
    <col min="10872" max="10872" width="11.140625" style="37" customWidth="1"/>
    <col min="10873" max="10873" width="2.85546875" style="37" customWidth="1"/>
    <col min="10874" max="10874" width="9.140625" style="37" customWidth="1"/>
    <col min="10875" max="10875" width="2.85546875" style="37" customWidth="1"/>
    <col min="10876" max="10876" width="9.140625" style="37" customWidth="1"/>
    <col min="10877" max="10877" width="2.85546875" style="37" customWidth="1"/>
    <col min="10878" max="10878" width="9.140625" style="37" customWidth="1"/>
    <col min="10879" max="10879" width="2.85546875" style="37" customWidth="1"/>
    <col min="10880" max="10880" width="10.7109375" style="37" customWidth="1"/>
    <col min="10881" max="10924" width="9.140625" style="37" customWidth="1"/>
    <col min="10925" max="11069" width="11.42578125" style="37" customWidth="1"/>
    <col min="11070" max="11070" width="11.5703125" style="37" bestFit="1" customWidth="1"/>
    <col min="11071" max="11124" width="9.140625" style="37"/>
    <col min="11125" max="11125" width="38.85546875" style="37" customWidth="1"/>
    <col min="11126" max="11126" width="11.140625" style="37" customWidth="1"/>
    <col min="11127" max="11127" width="2.85546875" style="37" customWidth="1"/>
    <col min="11128" max="11128" width="11.140625" style="37" customWidth="1"/>
    <col min="11129" max="11129" width="2.85546875" style="37" customWidth="1"/>
    <col min="11130" max="11130" width="9.140625" style="37" customWidth="1"/>
    <col min="11131" max="11131" width="2.85546875" style="37" customWidth="1"/>
    <col min="11132" max="11132" width="9.140625" style="37" customWidth="1"/>
    <col min="11133" max="11133" width="2.85546875" style="37" customWidth="1"/>
    <col min="11134" max="11134" width="9.140625" style="37" customWidth="1"/>
    <col min="11135" max="11135" width="2.85546875" style="37" customWidth="1"/>
    <col min="11136" max="11136" width="10.7109375" style="37" customWidth="1"/>
    <col min="11137" max="11180" width="9.140625" style="37" customWidth="1"/>
    <col min="11181" max="11325" width="11.42578125" style="37" customWidth="1"/>
    <col min="11326" max="11326" width="11.5703125" style="37" bestFit="1" customWidth="1"/>
    <col min="11327" max="11380" width="9.140625" style="37"/>
    <col min="11381" max="11381" width="38.85546875" style="37" customWidth="1"/>
    <col min="11382" max="11382" width="11.140625" style="37" customWidth="1"/>
    <col min="11383" max="11383" width="2.85546875" style="37" customWidth="1"/>
    <col min="11384" max="11384" width="11.140625" style="37" customWidth="1"/>
    <col min="11385" max="11385" width="2.85546875" style="37" customWidth="1"/>
    <col min="11386" max="11386" width="9.140625" style="37" customWidth="1"/>
    <col min="11387" max="11387" width="2.85546875" style="37" customWidth="1"/>
    <col min="11388" max="11388" width="9.140625" style="37" customWidth="1"/>
    <col min="11389" max="11389" width="2.85546875" style="37" customWidth="1"/>
    <col min="11390" max="11390" width="9.140625" style="37" customWidth="1"/>
    <col min="11391" max="11391" width="2.85546875" style="37" customWidth="1"/>
    <col min="11392" max="11392" width="10.7109375" style="37" customWidth="1"/>
    <col min="11393" max="11436" width="9.140625" style="37" customWidth="1"/>
    <col min="11437" max="11581" width="11.42578125" style="37" customWidth="1"/>
    <col min="11582" max="11582" width="11.5703125" style="37" bestFit="1" customWidth="1"/>
    <col min="11583" max="11636" width="9.140625" style="37"/>
    <col min="11637" max="11637" width="38.85546875" style="37" customWidth="1"/>
    <col min="11638" max="11638" width="11.140625" style="37" customWidth="1"/>
    <col min="11639" max="11639" width="2.85546875" style="37" customWidth="1"/>
    <col min="11640" max="11640" width="11.140625" style="37" customWidth="1"/>
    <col min="11641" max="11641" width="2.85546875" style="37" customWidth="1"/>
    <col min="11642" max="11642" width="9.140625" style="37" customWidth="1"/>
    <col min="11643" max="11643" width="2.85546875" style="37" customWidth="1"/>
    <col min="11644" max="11644" width="9.140625" style="37" customWidth="1"/>
    <col min="11645" max="11645" width="2.85546875" style="37" customWidth="1"/>
    <col min="11646" max="11646" width="9.140625" style="37" customWidth="1"/>
    <col min="11647" max="11647" width="2.85546875" style="37" customWidth="1"/>
    <col min="11648" max="11648" width="10.7109375" style="37" customWidth="1"/>
    <col min="11649" max="11692" width="9.140625" style="37" customWidth="1"/>
    <col min="11693" max="11837" width="11.42578125" style="37" customWidth="1"/>
    <col min="11838" max="11838" width="11.5703125" style="37" bestFit="1" customWidth="1"/>
    <col min="11839" max="11892" width="9.140625" style="37"/>
    <col min="11893" max="11893" width="38.85546875" style="37" customWidth="1"/>
    <col min="11894" max="11894" width="11.140625" style="37" customWidth="1"/>
    <col min="11895" max="11895" width="2.85546875" style="37" customWidth="1"/>
    <col min="11896" max="11896" width="11.140625" style="37" customWidth="1"/>
    <col min="11897" max="11897" width="2.85546875" style="37" customWidth="1"/>
    <col min="11898" max="11898" width="9.140625" style="37" customWidth="1"/>
    <col min="11899" max="11899" width="2.85546875" style="37" customWidth="1"/>
    <col min="11900" max="11900" width="9.140625" style="37" customWidth="1"/>
    <col min="11901" max="11901" width="2.85546875" style="37" customWidth="1"/>
    <col min="11902" max="11902" width="9.140625" style="37" customWidth="1"/>
    <col min="11903" max="11903" width="2.85546875" style="37" customWidth="1"/>
    <col min="11904" max="11904" width="10.7109375" style="37" customWidth="1"/>
    <col min="11905" max="11948" width="9.140625" style="37" customWidth="1"/>
    <col min="11949" max="12093" width="11.42578125" style="37" customWidth="1"/>
    <col min="12094" max="12094" width="11.5703125" style="37" bestFit="1" customWidth="1"/>
    <col min="12095" max="12148" width="9.140625" style="37"/>
    <col min="12149" max="12149" width="38.85546875" style="37" customWidth="1"/>
    <col min="12150" max="12150" width="11.140625" style="37" customWidth="1"/>
    <col min="12151" max="12151" width="2.85546875" style="37" customWidth="1"/>
    <col min="12152" max="12152" width="11.140625" style="37" customWidth="1"/>
    <col min="12153" max="12153" width="2.85546875" style="37" customWidth="1"/>
    <col min="12154" max="12154" width="9.140625" style="37" customWidth="1"/>
    <col min="12155" max="12155" width="2.85546875" style="37" customWidth="1"/>
    <col min="12156" max="12156" width="9.140625" style="37" customWidth="1"/>
    <col min="12157" max="12157" width="2.85546875" style="37" customWidth="1"/>
    <col min="12158" max="12158" width="9.140625" style="37" customWidth="1"/>
    <col min="12159" max="12159" width="2.85546875" style="37" customWidth="1"/>
    <col min="12160" max="12160" width="10.7109375" style="37" customWidth="1"/>
    <col min="12161" max="12204" width="9.140625" style="37" customWidth="1"/>
    <col min="12205" max="12349" width="11.42578125" style="37" customWidth="1"/>
    <col min="12350" max="12350" width="11.5703125" style="37" bestFit="1" customWidth="1"/>
    <col min="12351" max="12404" width="9.140625" style="37"/>
    <col min="12405" max="12405" width="38.85546875" style="37" customWidth="1"/>
    <col min="12406" max="12406" width="11.140625" style="37" customWidth="1"/>
    <col min="12407" max="12407" width="2.85546875" style="37" customWidth="1"/>
    <col min="12408" max="12408" width="11.140625" style="37" customWidth="1"/>
    <col min="12409" max="12409" width="2.85546875" style="37" customWidth="1"/>
    <col min="12410" max="12410" width="9.140625" style="37" customWidth="1"/>
    <col min="12411" max="12411" width="2.85546875" style="37" customWidth="1"/>
    <col min="12412" max="12412" width="9.140625" style="37" customWidth="1"/>
    <col min="12413" max="12413" width="2.85546875" style="37" customWidth="1"/>
    <col min="12414" max="12414" width="9.140625" style="37" customWidth="1"/>
    <col min="12415" max="12415" width="2.85546875" style="37" customWidth="1"/>
    <col min="12416" max="12416" width="10.7109375" style="37" customWidth="1"/>
    <col min="12417" max="12460" width="9.140625" style="37" customWidth="1"/>
    <col min="12461" max="12605" width="11.42578125" style="37" customWidth="1"/>
    <col min="12606" max="12606" width="11.5703125" style="37" bestFit="1" customWidth="1"/>
    <col min="12607" max="12660" width="9.140625" style="37"/>
    <col min="12661" max="12661" width="38.85546875" style="37" customWidth="1"/>
    <col min="12662" max="12662" width="11.140625" style="37" customWidth="1"/>
    <col min="12663" max="12663" width="2.85546875" style="37" customWidth="1"/>
    <col min="12664" max="12664" width="11.140625" style="37" customWidth="1"/>
    <col min="12665" max="12665" width="2.85546875" style="37" customWidth="1"/>
    <col min="12666" max="12666" width="9.140625" style="37" customWidth="1"/>
    <col min="12667" max="12667" width="2.85546875" style="37" customWidth="1"/>
    <col min="12668" max="12668" width="9.140625" style="37" customWidth="1"/>
    <col min="12669" max="12669" width="2.85546875" style="37" customWidth="1"/>
    <col min="12670" max="12670" width="9.140625" style="37" customWidth="1"/>
    <col min="12671" max="12671" width="2.85546875" style="37" customWidth="1"/>
    <col min="12672" max="12672" width="10.7109375" style="37" customWidth="1"/>
    <col min="12673" max="12716" width="9.140625" style="37" customWidth="1"/>
    <col min="12717" max="12861" width="11.42578125" style="37" customWidth="1"/>
    <col min="12862" max="12862" width="11.5703125" style="37" bestFit="1" customWidth="1"/>
    <col min="12863" max="12916" width="9.140625" style="37"/>
    <col min="12917" max="12917" width="38.85546875" style="37" customWidth="1"/>
    <col min="12918" max="12918" width="11.140625" style="37" customWidth="1"/>
    <col min="12919" max="12919" width="2.85546875" style="37" customWidth="1"/>
    <col min="12920" max="12920" width="11.140625" style="37" customWidth="1"/>
    <col min="12921" max="12921" width="2.85546875" style="37" customWidth="1"/>
    <col min="12922" max="12922" width="9.140625" style="37" customWidth="1"/>
    <col min="12923" max="12923" width="2.85546875" style="37" customWidth="1"/>
    <col min="12924" max="12924" width="9.140625" style="37" customWidth="1"/>
    <col min="12925" max="12925" width="2.85546875" style="37" customWidth="1"/>
    <col min="12926" max="12926" width="9.140625" style="37" customWidth="1"/>
    <col min="12927" max="12927" width="2.85546875" style="37" customWidth="1"/>
    <col min="12928" max="12928" width="10.7109375" style="37" customWidth="1"/>
    <col min="12929" max="12972" width="9.140625" style="37" customWidth="1"/>
    <col min="12973" max="13117" width="11.42578125" style="37" customWidth="1"/>
    <col min="13118" max="13118" width="11.5703125" style="37" bestFit="1" customWidth="1"/>
    <col min="13119" max="13172" width="9.140625" style="37"/>
    <col min="13173" max="13173" width="38.85546875" style="37" customWidth="1"/>
    <col min="13174" max="13174" width="11.140625" style="37" customWidth="1"/>
    <col min="13175" max="13175" width="2.85546875" style="37" customWidth="1"/>
    <col min="13176" max="13176" width="11.140625" style="37" customWidth="1"/>
    <col min="13177" max="13177" width="2.85546875" style="37" customWidth="1"/>
    <col min="13178" max="13178" width="9.140625" style="37" customWidth="1"/>
    <col min="13179" max="13179" width="2.85546875" style="37" customWidth="1"/>
    <col min="13180" max="13180" width="9.140625" style="37" customWidth="1"/>
    <col min="13181" max="13181" width="2.85546875" style="37" customWidth="1"/>
    <col min="13182" max="13182" width="9.140625" style="37" customWidth="1"/>
    <col min="13183" max="13183" width="2.85546875" style="37" customWidth="1"/>
    <col min="13184" max="13184" width="10.7109375" style="37" customWidth="1"/>
    <col min="13185" max="13228" width="9.140625" style="37" customWidth="1"/>
    <col min="13229" max="13373" width="11.42578125" style="37" customWidth="1"/>
    <col min="13374" max="13374" width="11.5703125" style="37" bestFit="1" customWidth="1"/>
    <col min="13375" max="13428" width="9.140625" style="37"/>
    <col min="13429" max="13429" width="38.85546875" style="37" customWidth="1"/>
    <col min="13430" max="13430" width="11.140625" style="37" customWidth="1"/>
    <col min="13431" max="13431" width="2.85546875" style="37" customWidth="1"/>
    <col min="13432" max="13432" width="11.140625" style="37" customWidth="1"/>
    <col min="13433" max="13433" width="2.85546875" style="37" customWidth="1"/>
    <col min="13434" max="13434" width="9.140625" style="37" customWidth="1"/>
    <col min="13435" max="13435" width="2.85546875" style="37" customWidth="1"/>
    <col min="13436" max="13436" width="9.140625" style="37" customWidth="1"/>
    <col min="13437" max="13437" width="2.85546875" style="37" customWidth="1"/>
    <col min="13438" max="13438" width="9.140625" style="37" customWidth="1"/>
    <col min="13439" max="13439" width="2.85546875" style="37" customWidth="1"/>
    <col min="13440" max="13440" width="10.7109375" style="37" customWidth="1"/>
    <col min="13441" max="13484" width="9.140625" style="37" customWidth="1"/>
    <col min="13485" max="13629" width="11.42578125" style="37" customWidth="1"/>
    <col min="13630" max="13630" width="11.5703125" style="37" bestFit="1" customWidth="1"/>
    <col min="13631" max="13684" width="9.140625" style="37"/>
    <col min="13685" max="13685" width="38.85546875" style="37" customWidth="1"/>
    <col min="13686" max="13686" width="11.140625" style="37" customWidth="1"/>
    <col min="13687" max="13687" width="2.85546875" style="37" customWidth="1"/>
    <col min="13688" max="13688" width="11.140625" style="37" customWidth="1"/>
    <col min="13689" max="13689" width="2.85546875" style="37" customWidth="1"/>
    <col min="13690" max="13690" width="9.140625" style="37" customWidth="1"/>
    <col min="13691" max="13691" width="2.85546875" style="37" customWidth="1"/>
    <col min="13692" max="13692" width="9.140625" style="37" customWidth="1"/>
    <col min="13693" max="13693" width="2.85546875" style="37" customWidth="1"/>
    <col min="13694" max="13694" width="9.140625" style="37" customWidth="1"/>
    <col min="13695" max="13695" width="2.85546875" style="37" customWidth="1"/>
    <col min="13696" max="13696" width="10.7109375" style="37" customWidth="1"/>
    <col min="13697" max="13740" width="9.140625" style="37" customWidth="1"/>
    <col min="13741" max="13885" width="11.42578125" style="37" customWidth="1"/>
    <col min="13886" max="13886" width="11.5703125" style="37" bestFit="1" customWidth="1"/>
    <col min="13887" max="13940" width="9.140625" style="37"/>
    <col min="13941" max="13941" width="38.85546875" style="37" customWidth="1"/>
    <col min="13942" max="13942" width="11.140625" style="37" customWidth="1"/>
    <col min="13943" max="13943" width="2.85546875" style="37" customWidth="1"/>
    <col min="13944" max="13944" width="11.140625" style="37" customWidth="1"/>
    <col min="13945" max="13945" width="2.85546875" style="37" customWidth="1"/>
    <col min="13946" max="13946" width="9.140625" style="37" customWidth="1"/>
    <col min="13947" max="13947" width="2.85546875" style="37" customWidth="1"/>
    <col min="13948" max="13948" width="9.140625" style="37" customWidth="1"/>
    <col min="13949" max="13949" width="2.85546875" style="37" customWidth="1"/>
    <col min="13950" max="13950" width="9.140625" style="37" customWidth="1"/>
    <col min="13951" max="13951" width="2.85546875" style="37" customWidth="1"/>
    <col min="13952" max="13952" width="10.7109375" style="37" customWidth="1"/>
    <col min="13953" max="13996" width="9.140625" style="37" customWidth="1"/>
    <col min="13997" max="14141" width="11.42578125" style="37" customWidth="1"/>
    <col min="14142" max="14142" width="11.5703125" style="37" bestFit="1" customWidth="1"/>
    <col min="14143" max="14196" width="9.140625" style="37"/>
    <col min="14197" max="14197" width="38.85546875" style="37" customWidth="1"/>
    <col min="14198" max="14198" width="11.140625" style="37" customWidth="1"/>
    <col min="14199" max="14199" width="2.85546875" style="37" customWidth="1"/>
    <col min="14200" max="14200" width="11.140625" style="37" customWidth="1"/>
    <col min="14201" max="14201" width="2.85546875" style="37" customWidth="1"/>
    <col min="14202" max="14202" width="9.140625" style="37" customWidth="1"/>
    <col min="14203" max="14203" width="2.85546875" style="37" customWidth="1"/>
    <col min="14204" max="14204" width="9.140625" style="37" customWidth="1"/>
    <col min="14205" max="14205" width="2.85546875" style="37" customWidth="1"/>
    <col min="14206" max="14206" width="9.140625" style="37" customWidth="1"/>
    <col min="14207" max="14207" width="2.85546875" style="37" customWidth="1"/>
    <col min="14208" max="14208" width="10.7109375" style="37" customWidth="1"/>
    <col min="14209" max="14252" width="9.140625" style="37" customWidth="1"/>
    <col min="14253" max="14397" width="11.42578125" style="37" customWidth="1"/>
    <col min="14398" max="14398" width="11.5703125" style="37" bestFit="1" customWidth="1"/>
    <col min="14399" max="14452" width="9.140625" style="37"/>
    <col min="14453" max="14453" width="38.85546875" style="37" customWidth="1"/>
    <col min="14454" max="14454" width="11.140625" style="37" customWidth="1"/>
    <col min="14455" max="14455" width="2.85546875" style="37" customWidth="1"/>
    <col min="14456" max="14456" width="11.140625" style="37" customWidth="1"/>
    <col min="14457" max="14457" width="2.85546875" style="37" customWidth="1"/>
    <col min="14458" max="14458" width="9.140625" style="37" customWidth="1"/>
    <col min="14459" max="14459" width="2.85546875" style="37" customWidth="1"/>
    <col min="14460" max="14460" width="9.140625" style="37" customWidth="1"/>
    <col min="14461" max="14461" width="2.85546875" style="37" customWidth="1"/>
    <col min="14462" max="14462" width="9.140625" style="37" customWidth="1"/>
    <col min="14463" max="14463" width="2.85546875" style="37" customWidth="1"/>
    <col min="14464" max="14464" width="10.7109375" style="37" customWidth="1"/>
    <col min="14465" max="14508" width="9.140625" style="37" customWidth="1"/>
    <col min="14509" max="14653" width="11.42578125" style="37" customWidth="1"/>
    <col min="14654" max="14654" width="11.5703125" style="37" bestFit="1" customWidth="1"/>
    <col min="14655" max="14708" width="9.140625" style="37"/>
    <col min="14709" max="14709" width="38.85546875" style="37" customWidth="1"/>
    <col min="14710" max="14710" width="11.140625" style="37" customWidth="1"/>
    <col min="14711" max="14711" width="2.85546875" style="37" customWidth="1"/>
    <col min="14712" max="14712" width="11.140625" style="37" customWidth="1"/>
    <col min="14713" max="14713" width="2.85546875" style="37" customWidth="1"/>
    <col min="14714" max="14714" width="9.140625" style="37" customWidth="1"/>
    <col min="14715" max="14715" width="2.85546875" style="37" customWidth="1"/>
    <col min="14716" max="14716" width="9.140625" style="37" customWidth="1"/>
    <col min="14717" max="14717" width="2.85546875" style="37" customWidth="1"/>
    <col min="14718" max="14718" width="9.140625" style="37" customWidth="1"/>
    <col min="14719" max="14719" width="2.85546875" style="37" customWidth="1"/>
    <col min="14720" max="14720" width="10.7109375" style="37" customWidth="1"/>
    <col min="14721" max="14764" width="9.140625" style="37" customWidth="1"/>
    <col min="14765" max="14909" width="11.42578125" style="37" customWidth="1"/>
    <col min="14910" max="14910" width="11.5703125" style="37" bestFit="1" customWidth="1"/>
    <col min="14911" max="14964" width="9.140625" style="37"/>
    <col min="14965" max="14965" width="38.85546875" style="37" customWidth="1"/>
    <col min="14966" max="14966" width="11.140625" style="37" customWidth="1"/>
    <col min="14967" max="14967" width="2.85546875" style="37" customWidth="1"/>
    <col min="14968" max="14968" width="11.140625" style="37" customWidth="1"/>
    <col min="14969" max="14969" width="2.85546875" style="37" customWidth="1"/>
    <col min="14970" max="14970" width="9.140625" style="37" customWidth="1"/>
    <col min="14971" max="14971" width="2.85546875" style="37" customWidth="1"/>
    <col min="14972" max="14972" width="9.140625" style="37" customWidth="1"/>
    <col min="14973" max="14973" width="2.85546875" style="37" customWidth="1"/>
    <col min="14974" max="14974" width="9.140625" style="37" customWidth="1"/>
    <col min="14975" max="14975" width="2.85546875" style="37" customWidth="1"/>
    <col min="14976" max="14976" width="10.7109375" style="37" customWidth="1"/>
    <col min="14977" max="15020" width="9.140625" style="37" customWidth="1"/>
    <col min="15021" max="15165" width="11.42578125" style="37" customWidth="1"/>
    <col min="15166" max="15166" width="11.5703125" style="37" bestFit="1" customWidth="1"/>
    <col min="15167" max="15220" width="9.140625" style="37"/>
    <col min="15221" max="15221" width="38.85546875" style="37" customWidth="1"/>
    <col min="15222" max="15222" width="11.140625" style="37" customWidth="1"/>
    <col min="15223" max="15223" width="2.85546875" style="37" customWidth="1"/>
    <col min="15224" max="15224" width="11.140625" style="37" customWidth="1"/>
    <col min="15225" max="15225" width="2.85546875" style="37" customWidth="1"/>
    <col min="15226" max="15226" width="9.140625" style="37" customWidth="1"/>
    <col min="15227" max="15227" width="2.85546875" style="37" customWidth="1"/>
    <col min="15228" max="15228" width="9.140625" style="37" customWidth="1"/>
    <col min="15229" max="15229" width="2.85546875" style="37" customWidth="1"/>
    <col min="15230" max="15230" width="9.140625" style="37" customWidth="1"/>
    <col min="15231" max="15231" width="2.85546875" style="37" customWidth="1"/>
    <col min="15232" max="15232" width="10.7109375" style="37" customWidth="1"/>
    <col min="15233" max="15276" width="9.140625" style="37" customWidth="1"/>
    <col min="15277" max="15421" width="11.42578125" style="37" customWidth="1"/>
    <col min="15422" max="15422" width="11.5703125" style="37" bestFit="1" customWidth="1"/>
    <col min="15423" max="15476" width="9.140625" style="37"/>
    <col min="15477" max="15477" width="38.85546875" style="37" customWidth="1"/>
    <col min="15478" max="15478" width="11.140625" style="37" customWidth="1"/>
    <col min="15479" max="15479" width="2.85546875" style="37" customWidth="1"/>
    <col min="15480" max="15480" width="11.140625" style="37" customWidth="1"/>
    <col min="15481" max="15481" width="2.85546875" style="37" customWidth="1"/>
    <col min="15482" max="15482" width="9.140625" style="37" customWidth="1"/>
    <col min="15483" max="15483" width="2.85546875" style="37" customWidth="1"/>
    <col min="15484" max="15484" width="9.140625" style="37" customWidth="1"/>
    <col min="15485" max="15485" width="2.85546875" style="37" customWidth="1"/>
    <col min="15486" max="15486" width="9.140625" style="37" customWidth="1"/>
    <col min="15487" max="15487" width="2.85546875" style="37" customWidth="1"/>
    <col min="15488" max="15488" width="10.7109375" style="37" customWidth="1"/>
    <col min="15489" max="15532" width="9.140625" style="37" customWidth="1"/>
    <col min="15533" max="15677" width="11.42578125" style="37" customWidth="1"/>
    <col min="15678" max="15678" width="11.5703125" style="37" bestFit="1" customWidth="1"/>
    <col min="15679" max="15732" width="9.140625" style="37"/>
    <col min="15733" max="15733" width="38.85546875" style="37" customWidth="1"/>
    <col min="15734" max="15734" width="11.140625" style="37" customWidth="1"/>
    <col min="15735" max="15735" width="2.85546875" style="37" customWidth="1"/>
    <col min="15736" max="15736" width="11.140625" style="37" customWidth="1"/>
    <col min="15737" max="15737" width="2.85546875" style="37" customWidth="1"/>
    <col min="15738" max="15738" width="9.140625" style="37" customWidth="1"/>
    <col min="15739" max="15739" width="2.85546875" style="37" customWidth="1"/>
    <col min="15740" max="15740" width="9.140625" style="37" customWidth="1"/>
    <col min="15741" max="15741" width="2.85546875" style="37" customWidth="1"/>
    <col min="15742" max="15742" width="9.140625" style="37" customWidth="1"/>
    <col min="15743" max="15743" width="2.85546875" style="37" customWidth="1"/>
    <col min="15744" max="15744" width="10.7109375" style="37" customWidth="1"/>
    <col min="15745" max="15788" width="9.140625" style="37" customWidth="1"/>
    <col min="15789" max="15933" width="11.42578125" style="37" customWidth="1"/>
    <col min="15934" max="15934" width="11.5703125" style="37" bestFit="1" customWidth="1"/>
    <col min="15935" max="15988" width="9.140625" style="37"/>
    <col min="15989" max="15989" width="38.85546875" style="37" customWidth="1"/>
    <col min="15990" max="15990" width="11.140625" style="37" customWidth="1"/>
    <col min="15991" max="15991" width="2.85546875" style="37" customWidth="1"/>
    <col min="15992" max="15992" width="11.140625" style="37" customWidth="1"/>
    <col min="15993" max="15993" width="2.85546875" style="37" customWidth="1"/>
    <col min="15994" max="15994" width="9.140625" style="37" customWidth="1"/>
    <col min="15995" max="15995" width="2.85546875" style="37" customWidth="1"/>
    <col min="15996" max="15996" width="9.140625" style="37" customWidth="1"/>
    <col min="15997" max="15997" width="2.85546875" style="37" customWidth="1"/>
    <col min="15998" max="15998" width="9.140625" style="37" customWidth="1"/>
    <col min="15999" max="15999" width="2.85546875" style="37" customWidth="1"/>
    <col min="16000" max="16000" width="10.7109375" style="37" customWidth="1"/>
    <col min="16001" max="16044" width="9.140625" style="37" customWidth="1"/>
    <col min="16045" max="16189" width="11.42578125" style="37" customWidth="1"/>
    <col min="16190" max="16190" width="11.5703125" style="37" bestFit="1" customWidth="1"/>
    <col min="16191" max="16384" width="9.140625" style="37"/>
  </cols>
  <sheetData>
    <row r="1" spans="1:60" s="33" customFormat="1">
      <c r="A1" s="31" t="s">
        <v>173</v>
      </c>
      <c r="BD1" s="34"/>
      <c r="BE1" s="34"/>
      <c r="BF1" s="34"/>
    </row>
    <row r="2" spans="1:60" s="33" customFormat="1">
      <c r="A2" s="31" t="s">
        <v>175</v>
      </c>
      <c r="BD2" s="34"/>
      <c r="BE2" s="34"/>
      <c r="BF2" s="34"/>
    </row>
    <row r="3" spans="1:60" s="32" customFormat="1">
      <c r="A3" s="62" t="s">
        <v>174</v>
      </c>
      <c r="B3" s="32">
        <v>1950</v>
      </c>
      <c r="C3" s="32">
        <v>1951</v>
      </c>
      <c r="D3" s="32">
        <v>1952</v>
      </c>
      <c r="E3" s="32">
        <v>1953</v>
      </c>
      <c r="F3" s="32">
        <v>1954</v>
      </c>
      <c r="G3" s="32">
        <v>1955</v>
      </c>
      <c r="H3" s="32">
        <v>1956</v>
      </c>
      <c r="I3" s="32">
        <v>1957</v>
      </c>
      <c r="J3" s="32">
        <v>1958</v>
      </c>
      <c r="K3" s="32">
        <v>1959</v>
      </c>
      <c r="L3" s="32">
        <v>1960</v>
      </c>
      <c r="M3" s="32">
        <v>1961</v>
      </c>
      <c r="N3" s="32">
        <v>1962</v>
      </c>
      <c r="O3" s="32">
        <v>1963</v>
      </c>
      <c r="P3" s="32">
        <v>1964</v>
      </c>
      <c r="Q3" s="32">
        <v>1965</v>
      </c>
      <c r="R3" s="32">
        <v>1966</v>
      </c>
      <c r="S3" s="32">
        <v>1967</v>
      </c>
      <c r="T3" s="32">
        <v>1968</v>
      </c>
      <c r="U3" s="32">
        <v>1969</v>
      </c>
      <c r="V3" s="32">
        <v>1970</v>
      </c>
      <c r="W3" s="32">
        <v>1971</v>
      </c>
      <c r="X3" s="32">
        <v>1972</v>
      </c>
      <c r="Y3" s="32">
        <v>1973</v>
      </c>
      <c r="Z3" s="32">
        <v>1974</v>
      </c>
      <c r="AA3" s="32">
        <v>1975</v>
      </c>
      <c r="AB3" s="32">
        <v>1976</v>
      </c>
      <c r="AC3" s="32">
        <v>1977</v>
      </c>
      <c r="AD3" s="32">
        <v>1978</v>
      </c>
      <c r="AE3" s="32">
        <v>1979</v>
      </c>
      <c r="AF3" s="32">
        <v>1980</v>
      </c>
      <c r="AG3" s="32">
        <v>1981</v>
      </c>
      <c r="AH3" s="32">
        <v>1982</v>
      </c>
      <c r="AI3" s="32">
        <v>1983</v>
      </c>
      <c r="AJ3" s="32">
        <v>1984</v>
      </c>
      <c r="AK3" s="32">
        <v>1985</v>
      </c>
      <c r="AL3" s="32">
        <v>1986</v>
      </c>
      <c r="AM3" s="32">
        <v>1987</v>
      </c>
      <c r="AN3" s="32">
        <v>1988</v>
      </c>
      <c r="AO3" s="32">
        <v>1989</v>
      </c>
      <c r="AP3" s="32">
        <v>1990</v>
      </c>
      <c r="AQ3" s="32">
        <v>1991</v>
      </c>
      <c r="AR3" s="32">
        <v>1992</v>
      </c>
      <c r="AS3" s="32">
        <v>1993</v>
      </c>
      <c r="AT3" s="32">
        <v>1994</v>
      </c>
      <c r="AU3" s="32">
        <v>1995</v>
      </c>
      <c r="AV3" s="32">
        <v>1996</v>
      </c>
      <c r="AW3" s="32">
        <v>1997</v>
      </c>
      <c r="AX3" s="32">
        <v>1998</v>
      </c>
      <c r="AY3" s="32">
        <v>1999</v>
      </c>
      <c r="AZ3" s="32">
        <v>2000</v>
      </c>
      <c r="BA3" s="32">
        <v>2001</v>
      </c>
      <c r="BB3" s="32">
        <v>2002</v>
      </c>
      <c r="BC3" s="32">
        <v>2003</v>
      </c>
      <c r="BD3" s="32">
        <v>2004</v>
      </c>
      <c r="BE3" s="32">
        <v>2005</v>
      </c>
      <c r="BF3" s="32">
        <v>2006</v>
      </c>
      <c r="BG3" s="32">
        <v>2007</v>
      </c>
      <c r="BH3" s="32">
        <v>2008</v>
      </c>
    </row>
    <row r="4" spans="1:60" s="32" customFormat="1" ht="12.75"/>
    <row r="5" spans="1:60" s="57" customFormat="1" ht="12.75">
      <c r="A5" s="57" t="s">
        <v>2</v>
      </c>
      <c r="B5" s="58">
        <f>B206</f>
        <v>2110.7375878729968</v>
      </c>
      <c r="C5" s="58">
        <f t="shared" ref="C5:BH5" si="0">C206</f>
        <v>2197.005536460234</v>
      </c>
      <c r="D5" s="58">
        <f t="shared" si="0"/>
        <v>2257.9803276936786</v>
      </c>
      <c r="E5" s="58">
        <f t="shared" si="0"/>
        <v>2328.9879060093858</v>
      </c>
      <c r="F5" s="58">
        <f t="shared" si="0"/>
        <v>2363.4138861859774</v>
      </c>
      <c r="G5" s="58">
        <f t="shared" si="0"/>
        <v>2466.7170170727891</v>
      </c>
      <c r="H5" s="58">
        <f t="shared" si="0"/>
        <v>2533.8230115051974</v>
      </c>
      <c r="I5" s="58">
        <f t="shared" si="0"/>
        <v>2577.8009482567736</v>
      </c>
      <c r="J5" s="58">
        <f t="shared" si="0"/>
        <v>2606.8812108084485</v>
      </c>
      <c r="K5" s="58">
        <f t="shared" si="0"/>
        <v>2674.7974032347111</v>
      </c>
      <c r="L5" s="58">
        <f t="shared" si="0"/>
        <v>2772.5805907823415</v>
      </c>
      <c r="M5" s="58">
        <f t="shared" si="0"/>
        <v>2830.9087657252162</v>
      </c>
      <c r="N5" s="58">
        <f t="shared" si="0"/>
        <v>2913.6118041886625</v>
      </c>
      <c r="O5" s="58">
        <f t="shared" si="0"/>
        <v>2977.9747285397052</v>
      </c>
      <c r="P5" s="58">
        <f t="shared" si="0"/>
        <v>3130.2484095494196</v>
      </c>
      <c r="Q5" s="58">
        <f t="shared" si="0"/>
        <v>3228.2647858678115</v>
      </c>
      <c r="R5" s="58">
        <f t="shared" si="0"/>
        <v>3335.1518491409033</v>
      </c>
      <c r="S5" s="58">
        <f t="shared" si="0"/>
        <v>3390.2571637920305</v>
      </c>
      <c r="T5" s="58">
        <f t="shared" si="0"/>
        <v>3504.5040609263178</v>
      </c>
      <c r="U5" s="58">
        <f t="shared" si="0"/>
        <v>3623.574254992016</v>
      </c>
      <c r="V5" s="58">
        <f t="shared" si="0"/>
        <v>3729.4373347707365</v>
      </c>
      <c r="W5" s="58">
        <f t="shared" si="0"/>
        <v>3802.9663296976064</v>
      </c>
      <c r="X5" s="58">
        <f t="shared" si="0"/>
        <v>3904.4384942976121</v>
      </c>
      <c r="Y5" s="58">
        <f t="shared" si="0"/>
        <v>4082.588683315711</v>
      </c>
      <c r="Z5" s="58">
        <f t="shared" si="0"/>
        <v>4099.3797890259157</v>
      </c>
      <c r="AA5" s="58">
        <f t="shared" si="0"/>
        <v>4087.2687804037168</v>
      </c>
      <c r="AB5" s="58">
        <f t="shared" si="0"/>
        <v>4213.3919211859211</v>
      </c>
      <c r="AC5" s="58">
        <f t="shared" si="0"/>
        <v>4309.2265360553329</v>
      </c>
      <c r="AD5" s="58">
        <f t="shared" si="0"/>
        <v>4422.311835214161</v>
      </c>
      <c r="AE5" s="58">
        <f t="shared" si="0"/>
        <v>4499.7738959830458</v>
      </c>
      <c r="AF5" s="58">
        <f t="shared" si="0"/>
        <v>4511.7389212823982</v>
      </c>
      <c r="AG5" s="58">
        <f t="shared" si="0"/>
        <v>4523.4433726844918</v>
      </c>
      <c r="AH5" s="58">
        <f t="shared" si="0"/>
        <v>4501.1927230085485</v>
      </c>
      <c r="AI5" s="58">
        <f t="shared" si="0"/>
        <v>4541.033317666007</v>
      </c>
      <c r="AJ5" s="58">
        <f t="shared" si="0"/>
        <v>4668.1745199810985</v>
      </c>
      <c r="AK5" s="58">
        <f t="shared" si="0"/>
        <v>4748.0223900302653</v>
      </c>
      <c r="AL5" s="58">
        <f t="shared" si="0"/>
        <v>4832.7726342695896</v>
      </c>
      <c r="AM5" s="58">
        <f t="shared" si="0"/>
        <v>4932.1727078853737</v>
      </c>
      <c r="AN5" s="58">
        <f t="shared" si="0"/>
        <v>5056.2792467739146</v>
      </c>
      <c r="AO5" s="58">
        <f t="shared" si="0"/>
        <v>5130.0360798357133</v>
      </c>
      <c r="AP5" s="58">
        <f t="shared" si="0"/>
        <v>5149.731181777448</v>
      </c>
      <c r="AQ5" s="58">
        <f t="shared" si="0"/>
        <v>5137.2637069414914</v>
      </c>
      <c r="AR5" s="58">
        <f t="shared" si="0"/>
        <v>5165.3310712911225</v>
      </c>
      <c r="AS5" s="58">
        <f t="shared" si="0"/>
        <v>5199.8756070077879</v>
      </c>
      <c r="AT5" s="58">
        <f t="shared" si="0"/>
        <v>5303.7772264938212</v>
      </c>
      <c r="AU5" s="58">
        <f t="shared" si="0"/>
        <v>5446.0671888067191</v>
      </c>
      <c r="AV5" s="58">
        <f t="shared" si="0"/>
        <v>5551.7740884886516</v>
      </c>
      <c r="AW5" s="58">
        <f t="shared" si="0"/>
        <v>5690.0199595115228</v>
      </c>
      <c r="AX5" s="58">
        <f t="shared" si="0"/>
        <v>5708.7309541273362</v>
      </c>
      <c r="AY5" s="58">
        <f t="shared" si="0"/>
        <v>5833.2554919139293</v>
      </c>
      <c r="AZ5" s="58">
        <f t="shared" si="0"/>
        <v>6037.6758874956095</v>
      </c>
      <c r="BA5" s="58">
        <f t="shared" si="0"/>
        <v>6131.7054714729165</v>
      </c>
      <c r="BB5" s="58">
        <f t="shared" si="0"/>
        <v>6261.7342670542766</v>
      </c>
      <c r="BC5" s="58">
        <f t="shared" si="0"/>
        <v>6469.1195749421013</v>
      </c>
      <c r="BD5" s="58">
        <f t="shared" si="0"/>
        <v>6738.2813332867345</v>
      </c>
      <c r="BE5" s="58">
        <f t="shared" si="0"/>
        <v>6960.0310347543327</v>
      </c>
      <c r="BF5" s="58">
        <f t="shared" si="0"/>
        <v>7238.3834833498449</v>
      </c>
      <c r="BG5" s="58">
        <f t="shared" si="0"/>
        <v>7467.6482323114678</v>
      </c>
      <c r="BH5" s="58">
        <f t="shared" si="0"/>
        <v>7613.9229239427013</v>
      </c>
    </row>
    <row r="6" spans="1:60" s="57" customFormat="1" ht="12.75">
      <c r="A6" s="57" t="s">
        <v>3</v>
      </c>
      <c r="B6" s="58">
        <f>B36</f>
        <v>9561.3478600652797</v>
      </c>
      <c r="C6" s="58">
        <f t="shared" ref="C6:BH6" si="1">C36</f>
        <v>10116.246335825619</v>
      </c>
      <c r="D6" s="58">
        <f t="shared" si="1"/>
        <v>10315.544610385077</v>
      </c>
      <c r="E6" s="58">
        <f t="shared" si="1"/>
        <v>10612.608000799082</v>
      </c>
      <c r="F6" s="58">
        <f t="shared" si="1"/>
        <v>10359.108363083189</v>
      </c>
      <c r="G6" s="58">
        <f t="shared" si="1"/>
        <v>10896.854716719601</v>
      </c>
      <c r="H6" s="58">
        <f t="shared" si="1"/>
        <v>10914.282161950941</v>
      </c>
      <c r="I6" s="58">
        <f t="shared" si="1"/>
        <v>10919.986742952833</v>
      </c>
      <c r="J6" s="58">
        <f t="shared" si="1"/>
        <v>10630.528013174597</v>
      </c>
      <c r="K6" s="58">
        <f t="shared" si="1"/>
        <v>11230.16926277906</v>
      </c>
      <c r="L6" s="58">
        <f t="shared" si="1"/>
        <v>11328.475516269904</v>
      </c>
      <c r="M6" s="58">
        <f t="shared" si="1"/>
        <v>11401.734434457867</v>
      </c>
      <c r="N6" s="58">
        <f t="shared" si="1"/>
        <v>11904.984507178162</v>
      </c>
      <c r="O6" s="58">
        <f t="shared" si="1"/>
        <v>12242.340495238901</v>
      </c>
      <c r="P6" s="58">
        <f t="shared" si="1"/>
        <v>12772.566431634954</v>
      </c>
      <c r="Q6" s="58">
        <f t="shared" si="1"/>
        <v>13418.701718450051</v>
      </c>
      <c r="R6" s="58">
        <f t="shared" si="1"/>
        <v>14133.526658526658</v>
      </c>
      <c r="S6" s="58">
        <f t="shared" si="1"/>
        <v>14330.030395748621</v>
      </c>
      <c r="T6" s="58">
        <f t="shared" si="1"/>
        <v>14862.938825944417</v>
      </c>
      <c r="U6" s="58">
        <f t="shared" si="1"/>
        <v>15179.408615679135</v>
      </c>
      <c r="V6" s="58">
        <f t="shared" si="1"/>
        <v>15029.846087821626</v>
      </c>
      <c r="W6" s="58">
        <f t="shared" si="1"/>
        <v>15304.298833194485</v>
      </c>
      <c r="X6" s="58">
        <f t="shared" si="1"/>
        <v>15943.867439112702</v>
      </c>
      <c r="Y6" s="58">
        <f t="shared" si="1"/>
        <v>16689.343067071241</v>
      </c>
      <c r="Z6" s="58">
        <f t="shared" si="1"/>
        <v>16491.269744779151</v>
      </c>
      <c r="AA6" s="58">
        <f t="shared" si="1"/>
        <v>16283.632676306759</v>
      </c>
      <c r="AB6" s="58">
        <f t="shared" si="1"/>
        <v>16975.086568670169</v>
      </c>
      <c r="AC6" s="58">
        <f t="shared" si="1"/>
        <v>17566.502753826528</v>
      </c>
      <c r="AD6" s="58">
        <f t="shared" si="1"/>
        <v>18372.972123009189</v>
      </c>
      <c r="AE6" s="58">
        <f t="shared" si="1"/>
        <v>18789.393703761303</v>
      </c>
      <c r="AF6" s="58">
        <f t="shared" si="1"/>
        <v>18577.36665413365</v>
      </c>
      <c r="AG6" s="58">
        <f t="shared" si="1"/>
        <v>18855.55486999598</v>
      </c>
      <c r="AH6" s="58">
        <f t="shared" si="1"/>
        <v>18325.120263083551</v>
      </c>
      <c r="AI6" s="58">
        <f t="shared" si="1"/>
        <v>18920.156391092147</v>
      </c>
      <c r="AJ6" s="58">
        <f t="shared" si="1"/>
        <v>20122.667101821073</v>
      </c>
      <c r="AK6" s="58">
        <f t="shared" si="1"/>
        <v>20717.322960076497</v>
      </c>
      <c r="AL6" s="58">
        <f t="shared" si="1"/>
        <v>21236.085463351239</v>
      </c>
      <c r="AM6" s="58">
        <f t="shared" si="1"/>
        <v>21787.693674127881</v>
      </c>
      <c r="AN6" s="58">
        <f t="shared" si="1"/>
        <v>22499.441620233243</v>
      </c>
      <c r="AO6" s="58">
        <f t="shared" si="1"/>
        <v>23059.278193599523</v>
      </c>
      <c r="AP6" s="58">
        <f t="shared" si="1"/>
        <v>23200.559941388365</v>
      </c>
      <c r="AQ6" s="58">
        <f t="shared" si="1"/>
        <v>22848.529180676011</v>
      </c>
      <c r="AR6" s="58">
        <f t="shared" si="1"/>
        <v>23298.119448949757</v>
      </c>
      <c r="AS6" s="58">
        <f t="shared" si="1"/>
        <v>23616.074711866208</v>
      </c>
      <c r="AT6" s="58">
        <f t="shared" si="1"/>
        <v>24278.634744145471</v>
      </c>
      <c r="AU6" s="58">
        <f t="shared" si="1"/>
        <v>24603.174663290505</v>
      </c>
      <c r="AV6" s="58">
        <f t="shared" si="1"/>
        <v>25230.224231062657</v>
      </c>
      <c r="AW6" s="58">
        <f t="shared" si="1"/>
        <v>26051.550692973986</v>
      </c>
      <c r="AX6" s="58">
        <f t="shared" si="1"/>
        <v>26848.774125103857</v>
      </c>
      <c r="AY6" s="58">
        <f t="shared" si="1"/>
        <v>27734.749851852728</v>
      </c>
      <c r="AZ6" s="58">
        <f t="shared" si="1"/>
        <v>28467.061008371198</v>
      </c>
      <c r="BA6" s="58">
        <f t="shared" si="1"/>
        <v>28405.464787743713</v>
      </c>
      <c r="BB6" s="58">
        <f t="shared" si="1"/>
        <v>28603.924855913545</v>
      </c>
      <c r="BC6" s="58">
        <f t="shared" si="1"/>
        <v>29074.234618222948</v>
      </c>
      <c r="BD6" s="58">
        <f t="shared" si="1"/>
        <v>29845.238827073219</v>
      </c>
      <c r="BE6" s="58">
        <f t="shared" si="1"/>
        <v>30481.353799102111</v>
      </c>
      <c r="BF6" s="58">
        <f t="shared" si="1"/>
        <v>31004.463178775106</v>
      </c>
      <c r="BG6" s="58">
        <f t="shared" si="1"/>
        <v>31357.365241635685</v>
      </c>
      <c r="BH6" s="58">
        <f t="shared" si="1"/>
        <v>31177.721971679133</v>
      </c>
    </row>
    <row r="7" spans="1:60" s="57" customFormat="1" ht="12.75">
      <c r="A7" s="57" t="s">
        <v>4</v>
      </c>
      <c r="B7" s="59">
        <v>1682.188013925118</v>
      </c>
      <c r="C7" s="59">
        <v>1735.3805784588706</v>
      </c>
      <c r="D7" s="59">
        <v>1765.7699719472046</v>
      </c>
      <c r="E7" s="59">
        <v>1829.2709826119356</v>
      </c>
      <c r="F7" s="59">
        <v>1848.6437824050072</v>
      </c>
      <c r="G7" s="59">
        <v>1975.1960524438507</v>
      </c>
      <c r="H7" s="59">
        <v>2013.7158246173083</v>
      </c>
      <c r="I7" s="59">
        <v>2060.7623561880387</v>
      </c>
      <c r="J7" s="59">
        <v>2092.4184858748604</v>
      </c>
      <c r="K7" s="59">
        <v>2183.8854433037986</v>
      </c>
      <c r="L7" s="59">
        <v>2249.6088791196362</v>
      </c>
      <c r="M7" s="59">
        <v>2304.1776213878957</v>
      </c>
      <c r="N7" s="59">
        <v>2387.7502188888029</v>
      </c>
      <c r="O7" s="59">
        <v>2427.8045948158438</v>
      </c>
      <c r="P7" s="59">
        <v>2572.0908596731097</v>
      </c>
      <c r="Q7" s="59">
        <v>2647.2678783564929</v>
      </c>
      <c r="R7" s="59">
        <v>2726.3117454048665</v>
      </c>
      <c r="S7" s="59">
        <v>2747.2504707220501</v>
      </c>
      <c r="T7" s="59">
        <v>2862.9929951771182</v>
      </c>
      <c r="U7" s="59">
        <v>2964.7338110804435</v>
      </c>
      <c r="V7" s="59">
        <v>3066.2937600015562</v>
      </c>
      <c r="W7" s="59">
        <v>3159.4876873103535</v>
      </c>
      <c r="X7" s="59">
        <v>3255.8716187835485</v>
      </c>
      <c r="Y7" s="59">
        <v>3413.9026022956855</v>
      </c>
      <c r="Z7" s="59">
        <v>3396.3994101538788</v>
      </c>
      <c r="AA7" s="59">
        <v>3401.3565372006756</v>
      </c>
      <c r="AB7" s="59">
        <v>3551.1725296120035</v>
      </c>
      <c r="AC7" s="59">
        <v>3620.0462844963599</v>
      </c>
      <c r="AD7" s="59">
        <v>3712.4990756931447</v>
      </c>
      <c r="AE7" s="59">
        <v>3756.2299113891581</v>
      </c>
      <c r="AF7" s="59">
        <v>3751.6831423587992</v>
      </c>
      <c r="AG7" s="59">
        <v>3778.8892215137216</v>
      </c>
      <c r="AH7" s="59">
        <v>3745.5260319792174</v>
      </c>
      <c r="AI7" s="59">
        <v>3822.7048936289093</v>
      </c>
      <c r="AJ7" s="59">
        <v>3931.5182052777814</v>
      </c>
      <c r="AK7" s="59">
        <v>3960.1303383856912</v>
      </c>
      <c r="AL7" s="59">
        <v>4025.6963731731526</v>
      </c>
      <c r="AM7" s="59">
        <v>4110.7958351217167</v>
      </c>
      <c r="AN7" s="59">
        <v>4220.6780780379559</v>
      </c>
      <c r="AO7" s="59">
        <v>4269.747763182796</v>
      </c>
      <c r="AP7" s="59">
        <v>4269.97439615854</v>
      </c>
      <c r="AQ7" s="59">
        <v>4254.4541260313508</v>
      </c>
      <c r="AR7" s="59">
        <v>4303.1692286721254</v>
      </c>
      <c r="AS7" s="59">
        <v>4318.9381712893901</v>
      </c>
      <c r="AT7" s="59">
        <v>4413.7770659929229</v>
      </c>
      <c r="AU7" s="59">
        <v>4533.0192950845294</v>
      </c>
      <c r="AV7" s="59">
        <v>4630.3398895196224</v>
      </c>
      <c r="AW7" s="59">
        <v>4747.1760775182302</v>
      </c>
      <c r="AX7" s="59">
        <v>4728.5253622046894</v>
      </c>
      <c r="AY7" s="59">
        <v>4822.0966125754649</v>
      </c>
      <c r="AZ7" s="59">
        <v>4994.8429894617648</v>
      </c>
      <c r="BA7" s="59">
        <v>5060.9513075711184</v>
      </c>
      <c r="BB7" s="59">
        <v>5203.0745620331545</v>
      </c>
      <c r="BC7" s="59">
        <v>5414.3997661744979</v>
      </c>
      <c r="BD7" s="59">
        <v>5676.3102114749463</v>
      </c>
      <c r="BE7" s="59">
        <v>5876.6580906833478</v>
      </c>
      <c r="BF7" s="59">
        <v>6141.0136166942466</v>
      </c>
      <c r="BG7" s="59">
        <v>6358.7444498504283</v>
      </c>
      <c r="BH7" s="59">
        <v>6498.06933126679</v>
      </c>
    </row>
    <row r="8" spans="1:60" s="32" customFormat="1" ht="12.75"/>
    <row r="9" spans="1:60" s="32" customFormat="1" ht="12.75"/>
    <row r="10" spans="1:60" s="32" customFormat="1" ht="12.75"/>
    <row r="11" spans="1:60" s="32" customFormat="1" ht="12.75"/>
    <row r="12" spans="1:60">
      <c r="A12" s="35" t="s">
        <v>176</v>
      </c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6"/>
      <c r="BF12" s="36"/>
    </row>
    <row r="13" spans="1:60">
      <c r="A13" s="38" t="s">
        <v>177</v>
      </c>
      <c r="B13" s="36">
        <v>3706.0748943778744</v>
      </c>
      <c r="C13" s="36">
        <v>3959.3676027701731</v>
      </c>
      <c r="D13" s="36">
        <v>3967.2206302401405</v>
      </c>
      <c r="E13" s="36">
        <v>4137.0458463439427</v>
      </c>
      <c r="F13" s="36">
        <v>4554.7619675430533</v>
      </c>
      <c r="G13" s="36">
        <v>5053.344052766096</v>
      </c>
      <c r="H13" s="36">
        <v>5396.7293691249261</v>
      </c>
      <c r="I13" s="36">
        <v>5716.1642639961183</v>
      </c>
      <c r="J13" s="36">
        <v>5906.6674413991668</v>
      </c>
      <c r="K13" s="36">
        <v>6051.1829282079789</v>
      </c>
      <c r="L13" s="36">
        <v>6518.5400025569579</v>
      </c>
      <c r="M13" s="36">
        <v>6826.9769593408355</v>
      </c>
      <c r="N13" s="36">
        <v>6949.6416761946657</v>
      </c>
      <c r="O13" s="36">
        <v>7186.2260586294706</v>
      </c>
      <c r="P13" s="36">
        <v>7566.9304843807295</v>
      </c>
      <c r="Q13" s="36">
        <v>7734.1298980083457</v>
      </c>
      <c r="R13" s="36">
        <v>8112.3278593773948</v>
      </c>
      <c r="S13" s="36">
        <v>8296.7353386838386</v>
      </c>
      <c r="T13" s="36">
        <v>8620.5699137322681</v>
      </c>
      <c r="U13" s="36">
        <v>9131.0976736497705</v>
      </c>
      <c r="V13" s="36">
        <v>9747.4436480308377</v>
      </c>
      <c r="W13" s="36">
        <v>10200.14447071535</v>
      </c>
      <c r="X13" s="36">
        <v>10770.656826349139</v>
      </c>
      <c r="Y13" s="36">
        <v>11234.604273729045</v>
      </c>
      <c r="Z13" s="36">
        <v>11657.791420440326</v>
      </c>
      <c r="AA13" s="36">
        <v>11646.408457793957</v>
      </c>
      <c r="AB13" s="36">
        <v>12201.003895962276</v>
      </c>
      <c r="AC13" s="36">
        <v>12766.716478847</v>
      </c>
      <c r="AD13" s="36">
        <v>12730.642310776939</v>
      </c>
      <c r="AE13" s="36">
        <v>13448.044056335415</v>
      </c>
      <c r="AF13" s="36">
        <v>13759.179000595144</v>
      </c>
      <c r="AG13" s="36">
        <v>13717.923245145268</v>
      </c>
      <c r="AH13" s="36">
        <v>13961.109300237516</v>
      </c>
      <c r="AI13" s="36">
        <v>14393.949022997273</v>
      </c>
      <c r="AJ13" s="36">
        <v>14439.382314208966</v>
      </c>
      <c r="AK13" s="36">
        <v>14752.421235761483</v>
      </c>
      <c r="AL13" s="36">
        <v>15080.780979255156</v>
      </c>
      <c r="AM13" s="36">
        <v>15312.638253847554</v>
      </c>
      <c r="AN13" s="36">
        <v>15754.380613887934</v>
      </c>
      <c r="AO13" s="36">
        <v>16359.894339972896</v>
      </c>
      <c r="AP13" s="36">
        <v>16894.57387608082</v>
      </c>
      <c r="AQ13" s="36">
        <v>17288.512276228801</v>
      </c>
      <c r="AR13" s="36">
        <v>17480.905529514996</v>
      </c>
      <c r="AS13" s="36">
        <v>17377.49235016642</v>
      </c>
      <c r="AT13" s="36">
        <v>17753.351966381346</v>
      </c>
      <c r="AU13" s="36">
        <v>18047.700195488193</v>
      </c>
      <c r="AV13" s="36">
        <v>18489.559845999043</v>
      </c>
      <c r="AW13" s="36">
        <v>18808.619515935719</v>
      </c>
      <c r="AX13" s="36">
        <v>19462.848985879027</v>
      </c>
      <c r="AY13" s="36">
        <v>20065.093877607498</v>
      </c>
      <c r="AZ13" s="36">
        <v>20691.415560874324</v>
      </c>
      <c r="BA13" s="36">
        <v>20812.893752713153</v>
      </c>
      <c r="BB13" s="36">
        <v>20955.874050969083</v>
      </c>
      <c r="BC13" s="36">
        <v>21165.047259127423</v>
      </c>
      <c r="BD13" s="36">
        <v>21626.929322223696</v>
      </c>
      <c r="BE13" s="36">
        <v>22140.725899120687</v>
      </c>
      <c r="BF13" s="36">
        <v>22892.682426692449</v>
      </c>
      <c r="BG13" s="36">
        <v>23674.041130112837</v>
      </c>
      <c r="BH13" s="36">
        <v>24130.547034543644</v>
      </c>
    </row>
    <row r="14" spans="1:60">
      <c r="A14" s="38" t="s">
        <v>179</v>
      </c>
      <c r="B14" s="36">
        <v>5462.2044734980063</v>
      </c>
      <c r="C14" s="36">
        <v>5746.9211440929221</v>
      </c>
      <c r="D14" s="36">
        <v>5668.2364678385475</v>
      </c>
      <c r="E14" s="36">
        <v>5818.1520739705393</v>
      </c>
      <c r="F14" s="36">
        <v>6029.1086221480427</v>
      </c>
      <c r="G14" s="36">
        <v>6280.2229244599548</v>
      </c>
      <c r="H14" s="36">
        <v>6422.455791197629</v>
      </c>
      <c r="I14" s="36">
        <v>6494.6355651854774</v>
      </c>
      <c r="J14" s="36">
        <v>6441.8300514973034</v>
      </c>
      <c r="K14" s="36">
        <v>6608.2810681205474</v>
      </c>
      <c r="L14" s="36">
        <v>6952.0874686084635</v>
      </c>
      <c r="M14" s="36">
        <v>7252.8311767658042</v>
      </c>
      <c r="N14" s="36">
        <v>7583.0946802048084</v>
      </c>
      <c r="O14" s="36">
        <v>7862.4597386648848</v>
      </c>
      <c r="P14" s="36">
        <v>8340.7707910750505</v>
      </c>
      <c r="Q14" s="36">
        <v>8559.3928938093359</v>
      </c>
      <c r="R14" s="36">
        <v>8775.9523759439617</v>
      </c>
      <c r="S14" s="36">
        <v>9071.8359231936374</v>
      </c>
      <c r="T14" s="36">
        <v>9415.5248284635763</v>
      </c>
      <c r="U14" s="36">
        <v>10018.205082859133</v>
      </c>
      <c r="V14" s="36">
        <v>10610.824046981676</v>
      </c>
      <c r="W14" s="36">
        <v>10969.55285603515</v>
      </c>
      <c r="X14" s="36">
        <v>11502.507956453224</v>
      </c>
      <c r="Y14" s="36">
        <v>12169.966318902489</v>
      </c>
      <c r="Z14" s="36">
        <v>12642.969757775551</v>
      </c>
      <c r="AA14" s="36">
        <v>12440.7849062768</v>
      </c>
      <c r="AB14" s="36">
        <v>13122.311690959128</v>
      </c>
      <c r="AC14" s="36">
        <v>13189.944816632391</v>
      </c>
      <c r="AD14" s="36">
        <v>13553.923314038067</v>
      </c>
      <c r="AE14" s="36">
        <v>13860.651404871303</v>
      </c>
      <c r="AF14" s="36">
        <v>14467.441199171306</v>
      </c>
      <c r="AG14" s="36">
        <v>14278.754415167878</v>
      </c>
      <c r="AH14" s="36">
        <v>14474.494138420865</v>
      </c>
      <c r="AI14" s="36">
        <v>14473.919184375862</v>
      </c>
      <c r="AJ14" s="36">
        <v>14832.628129027022</v>
      </c>
      <c r="AK14" s="36">
        <v>14977.37923758901</v>
      </c>
      <c r="AL14" s="36">
        <v>15195.400433997853</v>
      </c>
      <c r="AM14" s="36">
        <v>15540.921156612834</v>
      </c>
      <c r="AN14" s="36">
        <v>16251.719951436666</v>
      </c>
      <c r="AO14" s="36">
        <v>16743.919642548975</v>
      </c>
      <c r="AP14" s="36">
        <v>17196.977524021222</v>
      </c>
      <c r="AQ14" s="36">
        <v>17450.635823414563</v>
      </c>
      <c r="AR14" s="36">
        <v>17645.19386867241</v>
      </c>
      <c r="AS14" s="36">
        <v>17406.49932286211</v>
      </c>
      <c r="AT14" s="36">
        <v>17901.660779581147</v>
      </c>
      <c r="AU14" s="36">
        <v>18269.834713382123</v>
      </c>
      <c r="AV14" s="36">
        <v>18438.55629657775</v>
      </c>
      <c r="AW14" s="36">
        <v>19015.124380236186</v>
      </c>
      <c r="AX14" s="36">
        <v>19338.985987121501</v>
      </c>
      <c r="AY14" s="36">
        <v>19964.428265704537</v>
      </c>
      <c r="AZ14" s="36">
        <v>20656.458570457318</v>
      </c>
      <c r="BA14" s="36">
        <v>20761.23827803024</v>
      </c>
      <c r="BB14" s="36">
        <v>21032.935510867468</v>
      </c>
      <c r="BC14" s="36">
        <v>21205.859280924735</v>
      </c>
      <c r="BD14" s="36">
        <v>21801.602508475811</v>
      </c>
      <c r="BE14" s="36">
        <v>22246.561977417288</v>
      </c>
      <c r="BF14" s="36">
        <v>22881.632809577201</v>
      </c>
      <c r="BG14" s="36">
        <v>23446.949671802748</v>
      </c>
      <c r="BH14" s="36">
        <v>23654.763464380027</v>
      </c>
    </row>
    <row r="15" spans="1:60">
      <c r="A15" s="38" t="s">
        <v>180</v>
      </c>
      <c r="B15" s="36">
        <v>6943.1046593303681</v>
      </c>
      <c r="C15" s="36">
        <v>6936.4860280415087</v>
      </c>
      <c r="D15" s="36">
        <v>6955.2376557452699</v>
      </c>
      <c r="E15" s="36">
        <v>7291.5903764464629</v>
      </c>
      <c r="F15" s="36">
        <v>7371.3118474807079</v>
      </c>
      <c r="G15" s="36">
        <v>7395.3593151610721</v>
      </c>
      <c r="H15" s="36">
        <v>7438.7586978623622</v>
      </c>
      <c r="I15" s="36">
        <v>7965.0949423006341</v>
      </c>
      <c r="J15" s="36">
        <v>8095.2229082117647</v>
      </c>
      <c r="K15" s="36">
        <v>8637.1550306644294</v>
      </c>
      <c r="L15" s="36">
        <v>8811.831477843265</v>
      </c>
      <c r="M15" s="36">
        <v>9311.8663929609356</v>
      </c>
      <c r="N15" s="36">
        <v>9747.3605516280859</v>
      </c>
      <c r="O15" s="36">
        <v>9731.6603392405686</v>
      </c>
      <c r="P15" s="36">
        <v>10559.575066242303</v>
      </c>
      <c r="Q15" s="36">
        <v>10953.321704041527</v>
      </c>
      <c r="R15" s="36">
        <v>11159.770713913496</v>
      </c>
      <c r="S15" s="36">
        <v>11436.513185087211</v>
      </c>
      <c r="T15" s="36">
        <v>11836.747272615208</v>
      </c>
      <c r="U15" s="36">
        <v>12530.550411424816</v>
      </c>
      <c r="V15" s="36">
        <v>12685.551346921749</v>
      </c>
      <c r="W15" s="36">
        <v>12933.582584846727</v>
      </c>
      <c r="X15" s="36">
        <v>13538.355267533672</v>
      </c>
      <c r="Y15" s="36">
        <v>13945.427800570347</v>
      </c>
      <c r="Z15" s="36">
        <v>13751.222177802418</v>
      </c>
      <c r="AA15" s="36">
        <v>13621.125165296044</v>
      </c>
      <c r="AB15" s="36">
        <v>14466.360025517508</v>
      </c>
      <c r="AC15" s="36">
        <v>14655.436197372899</v>
      </c>
      <c r="AD15" s="36">
        <v>14825.693192355306</v>
      </c>
      <c r="AE15" s="36">
        <v>15313.47717323327</v>
      </c>
      <c r="AF15" s="36">
        <v>15227.325563577939</v>
      </c>
      <c r="AG15" s="36">
        <v>15096.146261343198</v>
      </c>
      <c r="AH15" s="36">
        <v>15563.29758236433</v>
      </c>
      <c r="AI15" s="36">
        <v>15966.221750516252</v>
      </c>
      <c r="AJ15" s="36">
        <v>16675.929876620306</v>
      </c>
      <c r="AK15" s="36">
        <v>17384.116482595447</v>
      </c>
      <c r="AL15" s="36">
        <v>17993.240548739646</v>
      </c>
      <c r="AM15" s="36">
        <v>18023.321131322966</v>
      </c>
      <c r="AN15" s="36">
        <v>18224.331496382896</v>
      </c>
      <c r="AO15" s="36">
        <v>18261.334962659228</v>
      </c>
      <c r="AP15" s="36">
        <v>18452.411750815125</v>
      </c>
      <c r="AQ15" s="36">
        <v>18643.779300210022</v>
      </c>
      <c r="AR15" s="36">
        <v>18949.427489258374</v>
      </c>
      <c r="AS15" s="36">
        <v>18870.436974959637</v>
      </c>
      <c r="AT15" s="36">
        <v>19847.246385420305</v>
      </c>
      <c r="AU15" s="36">
        <v>20350.023828644404</v>
      </c>
      <c r="AV15" s="36">
        <v>20809.68712767362</v>
      </c>
      <c r="AW15" s="36">
        <v>21387.543114619457</v>
      </c>
      <c r="AX15" s="36">
        <v>21771.086679840919</v>
      </c>
      <c r="AY15" s="36">
        <v>22254.890572305132</v>
      </c>
      <c r="AZ15" s="36">
        <v>22975.162513096224</v>
      </c>
      <c r="BA15" s="36">
        <v>23059.374968492255</v>
      </c>
      <c r="BB15" s="36">
        <v>23082.620718988044</v>
      </c>
      <c r="BC15" s="36">
        <v>23088.582457475135</v>
      </c>
      <c r="BD15" s="36">
        <v>23492.664118911027</v>
      </c>
      <c r="BE15" s="36">
        <v>23972.564284050964</v>
      </c>
      <c r="BF15" s="36">
        <v>24680.492879670925</v>
      </c>
      <c r="BG15" s="36">
        <v>24995.245166528901</v>
      </c>
      <c r="BH15" s="36">
        <v>24620.568805389077</v>
      </c>
    </row>
    <row r="16" spans="1:60">
      <c r="A16" s="38" t="s">
        <v>181</v>
      </c>
      <c r="B16" s="36">
        <v>4253.28643767617</v>
      </c>
      <c r="C16" s="36">
        <v>4571.1956118894077</v>
      </c>
      <c r="D16" s="36">
        <v>4674.4896711893407</v>
      </c>
      <c r="E16" s="36">
        <v>4651.6403343479742</v>
      </c>
      <c r="F16" s="36">
        <v>5001.5524612481795</v>
      </c>
      <c r="G16" s="36">
        <v>5196.8169260195045</v>
      </c>
      <c r="H16" s="36">
        <v>5295.3266226031719</v>
      </c>
      <c r="I16" s="36">
        <v>5490.0555041628122</v>
      </c>
      <c r="J16" s="36">
        <v>5474.3336850314236</v>
      </c>
      <c r="K16" s="36">
        <v>5753.5212870048017</v>
      </c>
      <c r="L16" s="36">
        <v>6230.3594003973267</v>
      </c>
      <c r="M16" s="36">
        <v>6657.9182623463239</v>
      </c>
      <c r="N16" s="36">
        <v>6818.9666439048651</v>
      </c>
      <c r="O16" s="36">
        <v>6993.9948829496279</v>
      </c>
      <c r="P16" s="36">
        <v>7306.7337591985479</v>
      </c>
      <c r="Q16" s="36">
        <v>7669.6002306883929</v>
      </c>
      <c r="R16" s="36">
        <v>7824.4979282315217</v>
      </c>
      <c r="S16" s="36">
        <v>7946.5988556897655</v>
      </c>
      <c r="T16" s="36">
        <v>8092.9970567186338</v>
      </c>
      <c r="U16" s="36">
        <v>8877.5754062959259</v>
      </c>
      <c r="V16" s="36">
        <v>9576.8692794466369</v>
      </c>
      <c r="W16" s="36">
        <v>9764.6984339536393</v>
      </c>
      <c r="X16" s="36">
        <v>10447.53954872095</v>
      </c>
      <c r="Y16" s="36">
        <v>11085.105466450324</v>
      </c>
      <c r="Z16" s="36">
        <v>11361.296080181231</v>
      </c>
      <c r="AA16" s="36">
        <v>11441.302752725864</v>
      </c>
      <c r="AB16" s="36">
        <v>11358.403813728612</v>
      </c>
      <c r="AC16" s="36">
        <v>11354.528960506041</v>
      </c>
      <c r="AD16" s="36">
        <v>11558.900862867087</v>
      </c>
      <c r="AE16" s="36">
        <v>12331.547277997101</v>
      </c>
      <c r="AF16" s="36">
        <v>12948.958423779721</v>
      </c>
      <c r="AG16" s="36">
        <v>13134.056838759625</v>
      </c>
      <c r="AH16" s="36">
        <v>13484.753154850088</v>
      </c>
      <c r="AI16" s="36">
        <v>13766.872393702606</v>
      </c>
      <c r="AJ16" s="36">
        <v>14106.716637428746</v>
      </c>
      <c r="AK16" s="36">
        <v>14522.062686169502</v>
      </c>
      <c r="AL16" s="36">
        <v>14819.458956445556</v>
      </c>
      <c r="AM16" s="36">
        <v>15382.232073173524</v>
      </c>
      <c r="AN16" s="36">
        <v>16087.912727707921</v>
      </c>
      <c r="AO16" s="36">
        <v>16945.69265407891</v>
      </c>
      <c r="AP16" s="36">
        <v>16866.371960225664</v>
      </c>
      <c r="AQ16" s="36">
        <v>15702.913452073202</v>
      </c>
      <c r="AR16" s="36">
        <v>15022.908081008856</v>
      </c>
      <c r="AS16" s="36">
        <v>14766.532904230105</v>
      </c>
      <c r="AT16" s="36">
        <v>15283.664122807653</v>
      </c>
      <c r="AU16" s="36">
        <v>15752.678133567295</v>
      </c>
      <c r="AV16" s="36">
        <v>16300.089751979567</v>
      </c>
      <c r="AW16" s="36">
        <v>17261.581599203648</v>
      </c>
      <c r="AX16" s="36">
        <v>18193.182297279782</v>
      </c>
      <c r="AY16" s="36">
        <v>18855.985065810124</v>
      </c>
      <c r="AZ16" s="36">
        <v>19770.363125762415</v>
      </c>
      <c r="BA16" s="36">
        <v>20245.896528566154</v>
      </c>
      <c r="BB16" s="36">
        <v>20521.702224843684</v>
      </c>
      <c r="BC16" s="36">
        <v>20845.802738257305</v>
      </c>
      <c r="BD16" s="36">
        <v>21574.406195632499</v>
      </c>
      <c r="BE16" s="36">
        <v>22140.573208240847</v>
      </c>
      <c r="BF16" s="36">
        <v>23190.283543208167</v>
      </c>
      <c r="BG16" s="36">
        <v>24131.519568728214</v>
      </c>
      <c r="BH16" s="36">
        <v>24343.586318430109</v>
      </c>
    </row>
    <row r="17" spans="1:60">
      <c r="A17" s="38" t="s">
        <v>31</v>
      </c>
      <c r="B17" s="36">
        <v>5185.8506985276827</v>
      </c>
      <c r="C17" s="36">
        <v>5461.1077411226725</v>
      </c>
      <c r="D17" s="36">
        <v>5564.2599110781775</v>
      </c>
      <c r="E17" s="36">
        <v>5683.9406828371075</v>
      </c>
      <c r="F17" s="36">
        <v>5915.1795901601936</v>
      </c>
      <c r="G17" s="36">
        <v>6198.7878239630918</v>
      </c>
      <c r="H17" s="36">
        <v>6448.4627270080837</v>
      </c>
      <c r="I17" s="36">
        <v>6761.7824238128987</v>
      </c>
      <c r="J17" s="36">
        <v>6855.171507425418</v>
      </c>
      <c r="K17" s="36">
        <v>6978.7769082356008</v>
      </c>
      <c r="L17" s="36">
        <v>7397.5828610681774</v>
      </c>
      <c r="M17" s="36">
        <v>7718.4264131726368</v>
      </c>
      <c r="N17" s="36">
        <v>8067.0631537357822</v>
      </c>
      <c r="O17" s="36">
        <v>8362.6713662165203</v>
      </c>
      <c r="P17" s="36">
        <v>8819.3366695706791</v>
      </c>
      <c r="Q17" s="36">
        <v>9165.4150435725478</v>
      </c>
      <c r="R17" s="36">
        <v>9544.1357901858555</v>
      </c>
      <c r="S17" s="36">
        <v>9907.1865745310952</v>
      </c>
      <c r="T17" s="36">
        <v>10267.018066387114</v>
      </c>
      <c r="U17" s="36">
        <v>10885.564406450359</v>
      </c>
      <c r="V17" s="36">
        <v>11410.088986478679</v>
      </c>
      <c r="W17" s="36">
        <v>11844.961092462618</v>
      </c>
      <c r="X17" s="36">
        <v>12263.545959844218</v>
      </c>
      <c r="Y17" s="36">
        <v>12824.423902649391</v>
      </c>
      <c r="Z17" s="36">
        <v>13112.534922704413</v>
      </c>
      <c r="AA17" s="36">
        <v>12957.205078305997</v>
      </c>
      <c r="AB17" s="36">
        <v>13466.386011558559</v>
      </c>
      <c r="AC17" s="36">
        <v>13912.703666924124</v>
      </c>
      <c r="AD17" s="36">
        <v>14240.210981282737</v>
      </c>
      <c r="AE17" s="36">
        <v>14634.38252243052</v>
      </c>
      <c r="AF17" s="36">
        <v>14766.158591907095</v>
      </c>
      <c r="AG17" s="36">
        <v>14839.906857524504</v>
      </c>
      <c r="AH17" s="36">
        <v>15131.64084241521</v>
      </c>
      <c r="AI17" s="36">
        <v>15245.114341397128</v>
      </c>
      <c r="AJ17" s="36">
        <v>15381.929381644917</v>
      </c>
      <c r="AK17" s="36">
        <v>15530.270844397239</v>
      </c>
      <c r="AL17" s="36">
        <v>15833.036579991185</v>
      </c>
      <c r="AM17" s="36">
        <v>16157.890119145801</v>
      </c>
      <c r="AN17" s="36">
        <v>16789.572963059996</v>
      </c>
      <c r="AO17" s="36">
        <v>17299.70080074713</v>
      </c>
      <c r="AP17" s="36">
        <v>17647.005226241236</v>
      </c>
      <c r="AQ17" s="36">
        <v>17755.101805057468</v>
      </c>
      <c r="AR17" s="36">
        <v>17994.268663693751</v>
      </c>
      <c r="AS17" s="36">
        <v>17722.815815211154</v>
      </c>
      <c r="AT17" s="36">
        <v>18007.78334291463</v>
      </c>
      <c r="AU17" s="36">
        <v>18349.274261343075</v>
      </c>
      <c r="AV17" s="36">
        <v>18466.911463408334</v>
      </c>
      <c r="AW17" s="36">
        <v>18824.680075038963</v>
      </c>
      <c r="AX17" s="36">
        <v>19213.165937061207</v>
      </c>
      <c r="AY17" s="36">
        <v>19753.847165592528</v>
      </c>
      <c r="AZ17" s="36">
        <v>20421.692264913228</v>
      </c>
      <c r="BA17" s="36">
        <v>20683.761934969662</v>
      </c>
      <c r="BB17" s="36">
        <v>20777.515405392292</v>
      </c>
      <c r="BC17" s="36">
        <v>20891.074616782746</v>
      </c>
      <c r="BD17" s="36">
        <v>21262.257332011388</v>
      </c>
      <c r="BE17" s="36">
        <v>21536.066251271615</v>
      </c>
      <c r="BF17" s="36">
        <v>21920.180746686048</v>
      </c>
      <c r="BG17" s="36">
        <v>22287.365346565748</v>
      </c>
      <c r="BH17" s="36">
        <v>22223.016641168939</v>
      </c>
    </row>
    <row r="18" spans="1:60">
      <c r="A18" s="38" t="s">
        <v>182</v>
      </c>
      <c r="B18" s="36">
        <v>3881</v>
      </c>
      <c r="C18" s="36">
        <v>4205.8117177849936</v>
      </c>
      <c r="D18" s="36">
        <v>4552.6020091530445</v>
      </c>
      <c r="E18" s="36">
        <v>4905.0875974022574</v>
      </c>
      <c r="F18" s="36">
        <v>5246.7996309904738</v>
      </c>
      <c r="G18" s="36">
        <v>5796.9720386510771</v>
      </c>
      <c r="H18" s="36">
        <v>6176.6352299219698</v>
      </c>
      <c r="I18" s="36">
        <v>6492.2140840793054</v>
      </c>
      <c r="J18" s="36">
        <v>6736.7652607458804</v>
      </c>
      <c r="K18" s="36">
        <v>7176.6886296168595</v>
      </c>
      <c r="L18" s="36">
        <v>7705.2332250597037</v>
      </c>
      <c r="M18" s="36">
        <v>7952.160374714721</v>
      </c>
      <c r="N18" s="36">
        <v>8222.1217810351591</v>
      </c>
      <c r="O18" s="36">
        <v>8385.523537313431</v>
      </c>
      <c r="P18" s="36">
        <v>8822.3535574267935</v>
      </c>
      <c r="Q18" s="36">
        <v>9185.7291697886849</v>
      </c>
      <c r="R18" s="36">
        <v>9387.5990859690592</v>
      </c>
      <c r="S18" s="36">
        <v>9396.6811138625544</v>
      </c>
      <c r="T18" s="36">
        <v>9864.4500725415346</v>
      </c>
      <c r="U18" s="36">
        <v>10440.360485849507</v>
      </c>
      <c r="V18" s="36">
        <v>10839.145088003876</v>
      </c>
      <c r="W18" s="36">
        <v>11076.768851250534</v>
      </c>
      <c r="X18" s="36">
        <v>11480.848986690156</v>
      </c>
      <c r="Y18" s="36">
        <v>11966.464437971166</v>
      </c>
      <c r="Z18" s="36">
        <v>12063.031524512842</v>
      </c>
      <c r="AA18" s="36">
        <v>12040.607595161939</v>
      </c>
      <c r="AB18" s="36">
        <v>12683.847116890714</v>
      </c>
      <c r="AC18" s="36">
        <v>13071.902449071224</v>
      </c>
      <c r="AD18" s="36">
        <v>13455.319912719066</v>
      </c>
      <c r="AE18" s="36">
        <v>13993.300725607871</v>
      </c>
      <c r="AF18" s="36">
        <v>14114.030434326825</v>
      </c>
      <c r="AG18" s="36">
        <v>14148.598317156628</v>
      </c>
      <c r="AH18" s="36">
        <v>14039.640843244217</v>
      </c>
      <c r="AI18" s="36">
        <v>14328.856704328653</v>
      </c>
      <c r="AJ18" s="36">
        <v>14783.183629779824</v>
      </c>
      <c r="AK18" s="36">
        <v>15139.761961741166</v>
      </c>
      <c r="AL18" s="36">
        <v>15469.014161441866</v>
      </c>
      <c r="AM18" s="36">
        <v>15701.373182413234</v>
      </c>
      <c r="AN18" s="36">
        <v>16160.114781678136</v>
      </c>
      <c r="AO18" s="36">
        <v>16558.120973976776</v>
      </c>
      <c r="AP18" s="36">
        <v>15928.845099962591</v>
      </c>
      <c r="AQ18" s="36">
        <v>16649.523501724379</v>
      </c>
      <c r="AR18" s="36">
        <v>16890.560511864001</v>
      </c>
      <c r="AS18" s="36">
        <v>16644.680242702154</v>
      </c>
      <c r="AT18" s="36">
        <v>17027.786172939646</v>
      </c>
      <c r="AU18" s="36">
        <v>17298.819108314681</v>
      </c>
      <c r="AV18" s="36">
        <v>17420.220809056824</v>
      </c>
      <c r="AW18" s="36">
        <v>17708.525215602687</v>
      </c>
      <c r="AX18" s="36">
        <v>18028.880735795392</v>
      </c>
      <c r="AY18" s="36">
        <v>18380.04362314571</v>
      </c>
      <c r="AZ18" s="36">
        <v>18943.516375383148</v>
      </c>
      <c r="BA18" s="36">
        <v>19156.689896255069</v>
      </c>
      <c r="BB18" s="36">
        <v>19140.378346158221</v>
      </c>
      <c r="BC18" s="36">
        <v>19087.572240241872</v>
      </c>
      <c r="BD18" s="36">
        <v>19283.670487293424</v>
      </c>
      <c r="BE18" s="36">
        <v>19417.057021603057</v>
      </c>
      <c r="BF18" s="36">
        <v>20040.620318052523</v>
      </c>
      <c r="BG18" s="36">
        <v>20546.936107422782</v>
      </c>
      <c r="BH18" s="36">
        <v>20801.437443847575</v>
      </c>
    </row>
    <row r="19" spans="1:60">
      <c r="A19" s="38" t="s">
        <v>183</v>
      </c>
      <c r="B19" s="36">
        <v>3502</v>
      </c>
      <c r="C19" s="36">
        <v>3738.4959298156818</v>
      </c>
      <c r="D19" s="36">
        <v>3997.4195443292911</v>
      </c>
      <c r="E19" s="36">
        <v>4259.8160852430301</v>
      </c>
      <c r="F19" s="36">
        <v>4449.0362119298534</v>
      </c>
      <c r="G19" s="36">
        <v>4675.6112104949316</v>
      </c>
      <c r="H19" s="36">
        <v>4858.8336297295646</v>
      </c>
      <c r="I19" s="36">
        <v>5118.3766418608429</v>
      </c>
      <c r="J19" s="36">
        <v>5360.0129355647186</v>
      </c>
      <c r="K19" s="36">
        <v>5653.1345320276123</v>
      </c>
      <c r="L19" s="36">
        <v>5916.2390233796041</v>
      </c>
      <c r="M19" s="36">
        <v>6373.1513443329013</v>
      </c>
      <c r="N19" s="36">
        <v>6826.8323000912615</v>
      </c>
      <c r="O19" s="36">
        <v>7262.3895715287417</v>
      </c>
      <c r="P19" s="36">
        <v>7487.044623858048</v>
      </c>
      <c r="Q19" s="36">
        <v>7598.4234550494257</v>
      </c>
      <c r="R19" s="36">
        <v>7942.4095575140072</v>
      </c>
      <c r="S19" s="36">
        <v>8453.7025961178806</v>
      </c>
      <c r="T19" s="36">
        <v>9105.3587133350702</v>
      </c>
      <c r="U19" s="36">
        <v>9566.3859556989337</v>
      </c>
      <c r="V19" s="36">
        <v>9718.5111747616047</v>
      </c>
      <c r="W19" s="36">
        <v>9839.460795659701</v>
      </c>
      <c r="X19" s="36">
        <v>10060.283748734768</v>
      </c>
      <c r="Y19" s="36">
        <v>10634.061527960652</v>
      </c>
      <c r="Z19" s="36">
        <v>11046.194528584672</v>
      </c>
      <c r="AA19" s="36">
        <v>10741.868902290787</v>
      </c>
      <c r="AB19" s="36">
        <v>11385.273424790363</v>
      </c>
      <c r="AC19" s="36">
        <v>11668.15571633189</v>
      </c>
      <c r="AD19" s="36">
        <v>12064.229637538441</v>
      </c>
      <c r="AE19" s="36">
        <v>12719.764560242025</v>
      </c>
      <c r="AF19" s="36">
        <v>13149.381801964446</v>
      </c>
      <c r="AG19" s="36">
        <v>13199.701698096875</v>
      </c>
      <c r="AH19" s="36">
        <v>13252.402431627372</v>
      </c>
      <c r="AI19" s="36">
        <v>13391.4581052782</v>
      </c>
      <c r="AJ19" s="36">
        <v>13719.270995167764</v>
      </c>
      <c r="AK19" s="36">
        <v>14096.243135282755</v>
      </c>
      <c r="AL19" s="36">
        <v>14495.830027912974</v>
      </c>
      <c r="AM19" s="36">
        <v>14945.785984460381</v>
      </c>
      <c r="AN19" s="36">
        <v>15522.800805238097</v>
      </c>
      <c r="AO19" s="36">
        <v>15969.20091461861</v>
      </c>
      <c r="AP19" s="36">
        <v>16313.128662507581</v>
      </c>
      <c r="AQ19" s="36">
        <v>16538.57348133764</v>
      </c>
      <c r="AR19" s="36">
        <v>16636.982096475338</v>
      </c>
      <c r="AS19" s="36">
        <v>16436.19890104666</v>
      </c>
      <c r="AT19" s="36">
        <v>16754.154089030992</v>
      </c>
      <c r="AU19" s="36">
        <v>17215.400921868444</v>
      </c>
      <c r="AV19" s="36">
        <v>17375.518410457076</v>
      </c>
      <c r="AW19" s="36">
        <v>17692.918340068776</v>
      </c>
      <c r="AX19" s="36">
        <v>17834.21943906548</v>
      </c>
      <c r="AY19" s="36">
        <v>18160.156354024468</v>
      </c>
      <c r="AZ19" s="36">
        <v>18773.569765709541</v>
      </c>
      <c r="BA19" s="36">
        <v>19068.708604405805</v>
      </c>
      <c r="BB19" s="36">
        <v>19107.204224406651</v>
      </c>
      <c r="BC19" s="36">
        <v>19090.076575105504</v>
      </c>
      <c r="BD19" s="36">
        <v>19299.908606087032</v>
      </c>
      <c r="BE19" s="36">
        <v>19419.777965807738</v>
      </c>
      <c r="BF19" s="36">
        <v>19797.77274411562</v>
      </c>
      <c r="BG19" s="36">
        <v>20109.623190297032</v>
      </c>
      <c r="BH19" s="36">
        <v>19909.35779682083</v>
      </c>
    </row>
    <row r="20" spans="1:60">
      <c r="A20" s="38" t="s">
        <v>184</v>
      </c>
      <c r="B20" s="36">
        <v>5996.1277603747931</v>
      </c>
      <c r="C20" s="36">
        <v>6031.9684389921549</v>
      </c>
      <c r="D20" s="36">
        <v>6083.8059146282967</v>
      </c>
      <c r="E20" s="36">
        <v>6542.5327526897463</v>
      </c>
      <c r="F20" s="36">
        <v>6906.8653218255031</v>
      </c>
      <c r="G20" s="36">
        <v>7325.8448035977081</v>
      </c>
      <c r="H20" s="36">
        <v>7498.5185067503098</v>
      </c>
      <c r="I20" s="36">
        <v>7613.557410440033</v>
      </c>
      <c r="J20" s="36">
        <v>7482.0716241130785</v>
      </c>
      <c r="K20" s="36">
        <v>7736.675444116614</v>
      </c>
      <c r="L20" s="36">
        <v>8286.6097858262237</v>
      </c>
      <c r="M20" s="36">
        <v>8201.5081908111333</v>
      </c>
      <c r="N20" s="36">
        <v>8639.3094041355835</v>
      </c>
      <c r="O20" s="36">
        <v>8832.2163041412623</v>
      </c>
      <c r="P20" s="36">
        <v>9437.1953110054164</v>
      </c>
      <c r="Q20" s="36">
        <v>9797.8359908883813</v>
      </c>
      <c r="R20" s="36">
        <v>9936.2494781128553</v>
      </c>
      <c r="S20" s="36">
        <v>10341.259088998797</v>
      </c>
      <c r="T20" s="36">
        <v>10894.340761417969</v>
      </c>
      <c r="U20" s="36">
        <v>11462.130039617805</v>
      </c>
      <c r="V20" s="36">
        <v>11966.773413973782</v>
      </c>
      <c r="W20" s="36">
        <v>12319.369375378208</v>
      </c>
      <c r="X20" s="36">
        <v>12597.193341812534</v>
      </c>
      <c r="Y20" s="36">
        <v>13081.24089735656</v>
      </c>
      <c r="Z20" s="36">
        <v>13497.423744795646</v>
      </c>
      <c r="AA20" s="36">
        <v>13373.627946309201</v>
      </c>
      <c r="AB20" s="36">
        <v>13884.909802988588</v>
      </c>
      <c r="AC20" s="36">
        <v>14176.868255652265</v>
      </c>
      <c r="AD20" s="36">
        <v>14424.018677519885</v>
      </c>
      <c r="AE20" s="36">
        <v>14647.25379226603</v>
      </c>
      <c r="AF20" s="36">
        <v>14704.500547621197</v>
      </c>
      <c r="AG20" s="36">
        <v>14525.079901101</v>
      </c>
      <c r="AH20" s="36">
        <v>14291.493299174495</v>
      </c>
      <c r="AI20" s="36">
        <v>14483.253159765085</v>
      </c>
      <c r="AJ20" s="36">
        <v>14899.699875631257</v>
      </c>
      <c r="AK20" s="36">
        <v>15282.878511225295</v>
      </c>
      <c r="AL20" s="36">
        <v>15617.070555436416</v>
      </c>
      <c r="AM20" s="36">
        <v>15737.035465676136</v>
      </c>
      <c r="AN20" s="36">
        <v>16043.531010296558</v>
      </c>
      <c r="AO20" s="36">
        <v>16695.235548313423</v>
      </c>
      <c r="AP20" s="36">
        <v>17262.069182310013</v>
      </c>
      <c r="AQ20" s="36">
        <v>17519.676138949781</v>
      </c>
      <c r="AR20" s="36">
        <v>17747.286509251149</v>
      </c>
      <c r="AS20" s="36">
        <v>17764.547809037718</v>
      </c>
      <c r="AT20" s="36">
        <v>18054.602518936026</v>
      </c>
      <c r="AU20" s="36">
        <v>18509.724982330197</v>
      </c>
      <c r="AV20" s="36">
        <v>18987.851378941185</v>
      </c>
      <c r="AW20" s="36">
        <v>19619.857555380197</v>
      </c>
      <c r="AX20" s="36">
        <v>20636.324300401691</v>
      </c>
      <c r="AY20" s="36">
        <v>21460.96300664722</v>
      </c>
      <c r="AZ20" s="36">
        <v>22161.444413649031</v>
      </c>
      <c r="BA20" s="36">
        <v>22433.415566590054</v>
      </c>
      <c r="BB20" s="36">
        <v>22300.861573309401</v>
      </c>
      <c r="BC20" s="36">
        <v>22237.162373403899</v>
      </c>
      <c r="BD20" s="36">
        <v>22602.004056942802</v>
      </c>
      <c r="BE20" s="36">
        <v>22928.551354987791</v>
      </c>
      <c r="BF20" s="36">
        <v>23587.418967913152</v>
      </c>
      <c r="BG20" s="36">
        <v>24319.860707627409</v>
      </c>
      <c r="BH20" s="36">
        <v>24694.939650579119</v>
      </c>
    </row>
    <row r="21" spans="1:60">
      <c r="A21" s="38" t="s">
        <v>185</v>
      </c>
      <c r="B21" s="36">
        <v>5429.510033316662</v>
      </c>
      <c r="C21" s="36">
        <v>5670.2759078571953</v>
      </c>
      <c r="D21" s="36">
        <v>5813.9216344623719</v>
      </c>
      <c r="E21" s="36">
        <v>5985.1894483682881</v>
      </c>
      <c r="F21" s="36">
        <v>6225.5033348584338</v>
      </c>
      <c r="G21" s="36">
        <v>6301.3789294422995</v>
      </c>
      <c r="H21" s="36">
        <v>6575.1612223649645</v>
      </c>
      <c r="I21" s="36">
        <v>6711.4864405250319</v>
      </c>
      <c r="J21" s="36">
        <v>6652.3250367383935</v>
      </c>
      <c r="K21" s="36">
        <v>6874.4778522308707</v>
      </c>
      <c r="L21" s="36">
        <v>7203.72173741814</v>
      </c>
      <c r="M21" s="36">
        <v>7594.6625054386104</v>
      </c>
      <c r="N21" s="36">
        <v>7746.0439498518108</v>
      </c>
      <c r="O21" s="36">
        <v>7981.6945016044019</v>
      </c>
      <c r="P21" s="36">
        <v>8315.9455210430879</v>
      </c>
      <c r="Q21" s="36">
        <v>8689.788208071277</v>
      </c>
      <c r="R21" s="36">
        <v>8945.2199094397474</v>
      </c>
      <c r="S21" s="36">
        <v>9422.7532230938887</v>
      </c>
      <c r="T21" s="36">
        <v>9551.19851865481</v>
      </c>
      <c r="U21" s="36">
        <v>9899.2947760828756</v>
      </c>
      <c r="V21" s="36">
        <v>10027.230870410142</v>
      </c>
      <c r="W21" s="36">
        <v>10472.391642294197</v>
      </c>
      <c r="X21" s="36">
        <v>10921.915849894231</v>
      </c>
      <c r="Y21" s="36">
        <v>11324.423065573739</v>
      </c>
      <c r="Z21" s="36">
        <v>11726.198839657483</v>
      </c>
      <c r="AA21" s="36">
        <v>12271.31778843432</v>
      </c>
      <c r="AB21" s="36">
        <v>12930.006027314492</v>
      </c>
      <c r="AC21" s="36">
        <v>13424.932833440329</v>
      </c>
      <c r="AD21" s="36">
        <v>13840.21049120456</v>
      </c>
      <c r="AE21" s="36">
        <v>14411.262152057463</v>
      </c>
      <c r="AF21" s="36">
        <v>15076.032937750795</v>
      </c>
      <c r="AG21" s="36">
        <v>15169.384798937581</v>
      </c>
      <c r="AH21" s="36">
        <v>15145.301405013772</v>
      </c>
      <c r="AI21" s="36">
        <v>15635.782902852028</v>
      </c>
      <c r="AJ21" s="36">
        <v>16512.699864445018</v>
      </c>
      <c r="AK21" s="36">
        <v>17319.678159731928</v>
      </c>
      <c r="AL21" s="36">
        <v>17882.070235102492</v>
      </c>
      <c r="AM21" s="36">
        <v>18164.348236951617</v>
      </c>
      <c r="AN21" s="36">
        <v>18059.107969077719</v>
      </c>
      <c r="AO21" s="36">
        <v>18156.699661229533</v>
      </c>
      <c r="AP21" s="36">
        <v>18466.027629381002</v>
      </c>
      <c r="AQ21" s="36">
        <v>19045.235972039343</v>
      </c>
      <c r="AR21" s="36">
        <v>19560.717485857571</v>
      </c>
      <c r="AS21" s="36">
        <v>19974.48054498799</v>
      </c>
      <c r="AT21" s="36">
        <v>20904.763867746504</v>
      </c>
      <c r="AU21" s="36">
        <v>21703.234496288816</v>
      </c>
      <c r="AV21" s="36">
        <v>22727.936270201681</v>
      </c>
      <c r="AW21" s="36">
        <v>23774.844560535326</v>
      </c>
      <c r="AX21" s="36">
        <v>24137.560747153326</v>
      </c>
      <c r="AY21" s="36">
        <v>24470.485016166011</v>
      </c>
      <c r="AZ21" s="36">
        <v>25101.949959932335</v>
      </c>
      <c r="BA21" s="36">
        <v>25468.003043057943</v>
      </c>
      <c r="BB21" s="36">
        <v>25733.360878438994</v>
      </c>
      <c r="BC21" s="36">
        <v>25879.3958818106</v>
      </c>
      <c r="BD21" s="36">
        <v>26765.197089993355</v>
      </c>
      <c r="BE21" s="36">
        <v>27377.286638634403</v>
      </c>
      <c r="BF21" s="36">
        <v>27898.942053691102</v>
      </c>
      <c r="BG21" s="36">
        <v>28013.196408067026</v>
      </c>
      <c r="BH21" s="36">
        <v>28499.56410404919</v>
      </c>
    </row>
    <row r="22" spans="1:60">
      <c r="A22" s="38" t="s">
        <v>186</v>
      </c>
      <c r="B22" s="36">
        <v>6769.0333618477334</v>
      </c>
      <c r="C22" s="36">
        <v>6979.0664780763791</v>
      </c>
      <c r="D22" s="36">
        <v>6974.0350877192986</v>
      </c>
      <c r="E22" s="36">
        <v>7042.9507739506344</v>
      </c>
      <c r="F22" s="36">
        <v>7338.9713018161647</v>
      </c>
      <c r="G22" s="36">
        <v>7477.9675020655468</v>
      </c>
      <c r="H22" s="36">
        <v>7701.9822282980176</v>
      </c>
      <c r="I22" s="36">
        <v>7897.0668115154804</v>
      </c>
      <c r="J22" s="36">
        <v>8044.9453367525975</v>
      </c>
      <c r="K22" s="36">
        <v>8356.0300832661833</v>
      </c>
      <c r="L22" s="36">
        <v>8791.9786096256685</v>
      </c>
      <c r="M22" s="36">
        <v>9236.968085106384</v>
      </c>
      <c r="N22" s="36">
        <v>9601.9571541920122</v>
      </c>
      <c r="O22" s="36">
        <v>10021.041557075223</v>
      </c>
      <c r="P22" s="36">
        <v>10617.934995431408</v>
      </c>
      <c r="Q22" s="36">
        <v>11044.996121024049</v>
      </c>
      <c r="R22" s="36">
        <v>11275.998975409835</v>
      </c>
      <c r="S22" s="36">
        <v>11623.029994916116</v>
      </c>
      <c r="T22" s="36">
        <v>12036.021233569261</v>
      </c>
      <c r="U22" s="36">
        <v>12540.03514056225</v>
      </c>
      <c r="V22" s="36">
        <v>13010.941191097849</v>
      </c>
      <c r="W22" s="36">
        <v>13226.969622128921</v>
      </c>
      <c r="X22" s="36">
        <v>13532.996798818025</v>
      </c>
      <c r="Y22" s="36">
        <v>14017.942730736144</v>
      </c>
      <c r="Z22" s="36">
        <v>14484.98958460973</v>
      </c>
      <c r="AA22" s="36">
        <v>14575.003051385329</v>
      </c>
      <c r="AB22" s="36">
        <v>14824.981756263682</v>
      </c>
      <c r="AC22" s="36">
        <v>14559.985458070771</v>
      </c>
      <c r="AD22" s="36">
        <v>14497.945867568873</v>
      </c>
      <c r="AE22" s="36">
        <v>14928.984808295154</v>
      </c>
      <c r="AF22" s="36">
        <v>15016.004813477737</v>
      </c>
      <c r="AG22" s="36">
        <v>14909.014423076924</v>
      </c>
      <c r="AH22" s="36">
        <v>15076.036036036037</v>
      </c>
      <c r="AI22" s="36">
        <v>15337.015247928923</v>
      </c>
      <c r="AJ22" s="36">
        <v>15804.006237255608</v>
      </c>
      <c r="AK22" s="36">
        <v>16048.982035928144</v>
      </c>
      <c r="AL22" s="36">
        <v>16442.054958183991</v>
      </c>
      <c r="AM22" s="36">
        <v>16904.97737556561</v>
      </c>
      <c r="AN22" s="36">
        <v>17298.00853485064</v>
      </c>
      <c r="AO22" s="36">
        <v>17709.996467679266</v>
      </c>
      <c r="AP22" s="36">
        <v>17781.049187989251</v>
      </c>
      <c r="AQ22" s="36">
        <v>17437.971451781363</v>
      </c>
      <c r="AR22" s="36">
        <v>16997.000461467465</v>
      </c>
      <c r="AS22" s="36">
        <v>16596.972129831403</v>
      </c>
      <c r="AT22" s="36">
        <v>17066.051702539575</v>
      </c>
      <c r="AU22" s="36">
        <v>17592.047128129605</v>
      </c>
      <c r="AV22" s="36">
        <v>17824.001809750029</v>
      </c>
      <c r="AW22" s="36">
        <v>18361.971512548047</v>
      </c>
      <c r="AX22" s="36">
        <v>19072.986103265168</v>
      </c>
      <c r="AY22" s="36">
        <v>19917.024158952358</v>
      </c>
      <c r="AZ22" s="36">
        <v>20709.986474301171</v>
      </c>
      <c r="BA22" s="36">
        <v>20890.044742729304</v>
      </c>
      <c r="BB22" s="36">
        <v>21360.955997319634</v>
      </c>
      <c r="BC22" s="36">
        <v>21732.998885172798</v>
      </c>
      <c r="BD22" s="36">
        <v>22292.009793011348</v>
      </c>
      <c r="BE22" s="36">
        <v>22986.669628971336</v>
      </c>
      <c r="BF22" s="36">
        <v>23912.276810469113</v>
      </c>
      <c r="BG22" s="36">
        <v>24495.9583656295</v>
      </c>
      <c r="BH22" s="36">
        <v>24409.176340519625</v>
      </c>
    </row>
    <row r="23" spans="1:60">
      <c r="A23" s="38" t="s">
        <v>187</v>
      </c>
      <c r="B23" s="36">
        <v>9063.6983383042189</v>
      </c>
      <c r="C23" s="36">
        <v>9684.1440303221734</v>
      </c>
      <c r="D23" s="36">
        <v>9630.1142263759084</v>
      </c>
      <c r="E23" s="36">
        <v>9840.3034030340295</v>
      </c>
      <c r="F23" s="36">
        <v>10287.076486102658</v>
      </c>
      <c r="G23" s="36">
        <v>10866.867469879518</v>
      </c>
      <c r="H23" s="36">
        <v>11439.048562933598</v>
      </c>
      <c r="I23" s="36">
        <v>11705.423332032775</v>
      </c>
      <c r="J23" s="36">
        <v>11296.787843816119</v>
      </c>
      <c r="K23" s="36">
        <v>11870.127400646512</v>
      </c>
      <c r="L23" s="36">
        <v>12456.732562476687</v>
      </c>
      <c r="M23" s="36">
        <v>13098.693759071119</v>
      </c>
      <c r="N23" s="36">
        <v>13353.512177903283</v>
      </c>
      <c r="O23" s="36">
        <v>13710.485403351184</v>
      </c>
      <c r="P23" s="36">
        <v>14190.759300152878</v>
      </c>
      <c r="Q23" s="36">
        <v>14503.61770149756</v>
      </c>
      <c r="R23" s="36">
        <v>14727.318212141428</v>
      </c>
      <c r="S23" s="36">
        <v>15010.39089559624</v>
      </c>
      <c r="T23" s="36">
        <v>15373.776908023483</v>
      </c>
      <c r="U23" s="36">
        <v>16030.907920154541</v>
      </c>
      <c r="V23" s="36">
        <v>16903.622147758098</v>
      </c>
      <c r="W23" s="36">
        <v>17381.035370745132</v>
      </c>
      <c r="X23" s="36">
        <v>17774.393101509046</v>
      </c>
      <c r="Y23" s="36">
        <v>18203.567713589295</v>
      </c>
      <c r="Z23" s="36">
        <v>18414.39628482972</v>
      </c>
      <c r="AA23" s="36">
        <v>17224.018115093309</v>
      </c>
      <c r="AB23" s="36">
        <v>17170.318283653436</v>
      </c>
      <c r="AC23" s="36">
        <v>17635.294907371641</v>
      </c>
      <c r="AD23" s="36">
        <v>17662.186967435646</v>
      </c>
      <c r="AE23" s="36">
        <v>18050.210680791832</v>
      </c>
      <c r="AF23" s="36">
        <v>18779.122878756578</v>
      </c>
      <c r="AG23" s="36">
        <v>18956.182057287817</v>
      </c>
      <c r="AH23" s="36">
        <v>18560.399101687257</v>
      </c>
      <c r="AI23" s="36">
        <v>18559.859272461636</v>
      </c>
      <c r="AJ23" s="36">
        <v>19037.827864258055</v>
      </c>
      <c r="AK23" s="36">
        <v>19586.457173240375</v>
      </c>
      <c r="AL23" s="36">
        <v>19786.339697528107</v>
      </c>
      <c r="AM23" s="36">
        <v>19791.751567156523</v>
      </c>
      <c r="AN23" s="36">
        <v>20242.651077428298</v>
      </c>
      <c r="AO23" s="36">
        <v>20935.284527458756</v>
      </c>
      <c r="AP23" s="36">
        <v>21487.20728616718</v>
      </c>
      <c r="AQ23" s="36">
        <v>21050.587443721717</v>
      </c>
      <c r="AR23" s="36">
        <v>20830.842195160927</v>
      </c>
      <c r="AS23" s="36">
        <v>20598.24597499027</v>
      </c>
      <c r="AT23" s="36">
        <v>20653.124478815193</v>
      </c>
      <c r="AU23" s="36">
        <v>20608.125002628683</v>
      </c>
      <c r="AV23" s="36">
        <v>20646.656923240713</v>
      </c>
      <c r="AW23" s="36">
        <v>21003.253880545537</v>
      </c>
      <c r="AX23" s="36">
        <v>21594.215867241859</v>
      </c>
      <c r="AY23" s="36">
        <v>21796.925648112647</v>
      </c>
      <c r="AZ23" s="36">
        <v>22474.85867465171</v>
      </c>
      <c r="BA23" s="36">
        <v>22594.124633081927</v>
      </c>
      <c r="BB23" s="36">
        <v>22536.332019652375</v>
      </c>
      <c r="BC23" s="36">
        <v>22341.775509396935</v>
      </c>
      <c r="BD23" s="36">
        <v>22786.744146687895</v>
      </c>
      <c r="BE23" s="36">
        <v>23258.96570739595</v>
      </c>
      <c r="BF23" s="36">
        <v>23985.590516875876</v>
      </c>
      <c r="BG23" s="36">
        <v>24748.033035499542</v>
      </c>
      <c r="BH23" s="36">
        <v>25104.200740748558</v>
      </c>
    </row>
    <row r="24" spans="1:60">
      <c r="A24" s="38" t="s">
        <v>188</v>
      </c>
      <c r="B24" s="36">
        <v>6939.3739900652345</v>
      </c>
      <c r="C24" s="36">
        <v>7123.3644859813085</v>
      </c>
      <c r="D24" s="36">
        <v>7090.7198096371212</v>
      </c>
      <c r="E24" s="36">
        <v>7345.7988259245349</v>
      </c>
      <c r="F24" s="36">
        <v>7619.2061459667093</v>
      </c>
      <c r="G24" s="36">
        <v>7868.1348879205434</v>
      </c>
      <c r="H24" s="36">
        <v>7928.7472647702407</v>
      </c>
      <c r="I24" s="36">
        <v>8017.0134162939921</v>
      </c>
      <c r="J24" s="36">
        <v>7965.8096491907381</v>
      </c>
      <c r="K24" s="36">
        <v>8239.7990607437059</v>
      </c>
      <c r="L24" s="36">
        <v>8645.2302757198504</v>
      </c>
      <c r="M24" s="36">
        <v>8856.6667297896111</v>
      </c>
      <c r="N24" s="36">
        <v>8865.3831719582668</v>
      </c>
      <c r="O24" s="36">
        <v>9149.1841491841496</v>
      </c>
      <c r="P24" s="36">
        <v>9567.9650312089052</v>
      </c>
      <c r="Q24" s="36">
        <v>9751.5363385464589</v>
      </c>
      <c r="R24" s="36">
        <v>9885.3101037644337</v>
      </c>
      <c r="S24" s="36">
        <v>10048.890991466365</v>
      </c>
      <c r="T24" s="36">
        <v>10409.950374904916</v>
      </c>
      <c r="U24" s="36">
        <v>10551.684967815221</v>
      </c>
      <c r="V24" s="36">
        <v>10767.471958584987</v>
      </c>
      <c r="W24" s="36">
        <v>10941.474233995743</v>
      </c>
      <c r="X24" s="36">
        <v>11293.924642022861</v>
      </c>
      <c r="Y24" s="36">
        <v>12025.280199252802</v>
      </c>
      <c r="Z24" s="36">
        <v>11858.903671030164</v>
      </c>
      <c r="AA24" s="36">
        <v>11847.087076403095</v>
      </c>
      <c r="AB24" s="36">
        <v>12114.952140340889</v>
      </c>
      <c r="AC24" s="36">
        <v>12383.613093860695</v>
      </c>
      <c r="AD24" s="36">
        <v>12827.834849644809</v>
      </c>
      <c r="AE24" s="36">
        <v>13167.283204097603</v>
      </c>
      <c r="AF24" s="36">
        <v>12931.49128103136</v>
      </c>
      <c r="AG24" s="36">
        <v>12747.426302481243</v>
      </c>
      <c r="AH24" s="36">
        <v>12954.64740105841</v>
      </c>
      <c r="AI24" s="36">
        <v>13404.466833690942</v>
      </c>
      <c r="AJ24" s="36">
        <v>13720.057238973992</v>
      </c>
      <c r="AK24" s="36">
        <v>14164.54610577419</v>
      </c>
      <c r="AL24" s="36">
        <v>14741.815746318507</v>
      </c>
      <c r="AM24" s="36">
        <v>15393.437392618882</v>
      </c>
      <c r="AN24" s="36">
        <v>16109.99642527258</v>
      </c>
      <c r="AO24" s="36">
        <v>16413.722920989137</v>
      </c>
      <c r="AP24" s="36">
        <v>16429.912441808228</v>
      </c>
      <c r="AQ24" s="36">
        <v>16157.216156419012</v>
      </c>
      <c r="AR24" s="36">
        <v>16132.603086575276</v>
      </c>
      <c r="AS24" s="36">
        <v>16463.132857746637</v>
      </c>
      <c r="AT24" s="36">
        <v>17136.987200058611</v>
      </c>
      <c r="AU24" s="36">
        <v>17561.419187255928</v>
      </c>
      <c r="AV24" s="36">
        <v>17996.80011055278</v>
      </c>
      <c r="AW24" s="36">
        <v>18526.683578830798</v>
      </c>
      <c r="AX24" s="36">
        <v>19023.199743775171</v>
      </c>
      <c r="AY24" s="36">
        <v>19516.431193260891</v>
      </c>
      <c r="AZ24" s="36">
        <v>20352.869104822737</v>
      </c>
      <c r="BA24" s="36">
        <v>20589.973655650279</v>
      </c>
      <c r="BB24" s="36">
        <v>20945.65316503348</v>
      </c>
      <c r="BC24" s="36">
        <v>21460.896151683923</v>
      </c>
      <c r="BD24" s="36">
        <v>22095.658806596399</v>
      </c>
      <c r="BE24" s="36">
        <v>22517.971398340047</v>
      </c>
      <c r="BF24" s="36">
        <v>23106.872983359463</v>
      </c>
      <c r="BG24" s="36">
        <v>23642.480141663258</v>
      </c>
      <c r="BH24" s="36">
        <v>23742.469961560724</v>
      </c>
    </row>
    <row r="25" spans="1:60" s="41" customFormat="1" ht="12.75">
      <c r="A25" s="39" t="s">
        <v>189</v>
      </c>
      <c r="B25" s="40">
        <v>5005.1156763399586</v>
      </c>
      <c r="C25" s="40">
        <v>5258.6322064399919</v>
      </c>
      <c r="D25" s="40">
        <v>5412.1275633607147</v>
      </c>
      <c r="E25" s="40">
        <v>5664.2999991423858</v>
      </c>
      <c r="F25" s="40">
        <v>5940.0455962661827</v>
      </c>
      <c r="G25" s="40">
        <v>6280.3362389631766</v>
      </c>
      <c r="H25" s="40">
        <v>6512.0940853470547</v>
      </c>
      <c r="I25" s="40">
        <v>6753.2927632241217</v>
      </c>
      <c r="J25" s="40">
        <v>6863.8309922461576</v>
      </c>
      <c r="K25" s="40">
        <v>7162.9145880074684</v>
      </c>
      <c r="L25" s="40">
        <v>7584.7039678142246</v>
      </c>
      <c r="M25" s="40">
        <v>7889.8350942006909</v>
      </c>
      <c r="N25" s="40">
        <v>8166.4556518802501</v>
      </c>
      <c r="O25" s="40">
        <v>8442.1637119942188</v>
      </c>
      <c r="P25" s="40">
        <v>8856.9922293775853</v>
      </c>
      <c r="Q25" s="40">
        <v>9129.7344997802975</v>
      </c>
      <c r="R25" s="40">
        <v>9379.1646565826268</v>
      </c>
      <c r="S25" s="40">
        <v>9628.5818596852223</v>
      </c>
      <c r="T25" s="40">
        <v>10073.359820131174</v>
      </c>
      <c r="U25" s="40">
        <v>10556.398832377716</v>
      </c>
      <c r="V25" s="40">
        <v>10924.963634373573</v>
      </c>
      <c r="W25" s="40">
        <v>11186.748537479141</v>
      </c>
      <c r="X25" s="40">
        <v>11559.503813855308</v>
      </c>
      <c r="Y25" s="40">
        <v>12123.974653347263</v>
      </c>
      <c r="Z25" s="40">
        <v>12311.589618301879</v>
      </c>
      <c r="AA25" s="40">
        <v>12190.65927576602</v>
      </c>
      <c r="AB25" s="40">
        <v>12699.869217679548</v>
      </c>
      <c r="AC25" s="40">
        <v>13022.529537125873</v>
      </c>
      <c r="AD25" s="40">
        <v>13367.365393234473</v>
      </c>
      <c r="AE25" s="40">
        <v>13845.16810179654</v>
      </c>
      <c r="AF25" s="40">
        <v>14001.074416582916</v>
      </c>
      <c r="AG25" s="40">
        <v>13987.273229502405</v>
      </c>
      <c r="AH25" s="40">
        <v>14072.222664366978</v>
      </c>
      <c r="AI25" s="40">
        <v>14319.509592185132</v>
      </c>
      <c r="AJ25" s="40">
        <v>14662.197528674462</v>
      </c>
      <c r="AK25" s="40">
        <v>15008.384764760971</v>
      </c>
      <c r="AL25" s="40">
        <v>15394.918411714971</v>
      </c>
      <c r="AM25" s="40">
        <v>15764.468092206895</v>
      </c>
      <c r="AN25" s="40">
        <v>16315.531456824565</v>
      </c>
      <c r="AO25" s="40">
        <v>16751.284045825363</v>
      </c>
      <c r="AP25" s="40">
        <v>16797.273228327791</v>
      </c>
      <c r="AQ25" s="40">
        <v>16995.099283188996</v>
      </c>
      <c r="AR25" s="40">
        <v>17120.84707992278</v>
      </c>
      <c r="AS25" s="40">
        <v>17007.9333083288</v>
      </c>
      <c r="AT25" s="40">
        <v>17427.963889584909</v>
      </c>
      <c r="AU25" s="40">
        <v>17801.116639282409</v>
      </c>
      <c r="AV25" s="40">
        <v>18038.79951979197</v>
      </c>
      <c r="AW25" s="40">
        <v>18450.434447064217</v>
      </c>
      <c r="AX25" s="40">
        <v>18855.22044895095</v>
      </c>
      <c r="AY25" s="40">
        <v>19319.841816670632</v>
      </c>
      <c r="AZ25" s="40">
        <v>19993.231119821248</v>
      </c>
      <c r="BA25" s="40">
        <v>20234.527050034463</v>
      </c>
      <c r="BB25" s="40">
        <v>20347.227885599492</v>
      </c>
      <c r="BC25" s="40">
        <v>20468.924758827925</v>
      </c>
      <c r="BD25" s="40">
        <v>20847.202580345111</v>
      </c>
      <c r="BE25" s="40">
        <v>21130.894170587566</v>
      </c>
      <c r="BF25" s="40">
        <v>21684.255910597632</v>
      </c>
      <c r="BG25" s="40">
        <v>22163.655659405522</v>
      </c>
      <c r="BH25" s="40">
        <v>22246.193788397963</v>
      </c>
    </row>
    <row r="26" spans="1:60">
      <c r="A26" s="38" t="s">
        <v>190</v>
      </c>
      <c r="B26" s="36">
        <v>3452.8983624129182</v>
      </c>
      <c r="C26" s="36">
        <v>3544.0681969553048</v>
      </c>
      <c r="D26" s="36">
        <v>3642.4226903998301</v>
      </c>
      <c r="E26" s="36">
        <v>3746.8051386501115</v>
      </c>
      <c r="F26" s="36">
        <v>3793.9654089238888</v>
      </c>
      <c r="G26" s="36">
        <v>3920.2601527433767</v>
      </c>
      <c r="H26" s="36">
        <v>3897.0687535769753</v>
      </c>
      <c r="I26" s="36">
        <v>3914.2247639165876</v>
      </c>
      <c r="J26" s="36">
        <v>3869.5124919253649</v>
      </c>
      <c r="K26" s="36">
        <v>4038.2815443041445</v>
      </c>
      <c r="L26" s="36">
        <v>4282.1327683615818</v>
      </c>
      <c r="M26" s="36">
        <v>4508.3915835787529</v>
      </c>
      <c r="N26" s="36">
        <v>4636.0424028268553</v>
      </c>
      <c r="O26" s="36">
        <v>4821.4035087719294</v>
      </c>
      <c r="P26" s="36">
        <v>4985.6843575418989</v>
      </c>
      <c r="Q26" s="36">
        <v>5051.4603616133518</v>
      </c>
      <c r="R26" s="36">
        <v>5080.4438280166432</v>
      </c>
      <c r="S26" s="36">
        <v>5351.8844177786968</v>
      </c>
      <c r="T26" s="36">
        <v>5769.6137339055795</v>
      </c>
      <c r="U26" s="36">
        <v>6089.3491933278647</v>
      </c>
      <c r="V26" s="36">
        <v>6199.4508660723368</v>
      </c>
      <c r="W26" s="36">
        <v>6353.6245509183091</v>
      </c>
      <c r="X26" s="36">
        <v>6662.8091522285413</v>
      </c>
      <c r="Y26" s="36">
        <v>6866.7838084081741</v>
      </c>
      <c r="Z26" s="36">
        <v>7042.4428653735358</v>
      </c>
      <c r="AA26" s="36">
        <v>7316.2748245365556</v>
      </c>
      <c r="AB26" s="36">
        <v>7302.4970568188855</v>
      </c>
      <c r="AC26" s="36">
        <v>7795.4705217152114</v>
      </c>
      <c r="AD26" s="36">
        <v>8249.8491249245617</v>
      </c>
      <c r="AE26" s="36">
        <v>8366.4865506798888</v>
      </c>
      <c r="AF26" s="36">
        <v>8540.7233166715669</v>
      </c>
      <c r="AG26" s="36">
        <v>8716.0945577045932</v>
      </c>
      <c r="AH26" s="36">
        <v>8821.2643678160912</v>
      </c>
      <c r="AI26" s="36">
        <v>8739.7260273972606</v>
      </c>
      <c r="AJ26" s="36">
        <v>9055.5398129781806</v>
      </c>
      <c r="AK26" s="36">
        <v>9305.9322033898297</v>
      </c>
      <c r="AL26" s="36">
        <v>9264.7931083180338</v>
      </c>
      <c r="AM26" s="36">
        <v>9698.2965620497744</v>
      </c>
      <c r="AN26" s="36">
        <v>10234.304170444244</v>
      </c>
      <c r="AO26" s="36">
        <v>10879.824661277467</v>
      </c>
      <c r="AP26" s="36">
        <v>11817.741291830569</v>
      </c>
      <c r="AQ26" s="36">
        <v>11968.773344676971</v>
      </c>
      <c r="AR26" s="36">
        <v>12275.083900023406</v>
      </c>
      <c r="AS26" s="36">
        <v>12533.070328814209</v>
      </c>
      <c r="AT26" s="36">
        <v>13191.078115681548</v>
      </c>
      <c r="AU26" s="36">
        <v>14388.531720851168</v>
      </c>
      <c r="AV26" s="36">
        <v>15480.997778003179</v>
      </c>
      <c r="AW26" s="36">
        <v>17142.896548747791</v>
      </c>
      <c r="AX26" s="36">
        <v>18265.136997293364</v>
      </c>
      <c r="AY26" s="36">
        <v>19921.650945924433</v>
      </c>
      <c r="AZ26" s="36">
        <v>21551.339903842352</v>
      </c>
      <c r="BA26" s="36">
        <v>22605.067763573898</v>
      </c>
      <c r="BB26" s="36">
        <v>23822.713967345979</v>
      </c>
      <c r="BC26" s="36">
        <v>24601.537758570732</v>
      </c>
      <c r="BD26" s="36">
        <v>25379.399923114866</v>
      </c>
      <c r="BE26" s="36">
        <v>26643.334771032325</v>
      </c>
      <c r="BF26" s="36">
        <v>27760.333904857791</v>
      </c>
      <c r="BG26" s="36">
        <v>29090.410860225362</v>
      </c>
      <c r="BH26" s="36">
        <v>27898.383082871303</v>
      </c>
    </row>
    <row r="27" spans="1:60">
      <c r="A27" s="38" t="s">
        <v>191</v>
      </c>
      <c r="B27" s="36">
        <v>1915.0074517302869</v>
      </c>
      <c r="C27" s="36">
        <v>2061.7540118868978</v>
      </c>
      <c r="D27" s="36">
        <v>2053.2117802993566</v>
      </c>
      <c r="E27" s="36">
        <v>2309.4256881872357</v>
      </c>
      <c r="F27" s="36">
        <v>2358.295753471376</v>
      </c>
      <c r="G27" s="36">
        <v>2513.5778650481611</v>
      </c>
      <c r="H27" s="36">
        <v>2705.8852974089318</v>
      </c>
      <c r="I27" s="36">
        <v>2858.9892218811301</v>
      </c>
      <c r="J27" s="36">
        <v>2963.1246490787066</v>
      </c>
      <c r="K27" s="36">
        <v>3040.2648918730342</v>
      </c>
      <c r="L27" s="36">
        <v>3145.6378067357114</v>
      </c>
      <c r="M27" s="36">
        <v>3392.6923512005765</v>
      </c>
      <c r="N27" s="36">
        <v>3499.1932632539842</v>
      </c>
      <c r="O27" s="36">
        <v>3840.6179518551821</v>
      </c>
      <c r="P27" s="36">
        <v>4141.1543413381396</v>
      </c>
      <c r="Q27" s="36">
        <v>4508.9471953899338</v>
      </c>
      <c r="R27" s="36">
        <v>4749.0895556367441</v>
      </c>
      <c r="S27" s="36">
        <v>4950.6444201251406</v>
      </c>
      <c r="T27" s="36">
        <v>5265.7862326695667</v>
      </c>
      <c r="U27" s="36">
        <v>5766.141662992417</v>
      </c>
      <c r="V27" s="36">
        <v>6210.645384419945</v>
      </c>
      <c r="W27" s="36">
        <v>6623.9113961261173</v>
      </c>
      <c r="X27" s="36">
        <v>7399.9046872025692</v>
      </c>
      <c r="Y27" s="36">
        <v>7655.3188086664195</v>
      </c>
      <c r="Z27" s="36">
        <v>7349.6798658070848</v>
      </c>
      <c r="AA27" s="36">
        <v>7721.5139221152131</v>
      </c>
      <c r="AB27" s="36">
        <v>8104.555485377743</v>
      </c>
      <c r="AC27" s="36">
        <v>8255.1617724012704</v>
      </c>
      <c r="AD27" s="36">
        <v>8694.5234862633024</v>
      </c>
      <c r="AE27" s="36">
        <v>8903.7183536515258</v>
      </c>
      <c r="AF27" s="36">
        <v>8971.2165044249396</v>
      </c>
      <c r="AG27" s="36">
        <v>8896.0721939286796</v>
      </c>
      <c r="AH27" s="36">
        <v>8879.0862496014906</v>
      </c>
      <c r="AI27" s="36">
        <v>8865.7862394754102</v>
      </c>
      <c r="AJ27" s="36">
        <v>9066.8016294654226</v>
      </c>
      <c r="AK27" s="36">
        <v>9315.6951656881065</v>
      </c>
      <c r="AL27" s="36">
        <v>9440.0067528390555</v>
      </c>
      <c r="AM27" s="36">
        <v>9374.614641951619</v>
      </c>
      <c r="AN27" s="36">
        <v>9783.903650336686</v>
      </c>
      <c r="AO27" s="36">
        <v>10111.392301584177</v>
      </c>
      <c r="AP27" s="36">
        <v>10015.397444500048</v>
      </c>
      <c r="AQ27" s="36">
        <v>10203.714364898358</v>
      </c>
      <c r="AR27" s="36">
        <v>10200.953988542125</v>
      </c>
      <c r="AS27" s="36">
        <v>9982.081328205395</v>
      </c>
      <c r="AT27" s="36">
        <v>10136.013216903164</v>
      </c>
      <c r="AU27" s="36">
        <v>10321.400208781461</v>
      </c>
      <c r="AV27" s="36">
        <v>10542.777064149501</v>
      </c>
      <c r="AW27" s="36">
        <v>10902.399799800403</v>
      </c>
      <c r="AX27" s="36">
        <v>11247.931097023327</v>
      </c>
      <c r="AY27" s="36">
        <v>11616.960791226971</v>
      </c>
      <c r="AZ27" s="36">
        <v>12110.869192573995</v>
      </c>
      <c r="BA27" s="36">
        <v>12625.791297370935</v>
      </c>
      <c r="BB27" s="36">
        <v>13092.775717679493</v>
      </c>
      <c r="BC27" s="36">
        <v>13724.614610747562</v>
      </c>
      <c r="BD27" s="36">
        <v>14319.00302877785</v>
      </c>
      <c r="BE27" s="36">
        <v>14705.455030832312</v>
      </c>
      <c r="BF27" s="36">
        <v>15338.895054648841</v>
      </c>
      <c r="BG27" s="36">
        <v>15925.311195568211</v>
      </c>
      <c r="BH27" s="36">
        <v>16361.840024113068</v>
      </c>
    </row>
    <row r="28" spans="1:60">
      <c r="A28" s="38" t="s">
        <v>192</v>
      </c>
      <c r="B28" s="36">
        <v>2086.4054958396259</v>
      </c>
      <c r="C28" s="36">
        <v>2167.6629074526663</v>
      </c>
      <c r="D28" s="36">
        <v>2161.3760182030364</v>
      </c>
      <c r="E28" s="36">
        <v>2297.9502153526946</v>
      </c>
      <c r="F28" s="36">
        <v>2393.3921062082227</v>
      </c>
      <c r="G28" s="36">
        <v>2474.7486367715064</v>
      </c>
      <c r="H28" s="36">
        <v>2564.070351758794</v>
      </c>
      <c r="I28" s="36">
        <v>2658.871694839328</v>
      </c>
      <c r="J28" s="36">
        <v>2672.3143819858133</v>
      </c>
      <c r="K28" s="36">
        <v>2794.0479046593505</v>
      </c>
      <c r="L28" s="36">
        <v>2955.8356479688382</v>
      </c>
      <c r="M28" s="36">
        <v>3119.1868190273717</v>
      </c>
      <c r="N28" s="36">
        <v>3330.4507860484714</v>
      </c>
      <c r="O28" s="36">
        <v>3504.1182170542634</v>
      </c>
      <c r="P28" s="36">
        <v>3718.3885996163331</v>
      </c>
      <c r="Q28" s="36">
        <v>3992.3977280818503</v>
      </c>
      <c r="R28" s="36">
        <v>4163.9952573335677</v>
      </c>
      <c r="S28" s="36">
        <v>4481.1600571240242</v>
      </c>
      <c r="T28" s="36">
        <v>4873.3687692333015</v>
      </c>
      <c r="U28" s="36">
        <v>4986.5892802180888</v>
      </c>
      <c r="V28" s="36">
        <v>5472.8997589615446</v>
      </c>
      <c r="W28" s="36">
        <v>5870.7851108676432</v>
      </c>
      <c r="X28" s="36">
        <v>6355.4225261831907</v>
      </c>
      <c r="Y28" s="36">
        <v>7062.9849765205909</v>
      </c>
      <c r="Z28" s="36">
        <v>7047.6902278447633</v>
      </c>
      <c r="AA28" s="36">
        <v>6517.2047021120825</v>
      </c>
      <c r="AB28" s="36">
        <v>6814.1970926951553</v>
      </c>
      <c r="AC28" s="36">
        <v>7165.6696955270836</v>
      </c>
      <c r="AD28" s="36">
        <v>7339.9953396200344</v>
      </c>
      <c r="AE28" s="36">
        <v>7733.3061855754913</v>
      </c>
      <c r="AF28" s="36">
        <v>8044.2430812657249</v>
      </c>
      <c r="AG28" s="36">
        <v>8114.4526861155127</v>
      </c>
      <c r="AH28" s="36">
        <v>8279.6042455868101</v>
      </c>
      <c r="AI28" s="36">
        <v>8254.6590475943503</v>
      </c>
      <c r="AJ28" s="36">
        <v>8088.8082580884293</v>
      </c>
      <c r="AK28" s="36">
        <v>8305.9922450731483</v>
      </c>
      <c r="AL28" s="36">
        <v>8641.0062124201759</v>
      </c>
      <c r="AM28" s="36">
        <v>9185.1079681086449</v>
      </c>
      <c r="AN28" s="36">
        <v>9867.73899309226</v>
      </c>
      <c r="AO28" s="36">
        <v>10371.911249525981</v>
      </c>
      <c r="AP28" s="36">
        <v>10826.399980892276</v>
      </c>
      <c r="AQ28" s="36">
        <v>11303.5006911851</v>
      </c>
      <c r="AR28" s="36">
        <v>11416.670668827068</v>
      </c>
      <c r="AS28" s="36">
        <v>11138.352029217796</v>
      </c>
      <c r="AT28" s="36">
        <v>11178.691106002756</v>
      </c>
      <c r="AU28" s="36">
        <v>11613.604280103307</v>
      </c>
      <c r="AV28" s="36">
        <v>11994.419110733599</v>
      </c>
      <c r="AW28" s="36">
        <v>12426.638748927875</v>
      </c>
      <c r="AX28" s="36">
        <v>12939.092960781347</v>
      </c>
      <c r="AY28" s="36">
        <v>13355.626909087587</v>
      </c>
      <c r="AZ28" s="36">
        <v>13813.425581512129</v>
      </c>
      <c r="BA28" s="36">
        <v>14021.32119633537</v>
      </c>
      <c r="BB28" s="36">
        <v>14067.842727916697</v>
      </c>
      <c r="BC28" s="36">
        <v>13896.624556116893</v>
      </c>
      <c r="BD28" s="36">
        <v>14047.792005906418</v>
      </c>
      <c r="BE28" s="36">
        <v>14117.831442337139</v>
      </c>
      <c r="BF28" s="36">
        <v>14261.913449815998</v>
      </c>
      <c r="BG28" s="36">
        <v>14482.230112349755</v>
      </c>
      <c r="BH28" s="36">
        <v>14436.011917305663</v>
      </c>
    </row>
    <row r="29" spans="1:60">
      <c r="A29" s="38" t="s">
        <v>193</v>
      </c>
      <c r="B29" s="36">
        <v>2188.9705659377451</v>
      </c>
      <c r="C29" s="36">
        <v>2386.4929017976888</v>
      </c>
      <c r="D29" s="36">
        <v>2558.4704939111807</v>
      </c>
      <c r="E29" s="36">
        <v>2527.6238183638125</v>
      </c>
      <c r="F29" s="36">
        <v>2695.5914219113129</v>
      </c>
      <c r="G29" s="36">
        <v>2778.3249248902025</v>
      </c>
      <c r="H29" s="36">
        <v>2977.8754231613616</v>
      </c>
      <c r="I29" s="36">
        <v>3046.1154011307831</v>
      </c>
      <c r="J29" s="36">
        <v>3149.8175723874442</v>
      </c>
      <c r="K29" s="36">
        <v>3050.4518883739597</v>
      </c>
      <c r="L29" s="36">
        <v>3071.6499331439081</v>
      </c>
      <c r="M29" s="36">
        <v>3436.0394842151604</v>
      </c>
      <c r="N29" s="36">
        <v>3799.5304008166613</v>
      </c>
      <c r="O29" s="36">
        <v>4151.3741370698935</v>
      </c>
      <c r="P29" s="36">
        <v>4514.9372439853714</v>
      </c>
      <c r="Q29" s="36">
        <v>4762.2355846408263</v>
      </c>
      <c r="R29" s="36">
        <v>5059.7536821718868</v>
      </c>
      <c r="S29" s="36">
        <v>5334.1105972476635</v>
      </c>
      <c r="T29" s="36">
        <v>5588.174071410227</v>
      </c>
      <c r="U29" s="36">
        <v>6032.0411520152302</v>
      </c>
      <c r="V29" s="36">
        <v>6319.1336974542137</v>
      </c>
      <c r="W29" s="36">
        <v>6618.4713953970422</v>
      </c>
      <c r="X29" s="36">
        <v>7099.2917745204504</v>
      </c>
      <c r="Y29" s="36">
        <v>7661.3421311009906</v>
      </c>
      <c r="Z29" s="36">
        <v>8149.4332967440832</v>
      </c>
      <c r="AA29" s="36">
        <v>8346.3019072766529</v>
      </c>
      <c r="AB29" s="36">
        <v>8599.2691568523642</v>
      </c>
      <c r="AC29" s="36">
        <v>8833.0634759461009</v>
      </c>
      <c r="AD29" s="36">
        <v>9022.9970217330319</v>
      </c>
      <c r="AE29" s="36">
        <v>9068.087985128177</v>
      </c>
      <c r="AF29" s="36">
        <v>9202.5097923728863</v>
      </c>
      <c r="AG29" s="36">
        <v>9185.7126206596931</v>
      </c>
      <c r="AH29" s="36">
        <v>9293.0026372109241</v>
      </c>
      <c r="AI29" s="36">
        <v>9477.8029196709449</v>
      </c>
      <c r="AJ29" s="36">
        <v>9570.9754285531526</v>
      </c>
      <c r="AK29" s="36">
        <v>9721.7705748092503</v>
      </c>
      <c r="AL29" s="36">
        <v>9997.9962568548635</v>
      </c>
      <c r="AM29" s="36">
        <v>10520.051824167167</v>
      </c>
      <c r="AN29" s="36">
        <v>11045.995659176613</v>
      </c>
      <c r="AO29" s="36">
        <v>11581.576550095993</v>
      </c>
      <c r="AP29" s="36">
        <v>12054.808890774155</v>
      </c>
      <c r="AQ29" s="36">
        <v>12327.06195601531</v>
      </c>
      <c r="AR29" s="36">
        <v>12413.917676939862</v>
      </c>
      <c r="AS29" s="36">
        <v>12261.639422871111</v>
      </c>
      <c r="AT29" s="36">
        <v>12533.812202205516</v>
      </c>
      <c r="AU29" s="36">
        <v>12860.397895744887</v>
      </c>
      <c r="AV29" s="36">
        <v>13152.49525516</v>
      </c>
      <c r="AW29" s="36">
        <v>13643.24990259365</v>
      </c>
      <c r="AX29" s="36">
        <v>14236.246541423914</v>
      </c>
      <c r="AY29" s="36">
        <v>14871.801584766681</v>
      </c>
      <c r="AZ29" s="36">
        <v>15621.719678146395</v>
      </c>
      <c r="BA29" s="36">
        <v>16163.327737518781</v>
      </c>
      <c r="BB29" s="36">
        <v>16572.834026818295</v>
      </c>
      <c r="BC29" s="36">
        <v>17059.177824292179</v>
      </c>
      <c r="BD29" s="36">
        <v>17588.189702384116</v>
      </c>
      <c r="BE29" s="36">
        <v>18193.961339328751</v>
      </c>
      <c r="BF29" s="36">
        <v>18895.316239912023</v>
      </c>
      <c r="BG29" s="36">
        <v>19551.158666156418</v>
      </c>
      <c r="BH29" s="36">
        <v>19706.255587191354</v>
      </c>
    </row>
    <row r="30" spans="1:60">
      <c r="A30" s="42" t="s">
        <v>194</v>
      </c>
      <c r="B30" s="36">
        <v>3846.1966152161567</v>
      </c>
      <c r="C30" s="36">
        <v>3721.5315144936358</v>
      </c>
      <c r="D30" s="36">
        <v>3964.4533512781513</v>
      </c>
      <c r="E30" s="36">
        <v>4089.7196546741375</v>
      </c>
      <c r="F30" s="36">
        <v>4177.7285023280128</v>
      </c>
      <c r="G30" s="36">
        <v>4375.2859153415602</v>
      </c>
      <c r="H30" s="36">
        <v>4604.1097894520199</v>
      </c>
      <c r="I30" s="36">
        <v>4737.3901820155179</v>
      </c>
      <c r="J30" s="36">
        <v>4796.3594391522856</v>
      </c>
      <c r="K30" s="36">
        <v>4922.5701536110646</v>
      </c>
      <c r="L30" s="36">
        <v>4988.1071817106258</v>
      </c>
      <c r="M30" s="36">
        <v>5168.6086799550449</v>
      </c>
      <c r="N30" s="36">
        <v>5361.2216343715099</v>
      </c>
      <c r="O30" s="36">
        <v>5584.7245533250743</v>
      </c>
      <c r="P30" s="36">
        <v>5779.4890397235404</v>
      </c>
      <c r="Q30" s="36">
        <v>6134.7236526111928</v>
      </c>
      <c r="R30" s="36">
        <v>6378.9694365766018</v>
      </c>
      <c r="S30" s="36">
        <v>6578.7174994883771</v>
      </c>
      <c r="T30" s="36">
        <v>6739.4571276863562</v>
      </c>
      <c r="U30" s="36">
        <v>7154.3263970912421</v>
      </c>
      <c r="V30" s="36">
        <v>7398.8186061970291</v>
      </c>
      <c r="W30" s="36">
        <v>7840.7174649827484</v>
      </c>
      <c r="X30" s="36">
        <v>8256.3263277402584</v>
      </c>
      <c r="Y30" s="36">
        <v>8626.6790484225585</v>
      </c>
      <c r="Z30" s="36">
        <v>8560.3431603584031</v>
      </c>
      <c r="AA30" s="36">
        <v>8356.5285085280448</v>
      </c>
      <c r="AB30" s="36">
        <v>8900.0001044723558</v>
      </c>
      <c r="AC30" s="36">
        <v>9414.5987414250158</v>
      </c>
      <c r="AD30" s="36">
        <v>9830.2834420744184</v>
      </c>
      <c r="AE30" s="36">
        <v>10220.809746423585</v>
      </c>
      <c r="AF30" s="36">
        <v>10435.981624471493</v>
      </c>
      <c r="AG30" s="36">
        <v>10582.355638239454</v>
      </c>
      <c r="AH30" s="36">
        <v>10833.221549428861</v>
      </c>
      <c r="AI30" s="36">
        <v>11024.427096697302</v>
      </c>
      <c r="AJ30" s="36">
        <v>11522.903191342337</v>
      </c>
      <c r="AK30" s="36">
        <v>11854.939964649235</v>
      </c>
      <c r="AL30" s="36">
        <v>12377.369310168466</v>
      </c>
      <c r="AM30" s="36">
        <v>12819.345645092819</v>
      </c>
      <c r="AN30" s="36">
        <v>13447.813859704975</v>
      </c>
      <c r="AO30" s="36">
        <v>14073.776613511578</v>
      </c>
      <c r="AP30" s="36">
        <v>14445.374910830304</v>
      </c>
      <c r="AQ30" s="36">
        <v>14784.238434814408</v>
      </c>
      <c r="AR30" s="36">
        <v>14957.910718941395</v>
      </c>
      <c r="AS30" s="36">
        <v>15435.629906783646</v>
      </c>
      <c r="AT30" s="36">
        <v>15808.84347709862</v>
      </c>
      <c r="AU30" s="36">
        <v>16151.942684875812</v>
      </c>
      <c r="AV30" s="36">
        <v>16563.010319307879</v>
      </c>
      <c r="AW30" s="36">
        <v>17194.961520469151</v>
      </c>
      <c r="AX30" s="36">
        <v>17077.064445145988</v>
      </c>
      <c r="AY30" s="36">
        <v>17459.400855726712</v>
      </c>
      <c r="AZ30" s="36">
        <v>17848.80757966169</v>
      </c>
      <c r="BA30" s="36">
        <v>18250.357652002622</v>
      </c>
      <c r="BB30" s="36">
        <v>18666.904819789201</v>
      </c>
      <c r="BC30" s="36">
        <v>19081.952399870279</v>
      </c>
      <c r="BD30" s="36">
        <v>19498.754404288258</v>
      </c>
      <c r="BE30" s="36">
        <v>19658.982997538242</v>
      </c>
      <c r="BF30" s="36">
        <v>20074.459567654121</v>
      </c>
      <c r="BG30" s="36">
        <v>20414.108180307667</v>
      </c>
      <c r="BH30" s="36">
        <v>20389.059482856261</v>
      </c>
    </row>
    <row r="31" spans="1:60" s="41" customFormat="1" ht="12.75">
      <c r="A31" s="39" t="s">
        <v>195</v>
      </c>
      <c r="B31" s="40">
        <v>4568.5665072751544</v>
      </c>
      <c r="C31" s="40">
        <v>4805.59954224577</v>
      </c>
      <c r="D31" s="40">
        <v>4951.2099579898668</v>
      </c>
      <c r="E31" s="40">
        <v>5171.1570543142088</v>
      </c>
      <c r="F31" s="40">
        <v>5422.197893354506</v>
      </c>
      <c r="G31" s="40">
        <v>5723.2895183184191</v>
      </c>
      <c r="H31" s="40">
        <v>5944.2722910929606</v>
      </c>
      <c r="I31" s="40">
        <v>6160.0661244244302</v>
      </c>
      <c r="J31" s="40">
        <v>6265.027765496081</v>
      </c>
      <c r="K31" s="40">
        <v>6513.8617842382491</v>
      </c>
      <c r="L31" s="40">
        <v>6879.2943309153688</v>
      </c>
      <c r="M31" s="40">
        <v>7184.8142950761567</v>
      </c>
      <c r="N31" s="40">
        <v>7464.5336882134652</v>
      </c>
      <c r="O31" s="40">
        <v>7746.1337474449438</v>
      </c>
      <c r="P31" s="40">
        <v>8145.368842790107</v>
      </c>
      <c r="Q31" s="40">
        <v>8417.3659435155751</v>
      </c>
      <c r="R31" s="40">
        <v>8667.068831103179</v>
      </c>
      <c r="S31" s="40">
        <v>8917.2986561372818</v>
      </c>
      <c r="T31" s="40">
        <v>9336.1057830868867</v>
      </c>
      <c r="U31" s="40">
        <v>9804.7457201020934</v>
      </c>
      <c r="V31" s="40">
        <v>10168.627921961392</v>
      </c>
      <c r="W31" s="40">
        <v>10442.200108105266</v>
      </c>
      <c r="X31" s="40">
        <v>10837.108456700129</v>
      </c>
      <c r="Y31" s="40">
        <v>11391.706491324449</v>
      </c>
      <c r="Z31" s="40">
        <v>11585.755088136164</v>
      </c>
      <c r="AA31" s="40">
        <v>11492.545901136911</v>
      </c>
      <c r="AB31" s="40">
        <v>11955.10410202303</v>
      </c>
      <c r="AC31" s="40">
        <v>12261.931601250222</v>
      </c>
      <c r="AD31" s="40">
        <v>12585.004223018215</v>
      </c>
      <c r="AE31" s="40">
        <v>13001.579805267258</v>
      </c>
      <c r="AF31" s="40">
        <v>13154.033928308407</v>
      </c>
      <c r="AG31" s="40">
        <v>13139.377711528276</v>
      </c>
      <c r="AH31" s="40">
        <v>13224.255141084966</v>
      </c>
      <c r="AI31" s="40">
        <v>13444.873360167248</v>
      </c>
      <c r="AJ31" s="40">
        <v>13742.851267661825</v>
      </c>
      <c r="AK31" s="40">
        <v>14060.110054860175</v>
      </c>
      <c r="AL31" s="40">
        <v>14422.537214619184</v>
      </c>
      <c r="AM31" s="40">
        <v>14801.143361096267</v>
      </c>
      <c r="AN31" s="40">
        <v>15350.061647264281</v>
      </c>
      <c r="AO31" s="40">
        <v>15799.952287878446</v>
      </c>
      <c r="AP31" s="40">
        <v>15908.410915332792</v>
      </c>
      <c r="AQ31" s="40">
        <v>16121.711770088712</v>
      </c>
      <c r="AR31" s="40">
        <v>16242.940825408681</v>
      </c>
      <c r="AS31" s="40">
        <v>16126.852878278494</v>
      </c>
      <c r="AT31" s="40">
        <v>16517.115817539281</v>
      </c>
      <c r="AU31" s="40">
        <v>16890.355682568854</v>
      </c>
      <c r="AV31" s="40">
        <v>17146.684861821959</v>
      </c>
      <c r="AW31" s="40">
        <v>17578.80725529421</v>
      </c>
      <c r="AX31" s="40">
        <v>18007.694604850116</v>
      </c>
      <c r="AY31" s="40">
        <v>18497.208532908833</v>
      </c>
      <c r="AZ31" s="40">
        <v>19176.001654619809</v>
      </c>
      <c r="BA31" s="40">
        <v>19463.863297394826</v>
      </c>
      <c r="BB31" s="40">
        <v>19627.707521937024</v>
      </c>
      <c r="BC31" s="40">
        <v>19801.145424511269</v>
      </c>
      <c r="BD31" s="40">
        <v>20199.220699696445</v>
      </c>
      <c r="BE31" s="40">
        <v>20522.238008057255</v>
      </c>
      <c r="BF31" s="40">
        <v>21087.304789315323</v>
      </c>
      <c r="BG31" s="40">
        <v>21589.011346059047</v>
      </c>
      <c r="BH31" s="40">
        <v>21671.774225215479</v>
      </c>
    </row>
    <row r="32" spans="1:60">
      <c r="A32" s="35" t="s">
        <v>196</v>
      </c>
      <c r="B32" s="36" t="s">
        <v>178</v>
      </c>
      <c r="C32" s="36" t="s">
        <v>178</v>
      </c>
      <c r="D32" s="36" t="s">
        <v>178</v>
      </c>
      <c r="E32" s="36" t="s">
        <v>178</v>
      </c>
      <c r="F32" s="36" t="s">
        <v>178</v>
      </c>
      <c r="G32" s="36" t="s">
        <v>178</v>
      </c>
      <c r="H32" s="36" t="s">
        <v>178</v>
      </c>
      <c r="I32" s="36" t="s">
        <v>178</v>
      </c>
      <c r="J32" s="36" t="s">
        <v>178</v>
      </c>
      <c r="K32" s="36" t="s">
        <v>178</v>
      </c>
      <c r="L32" s="36" t="s">
        <v>178</v>
      </c>
      <c r="M32" s="36" t="s">
        <v>178</v>
      </c>
      <c r="N32" s="36" t="s">
        <v>178</v>
      </c>
      <c r="O32" s="36" t="s">
        <v>178</v>
      </c>
      <c r="P32" s="36" t="s">
        <v>178</v>
      </c>
      <c r="Q32" s="36" t="s">
        <v>178</v>
      </c>
      <c r="R32" s="36" t="s">
        <v>178</v>
      </c>
      <c r="S32" s="36" t="s">
        <v>178</v>
      </c>
      <c r="T32" s="36" t="s">
        <v>178</v>
      </c>
      <c r="U32" s="36" t="s">
        <v>178</v>
      </c>
      <c r="V32" s="36" t="s">
        <v>178</v>
      </c>
      <c r="W32" s="36" t="s">
        <v>178</v>
      </c>
      <c r="X32" s="36" t="s">
        <v>178</v>
      </c>
      <c r="Y32" s="36" t="s">
        <v>178</v>
      </c>
      <c r="Z32" s="36" t="s">
        <v>178</v>
      </c>
      <c r="AA32" s="36" t="s">
        <v>178</v>
      </c>
      <c r="AB32" s="36" t="s">
        <v>178</v>
      </c>
      <c r="AC32" s="36" t="s">
        <v>178</v>
      </c>
      <c r="AD32" s="36" t="s">
        <v>178</v>
      </c>
      <c r="AE32" s="36" t="s">
        <v>178</v>
      </c>
      <c r="AF32" s="36" t="s">
        <v>178</v>
      </c>
      <c r="AG32" s="36" t="s">
        <v>178</v>
      </c>
      <c r="AH32" s="36" t="s">
        <v>178</v>
      </c>
      <c r="AI32" s="36" t="s">
        <v>178</v>
      </c>
      <c r="AJ32" s="36" t="s">
        <v>178</v>
      </c>
      <c r="AK32" s="36" t="s">
        <v>178</v>
      </c>
      <c r="AL32" s="36" t="s">
        <v>178</v>
      </c>
      <c r="AM32" s="36" t="s">
        <v>178</v>
      </c>
      <c r="AN32" s="36" t="s">
        <v>178</v>
      </c>
      <c r="AO32" s="36" t="s">
        <v>178</v>
      </c>
      <c r="AP32" s="36" t="s">
        <v>178</v>
      </c>
      <c r="AQ32" s="36" t="s">
        <v>178</v>
      </c>
      <c r="AR32" s="36" t="s">
        <v>178</v>
      </c>
      <c r="AS32" s="36" t="s">
        <v>178</v>
      </c>
      <c r="AT32" s="36" t="s">
        <v>178</v>
      </c>
      <c r="AU32" s="36" t="s">
        <v>178</v>
      </c>
      <c r="AV32" s="36" t="s">
        <v>178</v>
      </c>
      <c r="AW32" s="36" t="s">
        <v>178</v>
      </c>
      <c r="AX32" s="36" t="s">
        <v>178</v>
      </c>
      <c r="AY32" s="36" t="s">
        <v>178</v>
      </c>
      <c r="AZ32" s="36" t="s">
        <v>178</v>
      </c>
      <c r="BA32" s="36" t="s">
        <v>178</v>
      </c>
      <c r="BB32" s="36" t="s">
        <v>178</v>
      </c>
      <c r="BC32" s="36"/>
      <c r="BD32" s="36" t="s">
        <v>178</v>
      </c>
      <c r="BE32" s="36" t="s">
        <v>178</v>
      </c>
      <c r="BF32" s="36" t="s">
        <v>178</v>
      </c>
      <c r="BG32" s="36" t="s">
        <v>178</v>
      </c>
      <c r="BH32" s="36" t="s">
        <v>178</v>
      </c>
    </row>
    <row r="33" spans="1:60">
      <c r="A33" s="43" t="s">
        <v>197</v>
      </c>
      <c r="B33" s="36">
        <v>7411.576424185927</v>
      </c>
      <c r="C33" s="36">
        <v>7507.343783047023</v>
      </c>
      <c r="D33" s="36">
        <v>7417.8376962844768</v>
      </c>
      <c r="E33" s="36">
        <v>7505.2574395535557</v>
      </c>
      <c r="F33" s="36">
        <v>7790.5855648770294</v>
      </c>
      <c r="G33" s="36">
        <v>8027.4120529429119</v>
      </c>
      <c r="H33" s="36">
        <v>8108.324879486634</v>
      </c>
      <c r="I33" s="36">
        <v>8090.2385352423244</v>
      </c>
      <c r="J33" s="36">
        <v>8305.474779448703</v>
      </c>
      <c r="K33" s="36">
        <v>8628.4384432311617</v>
      </c>
      <c r="L33" s="36">
        <v>8790.9082214125629</v>
      </c>
      <c r="M33" s="36">
        <v>8653.1379831743434</v>
      </c>
      <c r="N33" s="36">
        <v>9026.7984120008514</v>
      </c>
      <c r="O33" s="36">
        <v>9399.9145387944518</v>
      </c>
      <c r="P33" s="36">
        <v>9848.9040767659699</v>
      </c>
      <c r="Q33" s="36">
        <v>10151.857827309583</v>
      </c>
      <c r="R33" s="36">
        <v>10241.282709012024</v>
      </c>
      <c r="S33" s="36">
        <v>10732.746509006201</v>
      </c>
      <c r="T33" s="36">
        <v>11148.305273821938</v>
      </c>
      <c r="U33" s="36">
        <v>11560.995280540616</v>
      </c>
      <c r="V33" s="36">
        <v>12023.544726133005</v>
      </c>
      <c r="W33" s="36">
        <v>12289.521689391831</v>
      </c>
      <c r="X33" s="36">
        <v>12404.416786825528</v>
      </c>
      <c r="Y33" s="36">
        <v>12878.090341095933</v>
      </c>
      <c r="Z33" s="36">
        <v>12985.124015559853</v>
      </c>
      <c r="AA33" s="36">
        <v>13169.830227863544</v>
      </c>
      <c r="AB33" s="36">
        <v>13558.837267794905</v>
      </c>
      <c r="AC33" s="36">
        <v>13546.37241457713</v>
      </c>
      <c r="AD33" s="36">
        <v>13768.650955181562</v>
      </c>
      <c r="AE33" s="36">
        <v>14319.541807944863</v>
      </c>
      <c r="AF33" s="36">
        <v>14411.839161461148</v>
      </c>
      <c r="AG33" s="36">
        <v>14660.335610315709</v>
      </c>
      <c r="AH33" s="36">
        <v>14411.819021237303</v>
      </c>
      <c r="AI33" s="36">
        <v>14238.923638259055</v>
      </c>
      <c r="AJ33" s="36">
        <v>15062.411347517731</v>
      </c>
      <c r="AK33" s="36">
        <v>15638.35616438356</v>
      </c>
      <c r="AL33" s="36">
        <v>15757.169811320753</v>
      </c>
      <c r="AM33" s="36">
        <v>16293.301109252032</v>
      </c>
      <c r="AN33" s="36">
        <v>16752.256097560978</v>
      </c>
      <c r="AO33" s="36">
        <v>17194.412804987711</v>
      </c>
      <c r="AP33" s="36">
        <v>17172.682236376502</v>
      </c>
      <c r="AQ33" s="36">
        <v>16969.914712350484</v>
      </c>
      <c r="AR33" s="36">
        <v>17370.155541816435</v>
      </c>
      <c r="AS33" s="36">
        <v>17853.268990631885</v>
      </c>
      <c r="AT33" s="36">
        <v>18423.903773190701</v>
      </c>
      <c r="AU33" s="36">
        <v>19001.73541576734</v>
      </c>
      <c r="AV33" s="36">
        <v>19484.538506068093</v>
      </c>
      <c r="AW33" s="36">
        <v>20110.394637754442</v>
      </c>
      <c r="AX33" s="36">
        <v>20978.196659685302</v>
      </c>
      <c r="AY33" s="36">
        <v>21571.747211895912</v>
      </c>
      <c r="AZ33" s="36">
        <v>21731.905736629404</v>
      </c>
      <c r="BA33" s="36">
        <v>22270.861407691507</v>
      </c>
      <c r="BB33" s="36">
        <v>22910.416128198503</v>
      </c>
      <c r="BC33" s="36">
        <v>23331.815652349873</v>
      </c>
      <c r="BD33" s="36">
        <v>23619.154788697175</v>
      </c>
      <c r="BE33" s="36">
        <v>23996.045867931989</v>
      </c>
      <c r="BF33" s="36">
        <v>24358.533847430332</v>
      </c>
      <c r="BG33" s="36">
        <v>25014.216867469881</v>
      </c>
      <c r="BH33" s="36">
        <v>25301.232922359213</v>
      </c>
    </row>
    <row r="34" spans="1:60">
      <c r="A34" s="43" t="s">
        <v>198</v>
      </c>
      <c r="B34" s="36">
        <v>8455.6492393793451</v>
      </c>
      <c r="C34" s="36">
        <v>7653.3245283813358</v>
      </c>
      <c r="D34" s="36">
        <v>7796.2937526381165</v>
      </c>
      <c r="E34" s="36">
        <v>7855.8516668286611</v>
      </c>
      <c r="F34" s="36">
        <v>8743.398132339822</v>
      </c>
      <c r="G34" s="36">
        <v>8725.437325154202</v>
      </c>
      <c r="H34" s="36">
        <v>9000.1831712871881</v>
      </c>
      <c r="I34" s="36">
        <v>9045.0061384036198</v>
      </c>
      <c r="J34" s="36">
        <v>9185.4906328332745</v>
      </c>
      <c r="K34" s="36">
        <v>9630.1266085601692</v>
      </c>
      <c r="L34" s="36">
        <v>9465.1788176305545</v>
      </c>
      <c r="M34" s="36">
        <v>9744.9073978910164</v>
      </c>
      <c r="N34" s="36">
        <v>9730.5659922444793</v>
      </c>
      <c r="O34" s="36">
        <v>10132.016447950893</v>
      </c>
      <c r="P34" s="36">
        <v>10418.41084897471</v>
      </c>
      <c r="Q34" s="36">
        <v>10878.654749280411</v>
      </c>
      <c r="R34" s="36">
        <v>11362.021171699131</v>
      </c>
      <c r="S34" s="36">
        <v>10681.963968256878</v>
      </c>
      <c r="T34" s="36">
        <v>10545.487495469373</v>
      </c>
      <c r="U34" s="36">
        <v>11511.206741975973</v>
      </c>
      <c r="V34" s="36">
        <v>11189.33540778982</v>
      </c>
      <c r="W34" s="36">
        <v>11576.183354780371</v>
      </c>
      <c r="X34" s="36">
        <v>11850.397733092077</v>
      </c>
      <c r="Y34" s="36">
        <v>12424.222170236941</v>
      </c>
      <c r="Z34" s="36">
        <v>12879.283285377975</v>
      </c>
      <c r="AA34" s="36">
        <v>12488.613766117132</v>
      </c>
      <c r="AB34" s="36">
        <v>12648.285265811544</v>
      </c>
      <c r="AC34" s="36">
        <v>11989.004391923914</v>
      </c>
      <c r="AD34" s="36">
        <v>12033.925074230841</v>
      </c>
      <c r="AE34" s="36">
        <v>12284.211025264256</v>
      </c>
      <c r="AF34" s="36">
        <v>12346.734381653863</v>
      </c>
      <c r="AG34" s="36">
        <v>12883.893955328134</v>
      </c>
      <c r="AH34" s="36">
        <v>12996.269816599315</v>
      </c>
      <c r="AI34" s="36">
        <v>13184.468999386127</v>
      </c>
      <c r="AJ34" s="36">
        <v>13666.464523953911</v>
      </c>
      <c r="AK34" s="36">
        <v>13664.259927797835</v>
      </c>
      <c r="AL34" s="36">
        <v>13879.676743489974</v>
      </c>
      <c r="AM34" s="36">
        <v>13891.408114558473</v>
      </c>
      <c r="AN34" s="36">
        <v>13815.828622433801</v>
      </c>
      <c r="AO34" s="36">
        <v>13869.15334517466</v>
      </c>
      <c r="AP34" s="36">
        <v>13687.46338605741</v>
      </c>
      <c r="AQ34" s="36">
        <v>13346.643383766708</v>
      </c>
      <c r="AR34" s="36">
        <v>13343.14598860086</v>
      </c>
      <c r="AS34" s="36">
        <v>14030.911555795787</v>
      </c>
      <c r="AT34" s="36">
        <v>14571.558703507821</v>
      </c>
      <c r="AU34" s="36">
        <v>14940.552053798687</v>
      </c>
      <c r="AV34" s="36">
        <v>15237.383514094176</v>
      </c>
      <c r="AW34" s="36">
        <v>15289.175455109491</v>
      </c>
      <c r="AX34" s="36">
        <v>15262.752391073325</v>
      </c>
      <c r="AY34" s="36">
        <v>15975.951374207189</v>
      </c>
      <c r="AZ34" s="36">
        <v>16245.660178853235</v>
      </c>
      <c r="BA34" s="36">
        <v>16675.351745700886</v>
      </c>
      <c r="BB34" s="36">
        <v>17170.343766033864</v>
      </c>
      <c r="BC34" s="36">
        <v>17485.60606060606</v>
      </c>
      <c r="BD34" s="36">
        <v>17911.676646706586</v>
      </c>
      <c r="BE34" s="36">
        <v>18231.225296442688</v>
      </c>
      <c r="BF34" s="36">
        <v>18404.889975550122</v>
      </c>
      <c r="BG34" s="36">
        <v>18800.82284607938</v>
      </c>
      <c r="BH34" s="36">
        <v>18653.247064462019</v>
      </c>
    </row>
    <row r="35" spans="1:60">
      <c r="A35" s="43" t="s">
        <v>17</v>
      </c>
      <c r="B35" s="36">
        <v>7291.4797655798238</v>
      </c>
      <c r="C35" s="36">
        <v>7533.4902228959909</v>
      </c>
      <c r="D35" s="36">
        <v>7833.0352051024829</v>
      </c>
      <c r="E35" s="36">
        <v>7984.2590991792003</v>
      </c>
      <c r="F35" s="36">
        <v>7699.4188822188444</v>
      </c>
      <c r="G35" s="36">
        <v>8201.2511124363846</v>
      </c>
      <c r="H35" s="36">
        <v>8651.9457148508864</v>
      </c>
      <c r="I35" s="36">
        <v>8606.7415968132918</v>
      </c>
      <c r="J35" s="36">
        <v>8534.0147671481463</v>
      </c>
      <c r="K35" s="36">
        <v>8676.2368513846832</v>
      </c>
      <c r="L35" s="36">
        <v>8752.5076279242676</v>
      </c>
      <c r="M35" s="36">
        <v>8832.7450041929224</v>
      </c>
      <c r="N35" s="36">
        <v>9276.9093444280534</v>
      </c>
      <c r="O35" s="36">
        <v>9566.3816912934344</v>
      </c>
      <c r="P35" s="36">
        <v>9999.3643160515076</v>
      </c>
      <c r="Q35" s="36">
        <v>10472.916686595814</v>
      </c>
      <c r="R35" s="36">
        <v>10946.135109398754</v>
      </c>
      <c r="S35" s="36">
        <v>11078.269992166579</v>
      </c>
      <c r="T35" s="36">
        <v>11479.064091831378</v>
      </c>
      <c r="U35" s="36">
        <v>11912.352219241327</v>
      </c>
      <c r="V35" s="36">
        <v>12050.490515258263</v>
      </c>
      <c r="W35" s="36">
        <v>12561.925689172991</v>
      </c>
      <c r="X35" s="36">
        <v>13072.494334627207</v>
      </c>
      <c r="Y35" s="36">
        <v>13837.895343425165</v>
      </c>
      <c r="Z35" s="36">
        <v>14204.68902324402</v>
      </c>
      <c r="AA35" s="36">
        <v>14316.262516588249</v>
      </c>
      <c r="AB35" s="36">
        <v>14902.391835866907</v>
      </c>
      <c r="AC35" s="36">
        <v>15222.680741624783</v>
      </c>
      <c r="AD35" s="36">
        <v>15680.200363616697</v>
      </c>
      <c r="AE35" s="36">
        <v>16170.145282140635</v>
      </c>
      <c r="AF35" s="36">
        <v>16175.706391578196</v>
      </c>
      <c r="AG35" s="36">
        <v>16472.449799196787</v>
      </c>
      <c r="AH35" s="36">
        <v>15779.405521012304</v>
      </c>
      <c r="AI35" s="36">
        <v>16076.413304368663</v>
      </c>
      <c r="AJ35" s="36">
        <v>16835.824728229152</v>
      </c>
      <c r="AK35" s="36">
        <v>17582.068954883274</v>
      </c>
      <c r="AL35" s="36">
        <v>17862.103969653257</v>
      </c>
      <c r="AM35" s="36">
        <v>18348.154593083917</v>
      </c>
      <c r="AN35" s="36">
        <v>18993.076728586937</v>
      </c>
      <c r="AO35" s="36">
        <v>19108.487068697887</v>
      </c>
      <c r="AP35" s="36">
        <v>18872.388505465879</v>
      </c>
      <c r="AQ35" s="36">
        <v>18255.182523769548</v>
      </c>
      <c r="AR35" s="36">
        <v>18139.035226907145</v>
      </c>
      <c r="AS35" s="36">
        <v>18302.790632474665</v>
      </c>
      <c r="AT35" s="36">
        <v>18935.979054378622</v>
      </c>
      <c r="AU35" s="36">
        <v>19226.978741073053</v>
      </c>
      <c r="AV35" s="36">
        <v>19318.582152748651</v>
      </c>
      <c r="AW35" s="36">
        <v>19952.647049497067</v>
      </c>
      <c r="AX35" s="36">
        <v>20612.562189054726</v>
      </c>
      <c r="AY35" s="36">
        <v>21563.349664189998</v>
      </c>
      <c r="AZ35" s="36">
        <v>22488.167202572349</v>
      </c>
      <c r="BA35" s="36">
        <v>22598.527583899035</v>
      </c>
      <c r="BB35" s="36">
        <v>23156.410985746341</v>
      </c>
      <c r="BC35" s="36">
        <v>23409.043870927278</v>
      </c>
      <c r="BD35" s="36">
        <v>23942.89715263731</v>
      </c>
      <c r="BE35" s="36">
        <v>24470.048786512692</v>
      </c>
      <c r="BF35" s="36">
        <v>24970.726031172489</v>
      </c>
      <c r="BG35" s="36">
        <v>25809.176804792194</v>
      </c>
      <c r="BH35" s="36">
        <v>25267.184536175595</v>
      </c>
    </row>
    <row r="36" spans="1:60">
      <c r="A36" s="43" t="s">
        <v>199</v>
      </c>
      <c r="B36" s="36">
        <v>9561.3478600652797</v>
      </c>
      <c r="C36" s="36">
        <v>10116.246335825619</v>
      </c>
      <c r="D36" s="36">
        <v>10315.544610385077</v>
      </c>
      <c r="E36" s="36">
        <v>10612.608000799082</v>
      </c>
      <c r="F36" s="36">
        <v>10359.108363083189</v>
      </c>
      <c r="G36" s="36">
        <v>10896.854716719601</v>
      </c>
      <c r="H36" s="36">
        <v>10914.282161950941</v>
      </c>
      <c r="I36" s="36">
        <v>10919.986742952833</v>
      </c>
      <c r="J36" s="36">
        <v>10630.528013174597</v>
      </c>
      <c r="K36" s="36">
        <v>11230.16926277906</v>
      </c>
      <c r="L36" s="36">
        <v>11328.475516269904</v>
      </c>
      <c r="M36" s="36">
        <v>11401.734434457867</v>
      </c>
      <c r="N36" s="36">
        <v>11904.984507178162</v>
      </c>
      <c r="O36" s="36">
        <v>12242.340495238901</v>
      </c>
      <c r="P36" s="36">
        <v>12772.566431634954</v>
      </c>
      <c r="Q36" s="36">
        <v>13418.701718450051</v>
      </c>
      <c r="R36" s="36">
        <v>14133.526658526658</v>
      </c>
      <c r="S36" s="36">
        <v>14330.030395748621</v>
      </c>
      <c r="T36" s="36">
        <v>14862.938825944417</v>
      </c>
      <c r="U36" s="36">
        <v>15179.408615679135</v>
      </c>
      <c r="V36" s="36">
        <v>15029.846087821626</v>
      </c>
      <c r="W36" s="36">
        <v>15304.298833194485</v>
      </c>
      <c r="X36" s="36">
        <v>15943.867439112702</v>
      </c>
      <c r="Y36" s="36">
        <v>16689.343067071241</v>
      </c>
      <c r="Z36" s="36">
        <v>16491.269744779151</v>
      </c>
      <c r="AA36" s="36">
        <v>16283.632676306759</v>
      </c>
      <c r="AB36" s="36">
        <v>16975.086568670169</v>
      </c>
      <c r="AC36" s="36">
        <v>17566.502753826528</v>
      </c>
      <c r="AD36" s="36">
        <v>18372.972123009189</v>
      </c>
      <c r="AE36" s="36">
        <v>18789.393703761303</v>
      </c>
      <c r="AF36" s="36">
        <v>18577.36665413365</v>
      </c>
      <c r="AG36" s="36">
        <v>18855.55486999598</v>
      </c>
      <c r="AH36" s="36">
        <v>18325.120263083551</v>
      </c>
      <c r="AI36" s="36">
        <v>18920.156391092147</v>
      </c>
      <c r="AJ36" s="36">
        <v>20122.667101821073</v>
      </c>
      <c r="AK36" s="36">
        <v>20717.322960076497</v>
      </c>
      <c r="AL36" s="36">
        <v>21236.085463351239</v>
      </c>
      <c r="AM36" s="36">
        <v>21787.693674127881</v>
      </c>
      <c r="AN36" s="36">
        <v>22499.441620233243</v>
      </c>
      <c r="AO36" s="36">
        <v>23059.278193599523</v>
      </c>
      <c r="AP36" s="36">
        <v>23200.559941388365</v>
      </c>
      <c r="AQ36" s="36">
        <v>22848.529180676011</v>
      </c>
      <c r="AR36" s="36">
        <v>23298.119448949757</v>
      </c>
      <c r="AS36" s="36">
        <v>23616.074711866208</v>
      </c>
      <c r="AT36" s="36">
        <v>24278.634744145471</v>
      </c>
      <c r="AU36" s="36">
        <v>24603.174663290505</v>
      </c>
      <c r="AV36" s="36">
        <v>25230.224231062657</v>
      </c>
      <c r="AW36" s="36">
        <v>26051.550692973986</v>
      </c>
      <c r="AX36" s="36">
        <v>26848.774125103857</v>
      </c>
      <c r="AY36" s="36">
        <v>27734.749851852728</v>
      </c>
      <c r="AZ36" s="36">
        <v>28467.061008371198</v>
      </c>
      <c r="BA36" s="36">
        <v>28405.464787743713</v>
      </c>
      <c r="BB36" s="36">
        <v>28603.924855913545</v>
      </c>
      <c r="BC36" s="36">
        <v>29074.234618222948</v>
      </c>
      <c r="BD36" s="36">
        <v>29845.238827073219</v>
      </c>
      <c r="BE36" s="36">
        <v>30481.353799102111</v>
      </c>
      <c r="BF36" s="36">
        <v>31004.463178775106</v>
      </c>
      <c r="BG36" s="36">
        <v>31357.365241635685</v>
      </c>
      <c r="BH36" s="36">
        <v>31177.721971679133</v>
      </c>
    </row>
    <row r="37" spans="1:60" s="41" customFormat="1" ht="12.75">
      <c r="A37" s="44" t="s">
        <v>200</v>
      </c>
      <c r="B37" s="40">
        <v>9268.4341910145249</v>
      </c>
      <c r="C37" s="40">
        <v>9759.963039108914</v>
      </c>
      <c r="D37" s="40">
        <v>9949.9362353441156</v>
      </c>
      <c r="E37" s="40">
        <v>10220.301215384819</v>
      </c>
      <c r="F37" s="40">
        <v>9999.5553133154863</v>
      </c>
      <c r="G37" s="40">
        <v>10511.507996466355</v>
      </c>
      <c r="H37" s="40">
        <v>10568.988972281981</v>
      </c>
      <c r="I37" s="40">
        <v>10566.57655345507</v>
      </c>
      <c r="J37" s="40">
        <v>10322.717808423204</v>
      </c>
      <c r="K37" s="40">
        <v>10866.352410974598</v>
      </c>
      <c r="L37" s="40">
        <v>10961.082848353792</v>
      </c>
      <c r="M37" s="40">
        <v>11025.452355233321</v>
      </c>
      <c r="N37" s="40">
        <v>11510.22031173201</v>
      </c>
      <c r="O37" s="40">
        <v>11844.395399377387</v>
      </c>
      <c r="P37" s="40">
        <v>12357.487273197316</v>
      </c>
      <c r="Q37" s="40">
        <v>12966.958128548024</v>
      </c>
      <c r="R37" s="40">
        <v>13623.521154288379</v>
      </c>
      <c r="S37" s="40">
        <v>13815.956380639534</v>
      </c>
      <c r="T37" s="40">
        <v>14320.457255332438</v>
      </c>
      <c r="U37" s="40">
        <v>14656.641148030112</v>
      </c>
      <c r="V37" s="40">
        <v>14560.481844671916</v>
      </c>
      <c r="W37" s="40">
        <v>14855.716845505844</v>
      </c>
      <c r="X37" s="40">
        <v>15450.016231242444</v>
      </c>
      <c r="Y37" s="40">
        <v>16178.717850177723</v>
      </c>
      <c r="Z37" s="40">
        <v>16053.076292236909</v>
      </c>
      <c r="AA37" s="40">
        <v>15891.653655972514</v>
      </c>
      <c r="AB37" s="40">
        <v>16550.032276892627</v>
      </c>
      <c r="AC37" s="40">
        <v>17068.916816955661</v>
      </c>
      <c r="AD37" s="40">
        <v>17803.361439381115</v>
      </c>
      <c r="AE37" s="40">
        <v>18232.530659656786</v>
      </c>
      <c r="AF37" s="40">
        <v>18060.162962875591</v>
      </c>
      <c r="AG37" s="40">
        <v>18339.140844306126</v>
      </c>
      <c r="AH37" s="40">
        <v>17815.152250671199</v>
      </c>
      <c r="AI37" s="40">
        <v>18334.870995766072</v>
      </c>
      <c r="AJ37" s="40">
        <v>19466.624447480757</v>
      </c>
      <c r="AK37" s="40">
        <v>20066.388691858847</v>
      </c>
      <c r="AL37" s="40">
        <v>20536.656013407828</v>
      </c>
      <c r="AM37" s="40">
        <v>21072.943304658638</v>
      </c>
      <c r="AN37" s="40">
        <v>21752.923078866217</v>
      </c>
      <c r="AO37" s="40">
        <v>22255.132867784108</v>
      </c>
      <c r="AP37" s="40">
        <v>22345.798617379893</v>
      </c>
      <c r="AQ37" s="40">
        <v>21978.084389094802</v>
      </c>
      <c r="AR37" s="40">
        <v>22366.812443707433</v>
      </c>
      <c r="AS37" s="40">
        <v>22684.202324120455</v>
      </c>
      <c r="AT37" s="40">
        <v>23337.576826700166</v>
      </c>
      <c r="AU37" s="40">
        <v>23673.514705997975</v>
      </c>
      <c r="AV37" s="40">
        <v>24238.297178815545</v>
      </c>
      <c r="AW37" s="40">
        <v>25023.588853141318</v>
      </c>
      <c r="AX37" s="40">
        <v>25805.005191150653</v>
      </c>
      <c r="AY37" s="40">
        <v>26680.580823270207</v>
      </c>
      <c r="AZ37" s="40">
        <v>27393.808034797821</v>
      </c>
      <c r="BA37" s="40">
        <v>27387.312034505518</v>
      </c>
      <c r="BB37" s="40">
        <v>27648.64407027177</v>
      </c>
      <c r="BC37" s="40">
        <v>28090.274361838183</v>
      </c>
      <c r="BD37" s="40">
        <v>28807.845958090697</v>
      </c>
      <c r="BE37" s="40">
        <v>29415.39933399385</v>
      </c>
      <c r="BF37" s="40">
        <v>29922.741918251901</v>
      </c>
      <c r="BG37" s="40">
        <v>30344.425293126722</v>
      </c>
      <c r="BH37" s="40">
        <v>30151.805879968342</v>
      </c>
    </row>
    <row r="38" spans="1:60">
      <c r="A38" s="35" t="s">
        <v>201</v>
      </c>
      <c r="B38" s="36" t="s">
        <v>178</v>
      </c>
      <c r="C38" s="36" t="s">
        <v>178</v>
      </c>
      <c r="D38" s="36" t="s">
        <v>178</v>
      </c>
      <c r="E38" s="36" t="s">
        <v>178</v>
      </c>
      <c r="F38" s="36" t="s">
        <v>178</v>
      </c>
      <c r="G38" s="36" t="s">
        <v>178</v>
      </c>
      <c r="H38" s="36" t="s">
        <v>178</v>
      </c>
      <c r="I38" s="36" t="s">
        <v>178</v>
      </c>
      <c r="J38" s="36" t="s">
        <v>178</v>
      </c>
      <c r="K38" s="36" t="s">
        <v>178</v>
      </c>
      <c r="L38" s="36" t="s">
        <v>178</v>
      </c>
      <c r="M38" s="36" t="s">
        <v>178</v>
      </c>
      <c r="N38" s="36" t="s">
        <v>178</v>
      </c>
      <c r="O38" s="36" t="s">
        <v>178</v>
      </c>
      <c r="P38" s="36" t="s">
        <v>178</v>
      </c>
      <c r="Q38" s="36" t="s">
        <v>178</v>
      </c>
      <c r="R38" s="36" t="s">
        <v>178</v>
      </c>
      <c r="S38" s="36" t="s">
        <v>178</v>
      </c>
      <c r="T38" s="36" t="s">
        <v>178</v>
      </c>
      <c r="U38" s="36" t="s">
        <v>178</v>
      </c>
      <c r="V38" s="36" t="s">
        <v>178</v>
      </c>
      <c r="W38" s="36" t="s">
        <v>178</v>
      </c>
      <c r="X38" s="36" t="s">
        <v>178</v>
      </c>
      <c r="Y38" s="45" t="s">
        <v>178</v>
      </c>
      <c r="Z38" s="36" t="s">
        <v>178</v>
      </c>
      <c r="AA38" s="36" t="s">
        <v>178</v>
      </c>
      <c r="AB38" s="36" t="s">
        <v>178</v>
      </c>
      <c r="AC38" s="36" t="s">
        <v>178</v>
      </c>
      <c r="AD38" s="36" t="s">
        <v>178</v>
      </c>
      <c r="AE38" s="36" t="s">
        <v>178</v>
      </c>
      <c r="AF38" s="36" t="s">
        <v>178</v>
      </c>
      <c r="AG38" s="36" t="s">
        <v>178</v>
      </c>
      <c r="AH38" s="36" t="s">
        <v>178</v>
      </c>
      <c r="AI38" s="36" t="s">
        <v>178</v>
      </c>
      <c r="AJ38" s="36" t="s">
        <v>178</v>
      </c>
      <c r="AK38" s="36" t="s">
        <v>178</v>
      </c>
      <c r="AL38" s="36" t="s">
        <v>178</v>
      </c>
      <c r="AM38" s="36" t="s">
        <v>178</v>
      </c>
      <c r="AN38" s="36" t="s">
        <v>178</v>
      </c>
      <c r="AO38" s="36" t="s">
        <v>178</v>
      </c>
      <c r="AP38" s="36" t="s">
        <v>178</v>
      </c>
      <c r="AQ38" s="36" t="s">
        <v>178</v>
      </c>
      <c r="AR38" s="36" t="s">
        <v>178</v>
      </c>
      <c r="AS38" s="36" t="s">
        <v>178</v>
      </c>
      <c r="AT38" s="36" t="s">
        <v>178</v>
      </c>
      <c r="AU38" s="36" t="s">
        <v>178</v>
      </c>
      <c r="AV38" s="36" t="s">
        <v>178</v>
      </c>
      <c r="AW38" s="36" t="s">
        <v>178</v>
      </c>
      <c r="AX38" s="36" t="s">
        <v>178</v>
      </c>
      <c r="AY38" s="36" t="s">
        <v>178</v>
      </c>
      <c r="AZ38" s="36" t="s">
        <v>178</v>
      </c>
      <c r="BA38" s="36" t="s">
        <v>178</v>
      </c>
      <c r="BB38" s="36" t="s">
        <v>178</v>
      </c>
      <c r="BC38" s="36" t="s">
        <v>178</v>
      </c>
      <c r="BD38" s="36" t="s">
        <v>178</v>
      </c>
      <c r="BE38" s="36" t="s">
        <v>178</v>
      </c>
      <c r="BF38" s="36" t="s">
        <v>178</v>
      </c>
      <c r="BG38" s="36" t="s">
        <v>178</v>
      </c>
      <c r="BH38" s="36" t="s">
        <v>178</v>
      </c>
    </row>
    <row r="39" spans="1:60">
      <c r="A39" s="43" t="s">
        <v>202</v>
      </c>
      <c r="B39" s="36">
        <v>1001.3386153623247</v>
      </c>
      <c r="C39" s="36">
        <v>1044.5579725687915</v>
      </c>
      <c r="D39" s="36">
        <v>1046.2330542598916</v>
      </c>
      <c r="E39" s="36">
        <v>1088.5374195197353</v>
      </c>
      <c r="F39" s="36">
        <v>1120.4879296250801</v>
      </c>
      <c r="G39" s="36">
        <v>1180.8953542829722</v>
      </c>
      <c r="H39" s="36">
        <v>1192.7700428588557</v>
      </c>
      <c r="I39" s="36">
        <v>1269.2134466188736</v>
      </c>
      <c r="J39" s="36">
        <v>1326.3950646009607</v>
      </c>
      <c r="K39" s="36">
        <v>1380.9965958752116</v>
      </c>
      <c r="L39" s="36">
        <v>1450.9147231802572</v>
      </c>
      <c r="M39" s="36">
        <v>1462.9677027499624</v>
      </c>
      <c r="N39" s="36">
        <v>1511.3904025676175</v>
      </c>
      <c r="O39" s="36">
        <v>1562.942632675177</v>
      </c>
      <c r="P39" s="36">
        <v>1616.4727854678279</v>
      </c>
      <c r="Q39" s="36">
        <v>1675.4469424712054</v>
      </c>
      <c r="R39" s="36">
        <v>1738.263985655429</v>
      </c>
      <c r="S39" s="36">
        <v>1803.690201414478</v>
      </c>
      <c r="T39" s="36">
        <v>1868.785103056779</v>
      </c>
      <c r="U39" s="36">
        <v>1932.2530517802925</v>
      </c>
      <c r="V39" s="36">
        <v>2003.536581480826</v>
      </c>
      <c r="W39" s="36">
        <v>2083.621474273476</v>
      </c>
      <c r="X39" s="36">
        <v>2165.2031663649004</v>
      </c>
      <c r="Y39" s="36">
        <v>2273.0489445280245</v>
      </c>
      <c r="Z39" s="36">
        <v>2281.5226957341288</v>
      </c>
      <c r="AA39" s="36">
        <v>2289.4721837960055</v>
      </c>
      <c r="AB39" s="36">
        <v>2298.6362924170003</v>
      </c>
      <c r="AC39" s="36">
        <v>2308.6919862755076</v>
      </c>
      <c r="AD39" s="36">
        <v>2319.3179934452814</v>
      </c>
      <c r="AE39" s="36">
        <v>2330.6254509064102</v>
      </c>
      <c r="AF39" s="36">
        <v>2347.0841213924064</v>
      </c>
      <c r="AG39" s="36">
        <v>2359.6763374177026</v>
      </c>
      <c r="AH39" s="36">
        <v>2372.6509904481672</v>
      </c>
      <c r="AI39" s="36">
        <v>2386.5014616263352</v>
      </c>
      <c r="AJ39" s="36">
        <v>2400.0878768305815</v>
      </c>
      <c r="AK39" s="36">
        <v>2412.6488281122411</v>
      </c>
      <c r="AL39" s="36">
        <v>2427.979149931321</v>
      </c>
      <c r="AM39" s="36">
        <v>2443.2591254138715</v>
      </c>
      <c r="AN39" s="36">
        <v>2458.7291149125576</v>
      </c>
      <c r="AO39" s="36">
        <v>2477.2712671923969</v>
      </c>
      <c r="AP39" s="36">
        <v>2499.4016816897374</v>
      </c>
      <c r="AQ39" s="36">
        <v>1775.8339057994485</v>
      </c>
      <c r="AR39" s="36">
        <v>1631.9865516227576</v>
      </c>
      <c r="AS39" s="36">
        <v>1775.2313483245296</v>
      </c>
      <c r="AT39" s="36">
        <v>1907.3425592524798</v>
      </c>
      <c r="AU39" s="36">
        <v>2146.9797107930676</v>
      </c>
      <c r="AV39" s="36">
        <v>2332.6026352062877</v>
      </c>
      <c r="AW39" s="36">
        <v>2086.5472449560461</v>
      </c>
      <c r="AX39" s="36">
        <v>2342.5213677874631</v>
      </c>
      <c r="AY39" s="36">
        <v>2566.9876290100815</v>
      </c>
      <c r="AZ39" s="36">
        <v>2741.4202766542876</v>
      </c>
      <c r="BA39" s="36">
        <v>2924.935796319588</v>
      </c>
      <c r="BB39" s="36">
        <v>3008.6880772718227</v>
      </c>
      <c r="BC39" s="36">
        <v>3172.7065009717462</v>
      </c>
      <c r="BD39" s="36">
        <v>3342.6352005524695</v>
      </c>
      <c r="BE39" s="36">
        <v>3518.2727907514554</v>
      </c>
      <c r="BF39" s="36">
        <v>3692.7063047669303</v>
      </c>
      <c r="BG39" s="36">
        <v>3904.7105101120028</v>
      </c>
      <c r="BH39" s="36">
        <v>4148.9361702127653</v>
      </c>
    </row>
    <row r="40" spans="1:60">
      <c r="A40" s="43" t="s">
        <v>203</v>
      </c>
      <c r="B40" s="36">
        <v>1651.031110614852</v>
      </c>
      <c r="C40" s="36">
        <v>1988.6334501059691</v>
      </c>
      <c r="D40" s="36">
        <v>1893.2553326987277</v>
      </c>
      <c r="E40" s="36">
        <v>2085.0747706468173</v>
      </c>
      <c r="F40" s="36">
        <v>2024.6960240571887</v>
      </c>
      <c r="G40" s="36">
        <v>2147.7828439777777</v>
      </c>
      <c r="H40" s="36">
        <v>2128.0187899614812</v>
      </c>
      <c r="I40" s="36">
        <v>2330.4066658506044</v>
      </c>
      <c r="J40" s="36">
        <v>2508.1211246233233</v>
      </c>
      <c r="K40" s="36">
        <v>2683.5293537818466</v>
      </c>
      <c r="L40" s="36">
        <v>2911.7125659556132</v>
      </c>
      <c r="M40" s="36">
        <v>3071.9912481030419</v>
      </c>
      <c r="N40" s="36">
        <v>3295.2550004794898</v>
      </c>
      <c r="O40" s="36">
        <v>3418.0020090731882</v>
      </c>
      <c r="P40" s="36">
        <v>3657.3836504553456</v>
      </c>
      <c r="Q40" s="36">
        <v>3849.9588321310489</v>
      </c>
      <c r="R40" s="36">
        <v>4125.2893729859479</v>
      </c>
      <c r="S40" s="36">
        <v>4319.7430627850199</v>
      </c>
      <c r="T40" s="36">
        <v>4368.0324146061503</v>
      </c>
      <c r="U40" s="36">
        <v>4545.7451212077476</v>
      </c>
      <c r="V40" s="36">
        <v>4773.2234535725729</v>
      </c>
      <c r="W40" s="36">
        <v>4901.8286879951411</v>
      </c>
      <c r="X40" s="36">
        <v>5110.1786532713559</v>
      </c>
      <c r="Y40" s="36">
        <v>5284.3709230158156</v>
      </c>
      <c r="Z40" s="36">
        <v>5413.8672948795293</v>
      </c>
      <c r="AA40" s="36">
        <v>5830.8083899640178</v>
      </c>
      <c r="AB40" s="36">
        <v>5981.8544501656979</v>
      </c>
      <c r="AC40" s="36">
        <v>5896.1639438439315</v>
      </c>
      <c r="AD40" s="36">
        <v>6019.2247482427047</v>
      </c>
      <c r="AE40" s="36">
        <v>6244.9966151979261</v>
      </c>
      <c r="AF40" s="36">
        <v>6043.7999070686001</v>
      </c>
      <c r="AG40" s="36">
        <v>6186.450814884457</v>
      </c>
      <c r="AH40" s="36">
        <v>6370.1590419527656</v>
      </c>
      <c r="AI40" s="36">
        <v>6237.074245480675</v>
      </c>
      <c r="AJ40" s="36">
        <v>6430.4107963135984</v>
      </c>
      <c r="AK40" s="36">
        <v>6225.903061650286</v>
      </c>
      <c r="AL40" s="36">
        <v>6379.6629036436079</v>
      </c>
      <c r="AM40" s="36">
        <v>6382.2911674073339</v>
      </c>
      <c r="AN40" s="36">
        <v>6335.1634042622336</v>
      </c>
      <c r="AO40" s="36">
        <v>6216.0785186384564</v>
      </c>
      <c r="AP40" s="36">
        <v>5596.9016513102943</v>
      </c>
      <c r="AQ40" s="36">
        <v>5197.862652364789</v>
      </c>
      <c r="AR40" s="36">
        <v>4881.7823569100728</v>
      </c>
      <c r="AS40" s="36">
        <v>4931.952024453818</v>
      </c>
      <c r="AT40" s="36">
        <v>5073.9418494757419</v>
      </c>
      <c r="AU40" s="36">
        <v>5282.7616553149019</v>
      </c>
      <c r="AV40" s="36">
        <v>4841.7704460934483</v>
      </c>
      <c r="AW40" s="36">
        <v>4624.4454861638869</v>
      </c>
      <c r="AX40" s="36">
        <v>4866.3048551278862</v>
      </c>
      <c r="AY40" s="36">
        <v>5027.7691770610982</v>
      </c>
      <c r="AZ40" s="36">
        <v>5349.9210375815746</v>
      </c>
      <c r="BA40" s="36">
        <v>5626.8999300267815</v>
      </c>
      <c r="BB40" s="36">
        <v>5961.6434441722013</v>
      </c>
      <c r="BC40" s="36">
        <v>6278.1386523571664</v>
      </c>
      <c r="BD40" s="36">
        <v>6755.1453031289157</v>
      </c>
      <c r="BE40" s="36">
        <v>7239.1239658705917</v>
      </c>
      <c r="BF40" s="36">
        <v>7762.782810928692</v>
      </c>
      <c r="BG40" s="36">
        <v>8314.5132679071467</v>
      </c>
      <c r="BH40" s="36">
        <v>8886.3951643161781</v>
      </c>
    </row>
    <row r="41" spans="1:60">
      <c r="A41" s="43" t="s">
        <v>204</v>
      </c>
      <c r="B41" s="36">
        <v>3500.6371254552423</v>
      </c>
      <c r="C41" s="36">
        <v>3523.7293612397266</v>
      </c>
      <c r="D41" s="36">
        <v>3597.6345112118688</v>
      </c>
      <c r="E41" s="36">
        <v>3544.2148811752504</v>
      </c>
      <c r="F41" s="36">
        <v>3651.5657193762127</v>
      </c>
      <c r="G41" s="36">
        <v>3921.8863209652286</v>
      </c>
      <c r="H41" s="36">
        <v>4110.0834492602226</v>
      </c>
      <c r="I41" s="36">
        <v>4319.7646838922028</v>
      </c>
      <c r="J41" s="36">
        <v>4609.9773501683248</v>
      </c>
      <c r="K41" s="36">
        <v>4779.849783765937</v>
      </c>
      <c r="L41" s="36">
        <v>5108.3185113324407</v>
      </c>
      <c r="M41" s="36">
        <v>5263.4838036593837</v>
      </c>
      <c r="N41" s="36">
        <v>5303.6648025998948</v>
      </c>
      <c r="O41" s="36">
        <v>5169.6987305917855</v>
      </c>
      <c r="P41" s="36">
        <v>5372.4531304971269</v>
      </c>
      <c r="Q41" s="36">
        <v>5532.7009828395121</v>
      </c>
      <c r="R41" s="36">
        <v>5740.6161360446149</v>
      </c>
      <c r="S41" s="36">
        <v>5964.2524512814634</v>
      </c>
      <c r="T41" s="36">
        <v>6222.5067512519481</v>
      </c>
      <c r="U41" s="36">
        <v>6353.8937287177614</v>
      </c>
      <c r="V41" s="36">
        <v>6466.3398726428313</v>
      </c>
      <c r="W41" s="36">
        <v>6658.3532345608082</v>
      </c>
      <c r="X41" s="36">
        <v>6858.4152360937042</v>
      </c>
      <c r="Y41" s="36">
        <v>7041.2688925133634</v>
      </c>
      <c r="Z41" s="36">
        <v>7242.8376608826238</v>
      </c>
      <c r="AA41" s="36">
        <v>7399.3287332052132</v>
      </c>
      <c r="AB41" s="36">
        <v>7461.1593775730571</v>
      </c>
      <c r="AC41" s="36">
        <v>7743.5256841828705</v>
      </c>
      <c r="AD41" s="36">
        <v>7786.4329619181417</v>
      </c>
      <c r="AE41" s="36">
        <v>7804.3874686738163</v>
      </c>
      <c r="AF41" s="36">
        <v>7982.0160370616795</v>
      </c>
      <c r="AG41" s="36">
        <v>7912.4679466996167</v>
      </c>
      <c r="AH41" s="36">
        <v>8045.4508072033959</v>
      </c>
      <c r="AI41" s="36">
        <v>8147.2049110608468</v>
      </c>
      <c r="AJ41" s="36">
        <v>8319.4506887387506</v>
      </c>
      <c r="AK41" s="36">
        <v>8367.152164262212</v>
      </c>
      <c r="AL41" s="36">
        <v>8507.2192892625881</v>
      </c>
      <c r="AM41" s="36">
        <v>8533.7139616068616</v>
      </c>
      <c r="AN41" s="36">
        <v>8708.7439087177681</v>
      </c>
      <c r="AO41" s="36">
        <v>8767.7843152566638</v>
      </c>
      <c r="AP41" s="36">
        <v>8512.6440634646642</v>
      </c>
      <c r="AQ41" s="36">
        <v>7438.5990935740892</v>
      </c>
      <c r="AR41" s="36">
        <v>7254.1904642913023</v>
      </c>
      <c r="AS41" s="36">
        <v>7282.4901199443975</v>
      </c>
      <c r="AT41" s="36">
        <v>7516.6729054592306</v>
      </c>
      <c r="AU41" s="36">
        <v>7955.7879004709939</v>
      </c>
      <c r="AV41" s="36">
        <v>8334.281857488746</v>
      </c>
      <c r="AW41" s="36">
        <v>8409.5097757096828</v>
      </c>
      <c r="AX41" s="36">
        <v>8513.6423044559451</v>
      </c>
      <c r="AY41" s="36">
        <v>8595.4003447907417</v>
      </c>
      <c r="AZ41" s="36">
        <v>8833.059527079251</v>
      </c>
      <c r="BA41" s="36">
        <v>9081.8344226832614</v>
      </c>
      <c r="BB41" s="36">
        <v>9310.6580621506728</v>
      </c>
      <c r="BC41" s="36">
        <v>9663.766883444594</v>
      </c>
      <c r="BD41" s="36">
        <v>10127.861046877279</v>
      </c>
      <c r="BE41" s="36">
        <v>10770.71234514517</v>
      </c>
      <c r="BF41" s="36">
        <v>11561.857830954361</v>
      </c>
      <c r="BG41" s="36">
        <v>12432.121823043604</v>
      </c>
      <c r="BH41" s="36">
        <v>12925.484160247324</v>
      </c>
    </row>
    <row r="42" spans="1:60">
      <c r="A42" s="43" t="s">
        <v>205</v>
      </c>
      <c r="B42" s="36">
        <v>2479.9581549760351</v>
      </c>
      <c r="C42" s="36">
        <v>2694.9683713176896</v>
      </c>
      <c r="D42" s="36">
        <v>2761.9895245110079</v>
      </c>
      <c r="E42" s="36">
        <v>2785.5050743421866</v>
      </c>
      <c r="F42" s="36">
        <v>2850.2389601193831</v>
      </c>
      <c r="G42" s="36">
        <v>3070.1694082985514</v>
      </c>
      <c r="H42" s="36">
        <v>2905.7900856537995</v>
      </c>
      <c r="I42" s="36">
        <v>3169.4429592151791</v>
      </c>
      <c r="J42" s="36">
        <v>3367.0270150208003</v>
      </c>
      <c r="K42" s="36">
        <v>3484.1141716753677</v>
      </c>
      <c r="L42" s="36">
        <v>3649.1015883674495</v>
      </c>
      <c r="M42" s="36">
        <v>3816.2280528133033</v>
      </c>
      <c r="N42" s="36">
        <v>3961.8744653587869</v>
      </c>
      <c r="O42" s="36">
        <v>4167.6581556157162</v>
      </c>
      <c r="P42" s="36">
        <v>4388.0141099373413</v>
      </c>
      <c r="Q42" s="36">
        <v>4409.5282119867261</v>
      </c>
      <c r="R42" s="36">
        <v>4646.1488134246947</v>
      </c>
      <c r="S42" s="36">
        <v>4893.9382982060661</v>
      </c>
      <c r="T42" s="36">
        <v>4934.1005182041654</v>
      </c>
      <c r="U42" s="36">
        <v>5062.1609614103145</v>
      </c>
      <c r="V42" s="36">
        <v>5027.9154507628036</v>
      </c>
      <c r="W42" s="36">
        <v>5238.1420853979635</v>
      </c>
      <c r="X42" s="36">
        <v>5335.7640781444516</v>
      </c>
      <c r="Y42" s="36">
        <v>5595.5103329378253</v>
      </c>
      <c r="Z42" s="36">
        <v>5715.8152443853878</v>
      </c>
      <c r="AA42" s="36">
        <v>5804.765780534125</v>
      </c>
      <c r="AB42" s="36">
        <v>5790.6542928825211</v>
      </c>
      <c r="AC42" s="36">
        <v>6126.0974079608905</v>
      </c>
      <c r="AD42" s="36">
        <v>6253.2946659666395</v>
      </c>
      <c r="AE42" s="36">
        <v>6251.0194343467165</v>
      </c>
      <c r="AF42" s="36">
        <v>6306.4550499882362</v>
      </c>
      <c r="AG42" s="36">
        <v>6350.5552146838481</v>
      </c>
      <c r="AH42" s="36">
        <v>6583.2146881559529</v>
      </c>
      <c r="AI42" s="36">
        <v>6525.4122183189838</v>
      </c>
      <c r="AJ42" s="36">
        <v>6709.6146759409194</v>
      </c>
      <c r="AK42" s="36">
        <v>6556.5615123566804</v>
      </c>
      <c r="AL42" s="36">
        <v>6699.2656345465875</v>
      </c>
      <c r="AM42" s="36">
        <v>6814.3511384945614</v>
      </c>
      <c r="AN42" s="36">
        <v>7030.9704018492776</v>
      </c>
      <c r="AO42" s="36">
        <v>6902.9099662465069</v>
      </c>
      <c r="AP42" s="36">
        <v>6458.8110272797267</v>
      </c>
      <c r="AQ42" s="36">
        <v>5694.243807967352</v>
      </c>
      <c r="AR42" s="36">
        <v>5528.3242676396449</v>
      </c>
      <c r="AS42" s="36">
        <v>5506.94333667724</v>
      </c>
      <c r="AT42" s="36">
        <v>5678.2010478917136</v>
      </c>
      <c r="AU42" s="36">
        <v>5772.2049190379266</v>
      </c>
      <c r="AV42" s="36">
        <v>5861.0835206582042</v>
      </c>
      <c r="AW42" s="36">
        <v>6146.0052348328118</v>
      </c>
      <c r="AX42" s="36">
        <v>6464.3207356053836</v>
      </c>
      <c r="AY42" s="36">
        <v>6755.5498933269546</v>
      </c>
      <c r="AZ42" s="36">
        <v>7132.2676937758206</v>
      </c>
      <c r="BA42" s="36">
        <v>7443.5180410599287</v>
      </c>
      <c r="BB42" s="36">
        <v>7789.0074422959997</v>
      </c>
      <c r="BC42" s="36">
        <v>8136.5156901472437</v>
      </c>
      <c r="BD42" s="36">
        <v>8548.424475759728</v>
      </c>
      <c r="BE42" s="36">
        <v>8912.9080273632972</v>
      </c>
      <c r="BF42" s="36">
        <v>9284.2299436127469</v>
      </c>
      <c r="BG42" s="36">
        <v>9419.4438228271538</v>
      </c>
      <c r="BH42" s="36">
        <v>9500.0309639142015</v>
      </c>
    </row>
    <row r="43" spans="1:60">
      <c r="A43" s="43" t="s">
        <v>206</v>
      </c>
      <c r="B43" s="36">
        <v>2446.8926873108153</v>
      </c>
      <c r="C43" s="36">
        <v>2510.2379889085578</v>
      </c>
      <c r="D43" s="36">
        <v>2521.2090182814327</v>
      </c>
      <c r="E43" s="36">
        <v>2617.6495686431499</v>
      </c>
      <c r="F43" s="36">
        <v>2714.7738394029993</v>
      </c>
      <c r="G43" s="36">
        <v>2793.7802046369402</v>
      </c>
      <c r="H43" s="36">
        <v>2863.6985186678035</v>
      </c>
      <c r="I43" s="36">
        <v>2962.2895863971225</v>
      </c>
      <c r="J43" s="36">
        <v>3056.9218642758501</v>
      </c>
      <c r="K43" s="36">
        <v>3096.222511985774</v>
      </c>
      <c r="L43" s="36">
        <v>3214.6655576367243</v>
      </c>
      <c r="M43" s="36">
        <v>3426.2093024688102</v>
      </c>
      <c r="N43" s="36">
        <v>3340.5333034186533</v>
      </c>
      <c r="O43" s="36">
        <v>3502.4080223610385</v>
      </c>
      <c r="P43" s="36">
        <v>3621.887656346928</v>
      </c>
      <c r="Q43" s="36">
        <v>3786.83857666934</v>
      </c>
      <c r="R43" s="36">
        <v>3991.3949032828486</v>
      </c>
      <c r="S43" s="36">
        <v>4102.9039440043307</v>
      </c>
      <c r="T43" s="36">
        <v>4317.4520508967225</v>
      </c>
      <c r="U43" s="36">
        <v>4241.2674788883332</v>
      </c>
      <c r="V43" s="36">
        <v>4427.7957790538194</v>
      </c>
      <c r="W43" s="36">
        <v>4706.9595783641844</v>
      </c>
      <c r="X43" s="36">
        <v>5009.7855339779971</v>
      </c>
      <c r="Y43" s="36">
        <v>5339.5450554775589</v>
      </c>
      <c r="Z43" s="36">
        <v>5600.6080911756108</v>
      </c>
      <c r="AA43" s="36">
        <v>5807.869852216958</v>
      </c>
      <c r="AB43" s="36">
        <v>5895.404427396762</v>
      </c>
      <c r="AC43" s="36">
        <v>5949.3796169458301</v>
      </c>
      <c r="AD43" s="36">
        <v>6110.8467909279161</v>
      </c>
      <c r="AE43" s="36">
        <v>5942.0855097458343</v>
      </c>
      <c r="AF43" s="36">
        <v>5739.8780922095257</v>
      </c>
      <c r="AG43" s="36">
        <v>5385.2411219037613</v>
      </c>
      <c r="AH43" s="36">
        <v>5288.2434001000738</v>
      </c>
      <c r="AI43" s="36">
        <v>5497.5967317168343</v>
      </c>
      <c r="AJ43" s="36">
        <v>5650.4816710137693</v>
      </c>
      <c r="AK43" s="36">
        <v>5660.3989153044467</v>
      </c>
      <c r="AL43" s="36">
        <v>5796.5236151299387</v>
      </c>
      <c r="AM43" s="36">
        <v>5682.9565694571402</v>
      </c>
      <c r="AN43" s="36">
        <v>5789.1460081676087</v>
      </c>
      <c r="AO43" s="36">
        <v>5683.8096246910891</v>
      </c>
      <c r="AP43" s="36">
        <v>5113.4057485887506</v>
      </c>
      <c r="AQ43" s="36">
        <v>4738.0382468352873</v>
      </c>
      <c r="AR43" s="36">
        <v>4842.3282902182609</v>
      </c>
      <c r="AS43" s="36">
        <v>5010.6762261506947</v>
      </c>
      <c r="AT43" s="36">
        <v>5264.856748142548</v>
      </c>
      <c r="AU43" s="36">
        <v>5623.2266487168263</v>
      </c>
      <c r="AV43" s="36">
        <v>5956.1132455906427</v>
      </c>
      <c r="AW43" s="36">
        <v>6356.9962995919832</v>
      </c>
      <c r="AX43" s="36">
        <v>6705.2325138155466</v>
      </c>
      <c r="AY43" s="36">
        <v>7013.5062645835615</v>
      </c>
      <c r="AZ43" s="36">
        <v>7308.8374127041016</v>
      </c>
      <c r="BA43" s="36">
        <v>7399.6133024835826</v>
      </c>
      <c r="BB43" s="36">
        <v>7509.9720457549074</v>
      </c>
      <c r="BC43" s="36">
        <v>7804.2418263748532</v>
      </c>
      <c r="BD43" s="36">
        <v>8225.6438462542355</v>
      </c>
      <c r="BE43" s="36">
        <v>8526.7165420266792</v>
      </c>
      <c r="BF43" s="36">
        <v>9060.3624285096957</v>
      </c>
      <c r="BG43" s="36">
        <v>9681.1274429691639</v>
      </c>
      <c r="BH43" s="36">
        <v>10160.128014309143</v>
      </c>
    </row>
    <row r="44" spans="1:60">
      <c r="A44" s="43" t="s">
        <v>207</v>
      </c>
      <c r="B44" s="36">
        <v>1181.9519614863611</v>
      </c>
      <c r="C44" s="36">
        <v>1255.7094266277938</v>
      </c>
      <c r="D44" s="36">
        <v>1333.0727600721589</v>
      </c>
      <c r="E44" s="36">
        <v>1411.1117706416571</v>
      </c>
      <c r="F44" s="36">
        <v>1496.0680751173709</v>
      </c>
      <c r="G44" s="36">
        <v>1577.9142599315512</v>
      </c>
      <c r="H44" s="36">
        <v>1623.3862253312859</v>
      </c>
      <c r="I44" s="36">
        <v>1671.6839620474736</v>
      </c>
      <c r="J44" s="36">
        <v>1723.5871525549364</v>
      </c>
      <c r="K44" s="36">
        <v>1782.9640680287262</v>
      </c>
      <c r="L44" s="36">
        <v>1843.7188046247886</v>
      </c>
      <c r="M44" s="36">
        <v>1951.0439234606874</v>
      </c>
      <c r="N44" s="36">
        <v>2007.2727317751196</v>
      </c>
      <c r="O44" s="36">
        <v>2136.6106713088539</v>
      </c>
      <c r="P44" s="36">
        <v>2258.2003262898043</v>
      </c>
      <c r="Q44" s="36">
        <v>2386.1219177177018</v>
      </c>
      <c r="R44" s="36">
        <v>2642.9232072973073</v>
      </c>
      <c r="S44" s="36">
        <v>2743.1469035583273</v>
      </c>
      <c r="T44" s="36">
        <v>2739.176162788779</v>
      </c>
      <c r="U44" s="36">
        <v>2823.8737735761088</v>
      </c>
      <c r="V44" s="36">
        <v>2852.9071426682058</v>
      </c>
      <c r="W44" s="36">
        <v>3221.0386259413713</v>
      </c>
      <c r="X44" s="36">
        <v>3396.2200360499137</v>
      </c>
      <c r="Y44" s="36">
        <v>3476.7089260451235</v>
      </c>
      <c r="Z44" s="36">
        <v>3636.8658057080083</v>
      </c>
      <c r="AA44" s="36">
        <v>3761.3704414409162</v>
      </c>
      <c r="AB44" s="36">
        <v>3916.7674542304094</v>
      </c>
      <c r="AC44" s="36">
        <v>3966.3887270994874</v>
      </c>
      <c r="AD44" s="36">
        <v>4062.9512426185279</v>
      </c>
      <c r="AE44" s="36">
        <v>4148.1894920887862</v>
      </c>
      <c r="AF44" s="36">
        <v>4135.4000125773746</v>
      </c>
      <c r="AG44" s="36">
        <v>4086.7727177435286</v>
      </c>
      <c r="AH44" s="36">
        <v>4071.9102023991641</v>
      </c>
      <c r="AI44" s="36">
        <v>4026.5871757043119</v>
      </c>
      <c r="AJ44" s="36">
        <v>4177.9467476735072</v>
      </c>
      <c r="AK44" s="36">
        <v>4158.5937158307988</v>
      </c>
      <c r="AL44" s="36">
        <v>4214.955714450256</v>
      </c>
      <c r="AM44" s="36">
        <v>4110.4698857600506</v>
      </c>
      <c r="AN44" s="36">
        <v>4085.4108563693039</v>
      </c>
      <c r="AO44" s="36">
        <v>3940.6124739924012</v>
      </c>
      <c r="AP44" s="36">
        <v>3510.7667756569867</v>
      </c>
      <c r="AQ44" s="36">
        <v>3063.2882638274045</v>
      </c>
      <c r="AR44" s="36">
        <v>2797.2154221688643</v>
      </c>
      <c r="AS44" s="36">
        <v>2842.7261529290986</v>
      </c>
      <c r="AT44" s="36">
        <v>2957.4708142946652</v>
      </c>
      <c r="AU44" s="36">
        <v>3173.8659303401118</v>
      </c>
      <c r="AV44" s="36">
        <v>3307.142985979654</v>
      </c>
      <c r="AW44" s="36">
        <v>3114.3679202715612</v>
      </c>
      <c r="AX44" s="36">
        <v>2971.0190139426418</v>
      </c>
      <c r="AY44" s="36">
        <v>2939.975647544341</v>
      </c>
      <c r="AZ44" s="36">
        <v>3005.5396223942821</v>
      </c>
      <c r="BA44" s="36">
        <v>3180.237475891126</v>
      </c>
      <c r="BB44" s="36">
        <v>3342.7827541480865</v>
      </c>
      <c r="BC44" s="36">
        <v>3510.3494974107898</v>
      </c>
      <c r="BD44" s="36">
        <v>3812.9679738155414</v>
      </c>
      <c r="BE44" s="36">
        <v>3973.8509358966203</v>
      </c>
      <c r="BF44" s="36">
        <v>4337.6947313145456</v>
      </c>
      <c r="BG44" s="36">
        <v>4564.6320874754483</v>
      </c>
      <c r="BH44" s="36">
        <v>4895.1622930011436</v>
      </c>
    </row>
    <row r="45" spans="1:60">
      <c r="A45" s="43" t="s">
        <v>208</v>
      </c>
      <c r="B45" s="36">
        <v>1550.9826246572377</v>
      </c>
      <c r="C45" s="36">
        <v>1591.1542453024874</v>
      </c>
      <c r="D45" s="36">
        <v>1448.3830064384183</v>
      </c>
      <c r="E45" s="36">
        <v>1642.7445885818688</v>
      </c>
      <c r="F45" s="36">
        <v>1711.9545084279343</v>
      </c>
      <c r="G45" s="36">
        <v>1797.3282151022106</v>
      </c>
      <c r="H45" s="36">
        <v>1741.8058882186308</v>
      </c>
      <c r="I45" s="36">
        <v>2014.4099085839118</v>
      </c>
      <c r="J45" s="36">
        <v>2079.9356514403416</v>
      </c>
      <c r="K45" s="36">
        <v>2313.7449318975741</v>
      </c>
      <c r="L45" s="36">
        <v>2437.03635891883</v>
      </c>
      <c r="M45" s="36">
        <v>2521.5378101042065</v>
      </c>
      <c r="N45" s="36">
        <v>2543.5976922224904</v>
      </c>
      <c r="O45" s="36">
        <v>2781.24614421966</v>
      </c>
      <c r="P45" s="36">
        <v>3019.2034353644708</v>
      </c>
      <c r="Q45" s="36">
        <v>3070.5841632674114</v>
      </c>
      <c r="R45" s="36">
        <v>3205.0575107892992</v>
      </c>
      <c r="S45" s="36">
        <v>3231.9373914670505</v>
      </c>
      <c r="T45" s="36">
        <v>3272.4373976026918</v>
      </c>
      <c r="U45" s="36">
        <v>3609.8251944559574</v>
      </c>
      <c r="V45" s="36">
        <v>3754.519676373533</v>
      </c>
      <c r="W45" s="36">
        <v>4150.8519618975351</v>
      </c>
      <c r="X45" s="36">
        <v>4255.2439754614506</v>
      </c>
      <c r="Y45" s="36">
        <v>4360.5371312295647</v>
      </c>
      <c r="Z45" s="36">
        <v>4879.3511146492738</v>
      </c>
      <c r="AA45" s="36">
        <v>4836.4576832390894</v>
      </c>
      <c r="AB45" s="36">
        <v>4939.1865995482849</v>
      </c>
      <c r="AC45" s="36">
        <v>5249.5306664901736</v>
      </c>
      <c r="AD45" s="36">
        <v>5491.2231130501932</v>
      </c>
      <c r="AE45" s="36">
        <v>5818.5830398537983</v>
      </c>
      <c r="AF45" s="36">
        <v>6063.2935506305057</v>
      </c>
      <c r="AG45" s="36">
        <v>6134.1836553041603</v>
      </c>
      <c r="AH45" s="36">
        <v>6139.4068556455159</v>
      </c>
      <c r="AI45" s="36">
        <v>6157.4954872390499</v>
      </c>
      <c r="AJ45" s="36">
        <v>6278.9309764943482</v>
      </c>
      <c r="AK45" s="36">
        <v>6296.5514241075116</v>
      </c>
      <c r="AL45" s="36">
        <v>6521.6684382243639</v>
      </c>
      <c r="AM45" s="36">
        <v>6418.3640942440561</v>
      </c>
      <c r="AN45" s="36">
        <v>6300.1728061622352</v>
      </c>
      <c r="AO45" s="36">
        <v>6193.1529806312728</v>
      </c>
      <c r="AP45" s="36">
        <v>5646.2026416405979</v>
      </c>
      <c r="AQ45" s="36">
        <v>4879.8913711737459</v>
      </c>
      <c r="AR45" s="36">
        <v>3990.0210017463442</v>
      </c>
      <c r="AS45" s="36">
        <v>3364.8596812233309</v>
      </c>
      <c r="AT45" s="36">
        <v>3506.6110303351356</v>
      </c>
      <c r="AU45" s="36">
        <v>3695.2921267167408</v>
      </c>
      <c r="AV45" s="36">
        <v>4059.0405878340603</v>
      </c>
      <c r="AW45" s="36">
        <v>4466.778769389528</v>
      </c>
      <c r="AX45" s="36">
        <v>4683.0604738095708</v>
      </c>
      <c r="AY45" s="36">
        <v>4608.6992175358082</v>
      </c>
      <c r="AZ45" s="36">
        <v>4825.5515981709086</v>
      </c>
      <c r="BA45" s="36">
        <v>4988.7955009644002</v>
      </c>
      <c r="BB45" s="36">
        <v>5156.6771867263569</v>
      </c>
      <c r="BC45" s="36">
        <v>5306.1797752808989</v>
      </c>
      <c r="BD45" s="36">
        <v>5568.3755080634583</v>
      </c>
      <c r="BE45" s="36">
        <v>5807.8079386519103</v>
      </c>
      <c r="BF45" s="36">
        <v>6123.260869565217</v>
      </c>
      <c r="BG45" s="36">
        <v>6428.9560535000865</v>
      </c>
      <c r="BH45" s="36">
        <v>6685.9970483548923</v>
      </c>
    </row>
    <row r="46" spans="1:60" s="41" customFormat="1" ht="12.75">
      <c r="A46" s="44" t="s">
        <v>209</v>
      </c>
      <c r="B46" s="40">
        <v>2111.2488704083121</v>
      </c>
      <c r="C46" s="40">
        <v>2205.6660142839128</v>
      </c>
      <c r="D46" s="40">
        <v>2207.1919622504024</v>
      </c>
      <c r="E46" s="40">
        <v>2296.2621168474307</v>
      </c>
      <c r="F46" s="40">
        <v>2370.4218187363604</v>
      </c>
      <c r="G46" s="40">
        <v>2495.315708561674</v>
      </c>
      <c r="H46" s="40">
        <v>2521.3855261276581</v>
      </c>
      <c r="I46" s="40">
        <v>2682.0928332059307</v>
      </c>
      <c r="J46" s="40">
        <v>2806.345123742025</v>
      </c>
      <c r="K46" s="40">
        <v>2920.937310076667</v>
      </c>
      <c r="L46" s="40">
        <v>3069.7503864144032</v>
      </c>
      <c r="M46" s="40">
        <v>3218.4218634243907</v>
      </c>
      <c r="N46" s="40">
        <v>3244.4928313969067</v>
      </c>
      <c r="O46" s="40">
        <v>3371.7527618429658</v>
      </c>
      <c r="P46" s="40">
        <v>3542.1806137991725</v>
      </c>
      <c r="Q46" s="40">
        <v>3664.1256703621348</v>
      </c>
      <c r="R46" s="40">
        <v>3870.5764121550446</v>
      </c>
      <c r="S46" s="40">
        <v>3996.4145184943031</v>
      </c>
      <c r="T46" s="40">
        <v>4105.6806666328575</v>
      </c>
      <c r="U46" s="40">
        <v>4199.7087140693047</v>
      </c>
      <c r="V46" s="40">
        <v>4315.1646642169571</v>
      </c>
      <c r="W46" s="40">
        <v>4595.6257594703966</v>
      </c>
      <c r="X46" s="40">
        <v>4790.3571007909213</v>
      </c>
      <c r="Y46" s="40">
        <v>4987.917868512347</v>
      </c>
      <c r="Z46" s="40">
        <v>5239.2008708489784</v>
      </c>
      <c r="AA46" s="40">
        <v>5377.250065074184</v>
      </c>
      <c r="AB46" s="40">
        <v>5469.1051764940539</v>
      </c>
      <c r="AC46" s="40">
        <v>5612.1098310432053</v>
      </c>
      <c r="AD46" s="40">
        <v>5749.4234109436511</v>
      </c>
      <c r="AE46" s="40">
        <v>5792.7819468694515</v>
      </c>
      <c r="AF46" s="40">
        <v>5785.9334334316763</v>
      </c>
      <c r="AG46" s="40">
        <v>5685.3533180342047</v>
      </c>
      <c r="AH46" s="40">
        <v>5703.9891222830456</v>
      </c>
      <c r="AI46" s="40">
        <v>5759.2471328236088</v>
      </c>
      <c r="AJ46" s="40">
        <v>5908.7750857086721</v>
      </c>
      <c r="AK46" s="40">
        <v>5886.6337800858601</v>
      </c>
      <c r="AL46" s="40">
        <v>6021.2301060161235</v>
      </c>
      <c r="AM46" s="40">
        <v>5958.5945642585011</v>
      </c>
      <c r="AN46" s="40">
        <v>5999.5139790397488</v>
      </c>
      <c r="AO46" s="40">
        <v>5904.9482275188166</v>
      </c>
      <c r="AP46" s="40">
        <v>5427.169249428579</v>
      </c>
      <c r="AQ46" s="40">
        <v>4830.7490020772057</v>
      </c>
      <c r="AR46" s="40">
        <v>4582.4003697122134</v>
      </c>
      <c r="AS46" s="40">
        <v>4538.1549530758102</v>
      </c>
      <c r="AT46" s="40">
        <v>4725.7463280240199</v>
      </c>
      <c r="AU46" s="40">
        <v>5001.1228870488831</v>
      </c>
      <c r="AV46" s="40">
        <v>5232.4991534439105</v>
      </c>
      <c r="AW46" s="40">
        <v>5413.4917797576691</v>
      </c>
      <c r="AX46" s="40">
        <v>5602.4014009128823</v>
      </c>
      <c r="AY46" s="40">
        <v>5734.1621089637838</v>
      </c>
      <c r="AZ46" s="40">
        <v>5970.1650848075196</v>
      </c>
      <c r="BA46" s="40">
        <v>6143.1128728772983</v>
      </c>
      <c r="BB46" s="40">
        <v>6321.3953759343976</v>
      </c>
      <c r="BC46" s="40">
        <v>6573.3658820440969</v>
      </c>
      <c r="BD46" s="40">
        <v>6942.1365961757929</v>
      </c>
      <c r="BE46" s="40">
        <v>7261.7210146391462</v>
      </c>
      <c r="BF46" s="40">
        <v>7730.0975696575106</v>
      </c>
      <c r="BG46" s="40">
        <v>8192.8819039008722</v>
      </c>
      <c r="BH46" s="40">
        <v>8568.9675811988236</v>
      </c>
    </row>
    <row r="47" spans="1:60">
      <c r="A47" s="35" t="s">
        <v>210</v>
      </c>
      <c r="B47" s="36" t="s">
        <v>178</v>
      </c>
      <c r="C47" s="36" t="s">
        <v>178</v>
      </c>
      <c r="D47" s="36" t="s">
        <v>178</v>
      </c>
      <c r="E47" s="36" t="s">
        <v>178</v>
      </c>
      <c r="F47" s="36" t="s">
        <v>178</v>
      </c>
      <c r="G47" s="36" t="s">
        <v>178</v>
      </c>
      <c r="H47" s="36" t="s">
        <v>178</v>
      </c>
      <c r="I47" s="36" t="s">
        <v>178</v>
      </c>
      <c r="J47" s="36" t="s">
        <v>178</v>
      </c>
      <c r="K47" s="36" t="s">
        <v>178</v>
      </c>
      <c r="L47" s="36" t="s">
        <v>178</v>
      </c>
      <c r="M47" s="36" t="s">
        <v>178</v>
      </c>
      <c r="N47" s="36" t="s">
        <v>178</v>
      </c>
      <c r="O47" s="36" t="s">
        <v>178</v>
      </c>
      <c r="P47" s="36" t="s">
        <v>178</v>
      </c>
      <c r="Q47" s="36" t="s">
        <v>178</v>
      </c>
      <c r="R47" s="36" t="s">
        <v>178</v>
      </c>
      <c r="S47" s="36" t="s">
        <v>178</v>
      </c>
      <c r="T47" s="36" t="s">
        <v>178</v>
      </c>
      <c r="U47" s="36" t="s">
        <v>178</v>
      </c>
      <c r="V47" s="36" t="s">
        <v>178</v>
      </c>
      <c r="W47" s="36" t="s">
        <v>178</v>
      </c>
      <c r="X47" s="36" t="s">
        <v>178</v>
      </c>
      <c r="Y47" s="36" t="s">
        <v>178</v>
      </c>
      <c r="Z47" s="36" t="s">
        <v>178</v>
      </c>
      <c r="AA47" s="36" t="s">
        <v>178</v>
      </c>
      <c r="AB47" s="36" t="s">
        <v>178</v>
      </c>
      <c r="AC47" s="36" t="s">
        <v>178</v>
      </c>
      <c r="AD47" s="36" t="s">
        <v>178</v>
      </c>
      <c r="AE47" s="36" t="s">
        <v>178</v>
      </c>
      <c r="AF47" s="36" t="s">
        <v>178</v>
      </c>
      <c r="AG47" s="36" t="s">
        <v>178</v>
      </c>
      <c r="AH47" s="36" t="s">
        <v>178</v>
      </c>
      <c r="AI47" s="36" t="s">
        <v>178</v>
      </c>
      <c r="AJ47" s="36" t="s">
        <v>178</v>
      </c>
      <c r="AK47" s="36" t="s">
        <v>178</v>
      </c>
      <c r="AL47" s="36" t="s">
        <v>178</v>
      </c>
      <c r="AM47" s="36" t="s">
        <v>178</v>
      </c>
      <c r="AN47" s="36" t="s">
        <v>178</v>
      </c>
      <c r="AO47" s="36" t="s">
        <v>178</v>
      </c>
      <c r="AP47" s="36" t="s">
        <v>178</v>
      </c>
      <c r="AQ47" s="36" t="s">
        <v>178</v>
      </c>
      <c r="AR47" s="36" t="s">
        <v>178</v>
      </c>
      <c r="AS47" s="36" t="s">
        <v>178</v>
      </c>
      <c r="AT47" s="36" t="s">
        <v>178</v>
      </c>
      <c r="AU47" s="36" t="s">
        <v>178</v>
      </c>
      <c r="AV47" s="36" t="s">
        <v>178</v>
      </c>
      <c r="AW47" s="36" t="s">
        <v>178</v>
      </c>
      <c r="AX47" s="36" t="s">
        <v>178</v>
      </c>
      <c r="AY47" s="36" t="s">
        <v>178</v>
      </c>
      <c r="AZ47" s="36" t="s">
        <v>178</v>
      </c>
      <c r="BA47" s="36" t="s">
        <v>178</v>
      </c>
      <c r="BB47" s="36" t="s">
        <v>178</v>
      </c>
      <c r="BC47" s="36" t="s">
        <v>178</v>
      </c>
      <c r="BD47" s="36" t="s">
        <v>178</v>
      </c>
      <c r="BE47" s="36" t="s">
        <v>178</v>
      </c>
      <c r="BF47" s="36" t="s">
        <v>178</v>
      </c>
      <c r="BG47" s="36" t="s">
        <v>178</v>
      </c>
      <c r="BH47" s="36" t="s">
        <v>178</v>
      </c>
    </row>
    <row r="48" spans="1:60">
      <c r="A48" s="38" t="s">
        <v>211</v>
      </c>
      <c r="B48" s="36" t="s">
        <v>178</v>
      </c>
      <c r="C48" s="36" t="s">
        <v>178</v>
      </c>
      <c r="D48" s="36" t="s">
        <v>178</v>
      </c>
      <c r="E48" s="36" t="s">
        <v>178</v>
      </c>
      <c r="F48" s="36" t="s">
        <v>178</v>
      </c>
      <c r="G48" s="36" t="s">
        <v>178</v>
      </c>
      <c r="H48" s="36" t="s">
        <v>178</v>
      </c>
      <c r="I48" s="36" t="s">
        <v>178</v>
      </c>
      <c r="J48" s="36" t="s">
        <v>178</v>
      </c>
      <c r="K48" s="36" t="s">
        <v>178</v>
      </c>
      <c r="L48" s="36" t="s">
        <v>178</v>
      </c>
      <c r="M48" s="36" t="s">
        <v>178</v>
      </c>
      <c r="N48" s="36" t="s">
        <v>178</v>
      </c>
      <c r="O48" s="36" t="s">
        <v>178</v>
      </c>
      <c r="P48" s="36" t="s">
        <v>178</v>
      </c>
      <c r="Q48" s="36" t="s">
        <v>178</v>
      </c>
      <c r="R48" s="36" t="s">
        <v>178</v>
      </c>
      <c r="S48" s="36" t="s">
        <v>178</v>
      </c>
      <c r="T48" s="36" t="s">
        <v>178</v>
      </c>
      <c r="U48" s="36" t="s">
        <v>178</v>
      </c>
      <c r="V48" s="36" t="s">
        <v>178</v>
      </c>
      <c r="W48" s="36" t="s">
        <v>178</v>
      </c>
      <c r="X48" s="36" t="s">
        <v>178</v>
      </c>
      <c r="Y48" s="36" t="s">
        <v>178</v>
      </c>
      <c r="Z48" s="36" t="s">
        <v>178</v>
      </c>
      <c r="AA48" s="36" t="s">
        <v>178</v>
      </c>
      <c r="AB48" s="36" t="s">
        <v>178</v>
      </c>
      <c r="AC48" s="36" t="s">
        <v>178</v>
      </c>
      <c r="AD48" s="36" t="s">
        <v>178</v>
      </c>
      <c r="AE48" s="36" t="s">
        <v>178</v>
      </c>
      <c r="AF48" s="36" t="s">
        <v>178</v>
      </c>
      <c r="AG48" s="36" t="s">
        <v>178</v>
      </c>
      <c r="AH48" s="36" t="s">
        <v>178</v>
      </c>
      <c r="AI48" s="36" t="s">
        <v>178</v>
      </c>
      <c r="AJ48" s="36" t="s">
        <v>178</v>
      </c>
      <c r="AK48" s="36" t="s">
        <v>178</v>
      </c>
      <c r="AL48" s="36" t="s">
        <v>178</v>
      </c>
      <c r="AM48" s="36" t="s">
        <v>178</v>
      </c>
      <c r="AN48" s="36" t="s">
        <v>178</v>
      </c>
      <c r="AO48" s="36" t="s">
        <v>178</v>
      </c>
      <c r="AP48" s="36">
        <v>3736.7366195215445</v>
      </c>
      <c r="AQ48" s="36">
        <v>3283.5843705878942</v>
      </c>
      <c r="AR48" s="36">
        <v>2475.3213864713289</v>
      </c>
      <c r="AS48" s="36">
        <v>1842.4704223699725</v>
      </c>
      <c r="AT48" s="36">
        <v>1977.2876126524213</v>
      </c>
      <c r="AU48" s="36">
        <v>2138.8745092964064</v>
      </c>
      <c r="AV48" s="36">
        <v>3389.9689482734489</v>
      </c>
      <c r="AW48" s="36">
        <v>4632.6168771832536</v>
      </c>
      <c r="AX48" s="36">
        <v>5103.6807456607903</v>
      </c>
      <c r="AY48" s="36">
        <v>5389.3670409516844</v>
      </c>
      <c r="AZ48" s="36">
        <v>5572.2819598924716</v>
      </c>
      <c r="BA48" s="36">
        <v>5715.6242408088601</v>
      </c>
      <c r="BB48" s="36">
        <v>5850.0890070396063</v>
      </c>
      <c r="BC48" s="36">
        <v>5926.6460918329885</v>
      </c>
      <c r="BD48" s="36">
        <v>6140.0163982298373</v>
      </c>
      <c r="BE48" s="36">
        <v>6257.3157756223127</v>
      </c>
      <c r="BF48" s="36">
        <v>6587.0544763964072</v>
      </c>
      <c r="BG48" s="36">
        <v>6952.9049483348481</v>
      </c>
      <c r="BH48" s="36">
        <v>7274.2363805494615</v>
      </c>
    </row>
    <row r="49" spans="1:60">
      <c r="A49" s="38" t="s">
        <v>212</v>
      </c>
      <c r="B49" s="36" t="s">
        <v>178</v>
      </c>
      <c r="C49" s="36" t="s">
        <v>178</v>
      </c>
      <c r="D49" s="36" t="s">
        <v>178</v>
      </c>
      <c r="E49" s="36" t="s">
        <v>178</v>
      </c>
      <c r="F49" s="36" t="s">
        <v>178</v>
      </c>
      <c r="G49" s="36" t="s">
        <v>178</v>
      </c>
      <c r="H49" s="36" t="s">
        <v>178</v>
      </c>
      <c r="I49" s="36" t="s">
        <v>178</v>
      </c>
      <c r="J49" s="36" t="s">
        <v>178</v>
      </c>
      <c r="K49" s="36" t="s">
        <v>178</v>
      </c>
      <c r="L49" s="36" t="s">
        <v>178</v>
      </c>
      <c r="M49" s="36" t="s">
        <v>178</v>
      </c>
      <c r="N49" s="36" t="s">
        <v>178</v>
      </c>
      <c r="O49" s="36" t="s">
        <v>178</v>
      </c>
      <c r="P49" s="36" t="s">
        <v>178</v>
      </c>
      <c r="Q49" s="36" t="s">
        <v>178</v>
      </c>
      <c r="R49" s="36" t="s">
        <v>178</v>
      </c>
      <c r="S49" s="36" t="s">
        <v>178</v>
      </c>
      <c r="T49" s="36" t="s">
        <v>178</v>
      </c>
      <c r="U49" s="36" t="s">
        <v>178</v>
      </c>
      <c r="V49" s="36" t="s">
        <v>178</v>
      </c>
      <c r="W49" s="36" t="s">
        <v>178</v>
      </c>
      <c r="X49" s="36" t="s">
        <v>178</v>
      </c>
      <c r="Y49" s="36" t="s">
        <v>178</v>
      </c>
      <c r="Z49" s="36" t="s">
        <v>178</v>
      </c>
      <c r="AA49" s="36" t="s">
        <v>178</v>
      </c>
      <c r="AB49" s="36" t="s">
        <v>178</v>
      </c>
      <c r="AC49" s="36" t="s">
        <v>178</v>
      </c>
      <c r="AD49" s="36" t="s">
        <v>178</v>
      </c>
      <c r="AE49" s="36" t="s">
        <v>178</v>
      </c>
      <c r="AF49" s="36" t="s">
        <v>178</v>
      </c>
      <c r="AG49" s="36" t="s">
        <v>178</v>
      </c>
      <c r="AH49" s="36" t="s">
        <v>178</v>
      </c>
      <c r="AI49" s="36" t="s">
        <v>178</v>
      </c>
      <c r="AJ49" s="36" t="s">
        <v>178</v>
      </c>
      <c r="AK49" s="36" t="s">
        <v>178</v>
      </c>
      <c r="AL49" s="36" t="s">
        <v>178</v>
      </c>
      <c r="AM49" s="36" t="s">
        <v>178</v>
      </c>
      <c r="AN49" s="36" t="s">
        <v>178</v>
      </c>
      <c r="AO49" s="36" t="s">
        <v>178</v>
      </c>
      <c r="AP49" s="36">
        <v>7350.5876987729653</v>
      </c>
      <c r="AQ49" s="36">
        <v>5758.3656140179346</v>
      </c>
      <c r="AR49" s="36">
        <v>5137.3929031802991</v>
      </c>
      <c r="AS49" s="36">
        <v>4734.7742216810902</v>
      </c>
      <c r="AT49" s="36">
        <v>4986.204234743549</v>
      </c>
      <c r="AU49" s="36">
        <v>5342.4427081678223</v>
      </c>
      <c r="AV49" s="36">
        <v>5699.0307662012683</v>
      </c>
      <c r="AW49" s="36">
        <v>6113.1797440284518</v>
      </c>
      <c r="AX49" s="36">
        <v>6300.598350869227</v>
      </c>
      <c r="AY49" s="36">
        <v>6260.6231054726222</v>
      </c>
      <c r="AZ49" s="36">
        <v>6438.6072410708039</v>
      </c>
      <c r="BA49" s="36">
        <v>6679.0830738878176</v>
      </c>
      <c r="BB49" s="36">
        <v>6960.6790543806328</v>
      </c>
      <c r="BC49" s="36">
        <v>7232.937092880712</v>
      </c>
      <c r="BD49" s="36">
        <v>7545.4721940977161</v>
      </c>
      <c r="BE49" s="36">
        <v>7864.0469191512975</v>
      </c>
      <c r="BF49" s="36">
        <v>8235.8325236848614</v>
      </c>
      <c r="BG49" s="36">
        <v>8691.584292388332</v>
      </c>
      <c r="BH49" s="36">
        <v>8903.6217620537082</v>
      </c>
    </row>
    <row r="50" spans="1:60">
      <c r="A50" s="38" t="s">
        <v>213</v>
      </c>
      <c r="B50" s="36" t="s">
        <v>178</v>
      </c>
      <c r="C50" s="36" t="s">
        <v>178</v>
      </c>
      <c r="D50" s="36" t="s">
        <v>178</v>
      </c>
      <c r="E50" s="36" t="s">
        <v>178</v>
      </c>
      <c r="F50" s="36" t="s">
        <v>178</v>
      </c>
      <c r="G50" s="36" t="s">
        <v>178</v>
      </c>
      <c r="H50" s="36" t="s">
        <v>178</v>
      </c>
      <c r="I50" s="36" t="s">
        <v>178</v>
      </c>
      <c r="J50" s="36" t="s">
        <v>178</v>
      </c>
      <c r="K50" s="36" t="s">
        <v>178</v>
      </c>
      <c r="L50" s="36" t="s">
        <v>178</v>
      </c>
      <c r="M50" s="36" t="s">
        <v>178</v>
      </c>
      <c r="N50" s="36" t="s">
        <v>178</v>
      </c>
      <c r="O50" s="36" t="s">
        <v>178</v>
      </c>
      <c r="P50" s="36" t="s">
        <v>178</v>
      </c>
      <c r="Q50" s="36" t="s">
        <v>178</v>
      </c>
      <c r="R50" s="36" t="s">
        <v>178</v>
      </c>
      <c r="S50" s="36" t="s">
        <v>178</v>
      </c>
      <c r="T50" s="36" t="s">
        <v>178</v>
      </c>
      <c r="U50" s="36" t="s">
        <v>178</v>
      </c>
      <c r="V50" s="36" t="s">
        <v>178</v>
      </c>
      <c r="W50" s="36" t="s">
        <v>178</v>
      </c>
      <c r="X50" s="36" t="s">
        <v>178</v>
      </c>
      <c r="Y50" s="36" t="s">
        <v>178</v>
      </c>
      <c r="Z50" s="36" t="s">
        <v>178</v>
      </c>
      <c r="AA50" s="36" t="s">
        <v>178</v>
      </c>
      <c r="AB50" s="36" t="s">
        <v>178</v>
      </c>
      <c r="AC50" s="36" t="s">
        <v>178</v>
      </c>
      <c r="AD50" s="36" t="s">
        <v>178</v>
      </c>
      <c r="AE50" s="36" t="s">
        <v>178</v>
      </c>
      <c r="AF50" s="36" t="s">
        <v>178</v>
      </c>
      <c r="AG50" s="36" t="s">
        <v>178</v>
      </c>
      <c r="AH50" s="36" t="s">
        <v>178</v>
      </c>
      <c r="AI50" s="36" t="s">
        <v>178</v>
      </c>
      <c r="AJ50" s="36" t="s">
        <v>178</v>
      </c>
      <c r="AK50" s="36" t="s">
        <v>178</v>
      </c>
      <c r="AL50" s="36" t="s">
        <v>178</v>
      </c>
      <c r="AM50" s="36" t="s">
        <v>178</v>
      </c>
      <c r="AN50" s="36" t="s">
        <v>178</v>
      </c>
      <c r="AO50" s="36" t="s">
        <v>178</v>
      </c>
      <c r="AP50" s="36">
        <v>3972.3621586570257</v>
      </c>
      <c r="AQ50" s="36">
        <v>3713.4094693501665</v>
      </c>
      <c r="AR50" s="36">
        <v>3428.5848674523304</v>
      </c>
      <c r="AS50" s="36">
        <v>3124.7929947542793</v>
      </c>
      <c r="AT50" s="36">
        <v>3040.8414816849731</v>
      </c>
      <c r="AU50" s="36">
        <v>2978.1285861239958</v>
      </c>
      <c r="AV50" s="36">
        <v>2987.7901204239665</v>
      </c>
      <c r="AW50" s="36">
        <v>3008.619463889238</v>
      </c>
      <c r="AX50" s="36">
        <v>3094.3654668937957</v>
      </c>
      <c r="AY50" s="36">
        <v>3212.1133308323306</v>
      </c>
      <c r="AZ50" s="36">
        <v>3340.784171906997</v>
      </c>
      <c r="BA50" s="36">
        <v>3175.6309377825987</v>
      </c>
      <c r="BB50" s="36">
        <v>3193.9019971545163</v>
      </c>
      <c r="BC50" s="36">
        <v>3294.867825237623</v>
      </c>
      <c r="BD50" s="36">
        <v>3421.9162436859247</v>
      </c>
      <c r="BE50" s="36">
        <v>3553.0900197627493</v>
      </c>
      <c r="BF50" s="36">
        <v>3685.8331943465037</v>
      </c>
      <c r="BG50" s="36">
        <v>3893.1570614543889</v>
      </c>
      <c r="BH50" s="36">
        <v>4063.425531760066</v>
      </c>
    </row>
    <row r="51" spans="1:60">
      <c r="A51" s="38" t="s">
        <v>214</v>
      </c>
      <c r="B51" s="36" t="s">
        <v>178</v>
      </c>
      <c r="C51" s="36" t="s">
        <v>178</v>
      </c>
      <c r="D51" s="36" t="s">
        <v>178</v>
      </c>
      <c r="E51" s="36" t="s">
        <v>178</v>
      </c>
      <c r="F51" s="36" t="s">
        <v>178</v>
      </c>
      <c r="G51" s="36" t="s">
        <v>178</v>
      </c>
      <c r="H51" s="36" t="s">
        <v>178</v>
      </c>
      <c r="I51" s="36" t="s">
        <v>178</v>
      </c>
      <c r="J51" s="36" t="s">
        <v>178</v>
      </c>
      <c r="K51" s="36" t="s">
        <v>178</v>
      </c>
      <c r="L51" s="36" t="s">
        <v>178</v>
      </c>
      <c r="M51" s="36" t="s">
        <v>178</v>
      </c>
      <c r="N51" s="36" t="s">
        <v>178</v>
      </c>
      <c r="O51" s="36" t="s">
        <v>178</v>
      </c>
      <c r="P51" s="36" t="s">
        <v>178</v>
      </c>
      <c r="Q51" s="36" t="s">
        <v>178</v>
      </c>
      <c r="R51" s="36" t="s">
        <v>178</v>
      </c>
      <c r="S51" s="36" t="s">
        <v>178</v>
      </c>
      <c r="T51" s="36" t="s">
        <v>178</v>
      </c>
      <c r="U51" s="36" t="s">
        <v>178</v>
      </c>
      <c r="V51" s="36" t="s">
        <v>178</v>
      </c>
      <c r="W51" s="36" t="s">
        <v>178</v>
      </c>
      <c r="X51" s="36" t="s">
        <v>178</v>
      </c>
      <c r="Y51" s="36" t="s">
        <v>178</v>
      </c>
      <c r="Z51" s="36" t="s">
        <v>178</v>
      </c>
      <c r="AA51" s="36" t="s">
        <v>178</v>
      </c>
      <c r="AB51" s="36" t="s">
        <v>178</v>
      </c>
      <c r="AC51" s="36" t="s">
        <v>178</v>
      </c>
      <c r="AD51" s="36" t="s">
        <v>178</v>
      </c>
      <c r="AE51" s="36" t="s">
        <v>178</v>
      </c>
      <c r="AF51" s="36" t="s">
        <v>178</v>
      </c>
      <c r="AG51" s="36" t="s">
        <v>178</v>
      </c>
      <c r="AH51" s="36" t="s">
        <v>178</v>
      </c>
      <c r="AI51" s="36" t="s">
        <v>178</v>
      </c>
      <c r="AJ51" s="36" t="s">
        <v>178</v>
      </c>
      <c r="AK51" s="36" t="s">
        <v>178</v>
      </c>
      <c r="AL51" s="36" t="s">
        <v>178</v>
      </c>
      <c r="AM51" s="36" t="s">
        <v>178</v>
      </c>
      <c r="AN51" s="36" t="s">
        <v>178</v>
      </c>
      <c r="AO51" s="36" t="s">
        <v>178</v>
      </c>
      <c r="AP51" s="36">
        <v>10859.728506787331</v>
      </c>
      <c r="AQ51" s="36">
        <v>9852.2935963350465</v>
      </c>
      <c r="AR51" s="36">
        <v>9311.6748515663676</v>
      </c>
      <c r="AS51" s="36">
        <v>9568.9747007839287</v>
      </c>
      <c r="AT51" s="36">
        <v>10070.541002862677</v>
      </c>
      <c r="AU51" s="36">
        <v>10474.058520650409</v>
      </c>
      <c r="AV51" s="36">
        <v>10826.248591660918</v>
      </c>
      <c r="AW51" s="36">
        <v>11322.315537263912</v>
      </c>
      <c r="AX51" s="36">
        <v>11734.61481456858</v>
      </c>
      <c r="AY51" s="36">
        <v>12398.868941891329</v>
      </c>
      <c r="AZ51" s="36">
        <v>12876.632549159367</v>
      </c>
      <c r="BA51" s="36">
        <v>13220.211730661465</v>
      </c>
      <c r="BB51" s="36">
        <v>13654.319748492084</v>
      </c>
      <c r="BC51" s="36">
        <v>14225.758329189459</v>
      </c>
      <c r="BD51" s="36">
        <v>14854.785522848182</v>
      </c>
      <c r="BE51" s="36">
        <v>15496.72562367297</v>
      </c>
      <c r="BF51" s="36">
        <v>16417.066307458364</v>
      </c>
      <c r="BG51" s="36">
        <v>17542.907908194371</v>
      </c>
      <c r="BH51" s="36">
        <v>18170.443853721972</v>
      </c>
    </row>
    <row r="52" spans="1:60">
      <c r="A52" s="38" t="s">
        <v>215</v>
      </c>
      <c r="B52" s="36" t="s">
        <v>178</v>
      </c>
      <c r="C52" s="36" t="s">
        <v>178</v>
      </c>
      <c r="D52" s="36" t="s">
        <v>178</v>
      </c>
      <c r="E52" s="36" t="s">
        <v>178</v>
      </c>
      <c r="F52" s="36" t="s">
        <v>178</v>
      </c>
      <c r="G52" s="36" t="s">
        <v>178</v>
      </c>
      <c r="H52" s="36" t="s">
        <v>178</v>
      </c>
      <c r="I52" s="36" t="s">
        <v>178</v>
      </c>
      <c r="J52" s="36" t="s">
        <v>178</v>
      </c>
      <c r="K52" s="36" t="s">
        <v>178</v>
      </c>
      <c r="L52" s="36" t="s">
        <v>178</v>
      </c>
      <c r="M52" s="36" t="s">
        <v>178</v>
      </c>
      <c r="N52" s="36" t="s">
        <v>178</v>
      </c>
      <c r="O52" s="36" t="s">
        <v>178</v>
      </c>
      <c r="P52" s="36" t="s">
        <v>178</v>
      </c>
      <c r="Q52" s="36" t="s">
        <v>178</v>
      </c>
      <c r="R52" s="36" t="s">
        <v>178</v>
      </c>
      <c r="S52" s="36" t="s">
        <v>178</v>
      </c>
      <c r="T52" s="36" t="s">
        <v>178</v>
      </c>
      <c r="U52" s="36" t="s">
        <v>178</v>
      </c>
      <c r="V52" s="36" t="s">
        <v>178</v>
      </c>
      <c r="W52" s="36" t="s">
        <v>178</v>
      </c>
      <c r="X52" s="36" t="s">
        <v>178</v>
      </c>
      <c r="Y52" s="36" t="s">
        <v>178</v>
      </c>
      <c r="Z52" s="36" t="s">
        <v>178</v>
      </c>
      <c r="AA52" s="36" t="s">
        <v>178</v>
      </c>
      <c r="AB52" s="36" t="s">
        <v>178</v>
      </c>
      <c r="AC52" s="36" t="s">
        <v>178</v>
      </c>
      <c r="AD52" s="36" t="s">
        <v>178</v>
      </c>
      <c r="AE52" s="36" t="s">
        <v>178</v>
      </c>
      <c r="AF52" s="36" t="s">
        <v>178</v>
      </c>
      <c r="AG52" s="36" t="s">
        <v>178</v>
      </c>
      <c r="AH52" s="36" t="s">
        <v>178</v>
      </c>
      <c r="AI52" s="36" t="s">
        <v>178</v>
      </c>
      <c r="AJ52" s="36" t="s">
        <v>178</v>
      </c>
      <c r="AK52" s="36" t="s">
        <v>178</v>
      </c>
      <c r="AL52" s="36" t="s">
        <v>178</v>
      </c>
      <c r="AM52" s="36" t="s">
        <v>178</v>
      </c>
      <c r="AN52" s="36" t="s">
        <v>178</v>
      </c>
      <c r="AO52" s="36" t="s">
        <v>178</v>
      </c>
      <c r="AP52" s="36">
        <v>5010.8493793373082</v>
      </c>
      <c r="AQ52" s="36">
        <v>4425.6976562500004</v>
      </c>
      <c r="AR52" s="36">
        <v>3182.8465638028451</v>
      </c>
      <c r="AS52" s="36">
        <v>2193.7684247800526</v>
      </c>
      <c r="AT52" s="36">
        <v>2239.0542394998743</v>
      </c>
      <c r="AU52" s="36">
        <v>2366.4915705398957</v>
      </c>
      <c r="AV52" s="36">
        <v>2491.7267754415248</v>
      </c>
      <c r="AW52" s="36">
        <v>2670.4930042365791</v>
      </c>
      <c r="AX52" s="36">
        <v>2771.9275830790884</v>
      </c>
      <c r="AY52" s="36">
        <v>2322.3907252524691</v>
      </c>
      <c r="AZ52" s="36">
        <v>2501.3082991253077</v>
      </c>
      <c r="BA52" s="36">
        <v>2649.7050770357951</v>
      </c>
      <c r="BB52" s="36">
        <v>2748.7437986483092</v>
      </c>
      <c r="BC52" s="36">
        <v>2791.0912805077483</v>
      </c>
      <c r="BD52" s="36">
        <v>2997.4967457695002</v>
      </c>
      <c r="BE52" s="36">
        <v>3188.6035313001603</v>
      </c>
      <c r="BF52" s="36">
        <v>3380.593262946204</v>
      </c>
      <c r="BG52" s="36">
        <v>3437.430674599173</v>
      </c>
      <c r="BH52" s="36">
        <v>3620.2083544047737</v>
      </c>
    </row>
    <row r="53" spans="1:60" s="41" customFormat="1" ht="12.75">
      <c r="A53" s="44" t="s">
        <v>216</v>
      </c>
      <c r="B53" s="40" t="s">
        <v>178</v>
      </c>
      <c r="C53" s="40" t="s">
        <v>178</v>
      </c>
      <c r="D53" s="40" t="s">
        <v>178</v>
      </c>
      <c r="E53" s="40" t="s">
        <v>178</v>
      </c>
      <c r="F53" s="40" t="s">
        <v>178</v>
      </c>
      <c r="G53" s="40" t="s">
        <v>178</v>
      </c>
      <c r="H53" s="40" t="s">
        <v>178</v>
      </c>
      <c r="I53" s="40" t="s">
        <v>178</v>
      </c>
      <c r="J53" s="40" t="s">
        <v>178</v>
      </c>
      <c r="K53" s="40" t="s">
        <v>178</v>
      </c>
      <c r="L53" s="40" t="s">
        <v>178</v>
      </c>
      <c r="M53" s="40" t="s">
        <v>178</v>
      </c>
      <c r="N53" s="40" t="s">
        <v>178</v>
      </c>
      <c r="O53" s="40" t="s">
        <v>178</v>
      </c>
      <c r="P53" s="40" t="s">
        <v>178</v>
      </c>
      <c r="Q53" s="40" t="s">
        <v>178</v>
      </c>
      <c r="R53" s="40" t="s">
        <v>178</v>
      </c>
      <c r="S53" s="40" t="s">
        <v>178</v>
      </c>
      <c r="T53" s="40" t="s">
        <v>178</v>
      </c>
      <c r="U53" s="40" t="s">
        <v>178</v>
      </c>
      <c r="V53" s="40" t="s">
        <v>178</v>
      </c>
      <c r="W53" s="40" t="s">
        <v>178</v>
      </c>
      <c r="X53" s="40" t="s">
        <v>178</v>
      </c>
      <c r="Y53" s="40" t="s">
        <v>178</v>
      </c>
      <c r="Z53" s="40" t="s">
        <v>178</v>
      </c>
      <c r="AA53" s="40" t="s">
        <v>178</v>
      </c>
      <c r="AB53" s="40" t="s">
        <v>178</v>
      </c>
      <c r="AC53" s="40" t="s">
        <v>178</v>
      </c>
      <c r="AD53" s="40" t="s">
        <v>178</v>
      </c>
      <c r="AE53" s="40" t="s">
        <v>178</v>
      </c>
      <c r="AF53" s="40" t="s">
        <v>178</v>
      </c>
      <c r="AG53" s="40" t="s">
        <v>178</v>
      </c>
      <c r="AH53" s="40" t="s">
        <v>178</v>
      </c>
      <c r="AI53" s="40" t="s">
        <v>178</v>
      </c>
      <c r="AJ53" s="40" t="s">
        <v>178</v>
      </c>
      <c r="AK53" s="40" t="s">
        <v>178</v>
      </c>
      <c r="AL53" s="40" t="s">
        <v>178</v>
      </c>
      <c r="AM53" s="40" t="s">
        <v>178</v>
      </c>
      <c r="AN53" s="40" t="s">
        <v>178</v>
      </c>
      <c r="AO53" s="40" t="s">
        <v>178</v>
      </c>
      <c r="AP53" s="40">
        <v>5646.3096016243626</v>
      </c>
      <c r="AQ53" s="40">
        <v>4879.8412987666015</v>
      </c>
      <c r="AR53" s="40">
        <v>3990.0917276682571</v>
      </c>
      <c r="AS53" s="40">
        <v>3364.9233692196863</v>
      </c>
      <c r="AT53" s="40">
        <v>3506.5737643517218</v>
      </c>
      <c r="AU53" s="40">
        <v>3695.2921267167408</v>
      </c>
      <c r="AV53" s="40">
        <v>4059.0304862561011</v>
      </c>
      <c r="AW53" s="40">
        <v>4466.7654807572635</v>
      </c>
      <c r="AX53" s="40">
        <v>4683.0498993145357</v>
      </c>
      <c r="AY53" s="40">
        <v>4608.7658719732453</v>
      </c>
      <c r="AZ53" s="40">
        <v>4825.4752721746891</v>
      </c>
      <c r="BA53" s="40">
        <v>4988.6863596419171</v>
      </c>
      <c r="BB53" s="40">
        <v>5156.5912776293089</v>
      </c>
      <c r="BC53" s="40">
        <v>5306.1578660517534</v>
      </c>
      <c r="BD53" s="40">
        <v>5568.3711275433643</v>
      </c>
      <c r="BE53" s="40">
        <v>5807.8762636308293</v>
      </c>
      <c r="BF53" s="40">
        <v>6123.3604407306457</v>
      </c>
      <c r="BG53" s="40">
        <v>6429.0481842062181</v>
      </c>
      <c r="BH53" s="40">
        <v>6686.0321646797429</v>
      </c>
    </row>
    <row r="54" spans="1:60">
      <c r="A54" s="38" t="s">
        <v>217</v>
      </c>
      <c r="B54" s="36" t="s">
        <v>178</v>
      </c>
      <c r="C54" s="36" t="s">
        <v>178</v>
      </c>
      <c r="D54" s="36" t="s">
        <v>178</v>
      </c>
      <c r="E54" s="36" t="s">
        <v>178</v>
      </c>
      <c r="F54" s="36" t="s">
        <v>178</v>
      </c>
      <c r="G54" s="36" t="s">
        <v>178</v>
      </c>
      <c r="H54" s="36" t="s">
        <v>178</v>
      </c>
      <c r="I54" s="36" t="s">
        <v>178</v>
      </c>
      <c r="J54" s="36" t="s">
        <v>178</v>
      </c>
      <c r="K54" s="36" t="s">
        <v>178</v>
      </c>
      <c r="L54" s="36" t="s">
        <v>178</v>
      </c>
      <c r="M54" s="36" t="s">
        <v>178</v>
      </c>
      <c r="N54" s="36" t="s">
        <v>178</v>
      </c>
      <c r="O54" s="36" t="s">
        <v>178</v>
      </c>
      <c r="P54" s="36" t="s">
        <v>178</v>
      </c>
      <c r="Q54" s="36" t="s">
        <v>178</v>
      </c>
      <c r="R54" s="36" t="s">
        <v>178</v>
      </c>
      <c r="S54" s="36" t="s">
        <v>178</v>
      </c>
      <c r="T54" s="36" t="s">
        <v>178</v>
      </c>
      <c r="U54" s="36" t="s">
        <v>178</v>
      </c>
      <c r="V54" s="36" t="s">
        <v>178</v>
      </c>
      <c r="W54" s="36" t="s">
        <v>178</v>
      </c>
      <c r="X54" s="36" t="s">
        <v>178</v>
      </c>
      <c r="Y54" s="36" t="s">
        <v>178</v>
      </c>
      <c r="Z54" s="36" t="s">
        <v>178</v>
      </c>
      <c r="AA54" s="36" t="s">
        <v>178</v>
      </c>
      <c r="AB54" s="36" t="s">
        <v>178</v>
      </c>
      <c r="AC54" s="36" t="s">
        <v>178</v>
      </c>
      <c r="AD54" s="36" t="s">
        <v>178</v>
      </c>
      <c r="AE54" s="36" t="s">
        <v>178</v>
      </c>
      <c r="AF54" s="36" t="s">
        <v>178</v>
      </c>
      <c r="AG54" s="36" t="s">
        <v>178</v>
      </c>
      <c r="AH54" s="36" t="s">
        <v>178</v>
      </c>
      <c r="AI54" s="36" t="s">
        <v>178</v>
      </c>
      <c r="AJ54" s="36" t="s">
        <v>178</v>
      </c>
      <c r="AK54" s="36" t="s">
        <v>178</v>
      </c>
      <c r="AL54" s="36" t="s">
        <v>178</v>
      </c>
      <c r="AM54" s="36" t="s">
        <v>178</v>
      </c>
      <c r="AN54" s="36" t="s">
        <v>178</v>
      </c>
      <c r="AO54" s="36" t="s">
        <v>178</v>
      </c>
      <c r="AP54" s="36">
        <v>8895.2786717201216</v>
      </c>
      <c r="AQ54" s="36">
        <v>7865.42062882972</v>
      </c>
      <c r="AR54" s="36">
        <v>7817.5801188979194</v>
      </c>
      <c r="AS54" s="36">
        <v>7814.2897915633203</v>
      </c>
      <c r="AT54" s="36">
        <v>7984.8422404416806</v>
      </c>
      <c r="AU54" s="36">
        <v>8464.140076205651</v>
      </c>
      <c r="AV54" s="36">
        <v>8826.4327486810362</v>
      </c>
      <c r="AW54" s="36">
        <v>8771.7092389268273</v>
      </c>
      <c r="AX54" s="36">
        <v>8703.376141500652</v>
      </c>
      <c r="AY54" s="36">
        <v>8825.209358824859</v>
      </c>
      <c r="AZ54" s="36">
        <v>9155.5820920635069</v>
      </c>
      <c r="BA54" s="36">
        <v>9400.9066966222399</v>
      </c>
      <c r="BB54" s="36">
        <v>9573.3400804091525</v>
      </c>
      <c r="BC54" s="36">
        <v>9923.7280885431956</v>
      </c>
      <c r="BD54" s="36">
        <v>10376.356920600052</v>
      </c>
      <c r="BE54" s="36">
        <v>11035.49234469841</v>
      </c>
      <c r="BF54" s="36">
        <v>11792.441078584196</v>
      </c>
      <c r="BG54" s="36">
        <v>12520.012232195859</v>
      </c>
      <c r="BH54" s="36">
        <v>12867.93320086634</v>
      </c>
    </row>
    <row r="55" spans="1:60">
      <c r="A55" s="38" t="s">
        <v>218</v>
      </c>
      <c r="B55" s="36" t="s">
        <v>178</v>
      </c>
      <c r="C55" s="36" t="s">
        <v>178</v>
      </c>
      <c r="D55" s="36" t="s">
        <v>178</v>
      </c>
      <c r="E55" s="36" t="s">
        <v>178</v>
      </c>
      <c r="F55" s="36" t="s">
        <v>178</v>
      </c>
      <c r="G55" s="36" t="s">
        <v>178</v>
      </c>
      <c r="H55" s="36" t="s">
        <v>178</v>
      </c>
      <c r="I55" s="36" t="s">
        <v>178</v>
      </c>
      <c r="J55" s="36" t="s">
        <v>178</v>
      </c>
      <c r="K55" s="36" t="s">
        <v>178</v>
      </c>
      <c r="L55" s="36" t="s">
        <v>178</v>
      </c>
      <c r="M55" s="36" t="s">
        <v>178</v>
      </c>
      <c r="N55" s="36" t="s">
        <v>178</v>
      </c>
      <c r="O55" s="36" t="s">
        <v>178</v>
      </c>
      <c r="P55" s="36" t="s">
        <v>178</v>
      </c>
      <c r="Q55" s="36" t="s">
        <v>178</v>
      </c>
      <c r="R55" s="36" t="s">
        <v>178</v>
      </c>
      <c r="S55" s="36" t="s">
        <v>178</v>
      </c>
      <c r="T55" s="36" t="s">
        <v>178</v>
      </c>
      <c r="U55" s="36" t="s">
        <v>178</v>
      </c>
      <c r="V55" s="36" t="s">
        <v>178</v>
      </c>
      <c r="W55" s="36" t="s">
        <v>178</v>
      </c>
      <c r="X55" s="36" t="s">
        <v>178</v>
      </c>
      <c r="Y55" s="36" t="s">
        <v>178</v>
      </c>
      <c r="Z55" s="36" t="s">
        <v>178</v>
      </c>
      <c r="AA55" s="36" t="s">
        <v>178</v>
      </c>
      <c r="AB55" s="36" t="s">
        <v>178</v>
      </c>
      <c r="AC55" s="36" t="s">
        <v>178</v>
      </c>
      <c r="AD55" s="36" t="s">
        <v>178</v>
      </c>
      <c r="AE55" s="36" t="s">
        <v>178</v>
      </c>
      <c r="AF55" s="36" t="s">
        <v>178</v>
      </c>
      <c r="AG55" s="36" t="s">
        <v>178</v>
      </c>
      <c r="AH55" s="36" t="s">
        <v>178</v>
      </c>
      <c r="AI55" s="36" t="s">
        <v>178</v>
      </c>
      <c r="AJ55" s="36" t="s">
        <v>178</v>
      </c>
      <c r="AK55" s="36" t="s">
        <v>178</v>
      </c>
      <c r="AL55" s="36" t="s">
        <v>178</v>
      </c>
      <c r="AM55" s="36" t="s">
        <v>178</v>
      </c>
      <c r="AN55" s="36" t="s">
        <v>178</v>
      </c>
      <c r="AO55" s="36" t="s">
        <v>178</v>
      </c>
      <c r="AP55" s="36">
        <v>7763.059284583941</v>
      </c>
      <c r="AQ55" s="36">
        <v>6605.8107281681159</v>
      </c>
      <c r="AR55" s="36">
        <v>6158.2292094421</v>
      </c>
      <c r="AS55" s="36">
        <v>6250.9291581710504</v>
      </c>
      <c r="AT55" s="36">
        <v>6611.8969246453789</v>
      </c>
      <c r="AU55" s="36">
        <v>6976.9481296090635</v>
      </c>
      <c r="AV55" s="36">
        <v>7389.7833516920364</v>
      </c>
      <c r="AW55" s="36">
        <v>7716.4197487253241</v>
      </c>
      <c r="AX55" s="36">
        <v>8151.4056156353836</v>
      </c>
      <c r="AY55" s="36">
        <v>8157.5480207623095</v>
      </c>
      <c r="AZ55" s="36">
        <v>8219.6980919649195</v>
      </c>
      <c r="BA55" s="36">
        <v>8475.985909251629</v>
      </c>
      <c r="BB55" s="36">
        <v>8812.6694530847399</v>
      </c>
      <c r="BC55" s="36">
        <v>9171.7644504492455</v>
      </c>
      <c r="BD55" s="36">
        <v>9658.4037774401968</v>
      </c>
      <c r="BE55" s="36">
        <v>10271.454881583129</v>
      </c>
      <c r="BF55" s="36">
        <v>11127.967396691723</v>
      </c>
      <c r="BG55" s="36">
        <v>12267.090493954844</v>
      </c>
      <c r="BH55" s="36">
        <v>13033.308055659274</v>
      </c>
    </row>
    <row r="56" spans="1:60" s="41" customFormat="1" ht="12.75">
      <c r="A56" s="44" t="s">
        <v>219</v>
      </c>
      <c r="B56" s="40" t="s">
        <v>178</v>
      </c>
      <c r="C56" s="40" t="s">
        <v>178</v>
      </c>
      <c r="D56" s="40" t="s">
        <v>178</v>
      </c>
      <c r="E56" s="40" t="s">
        <v>178</v>
      </c>
      <c r="F56" s="40" t="s">
        <v>178</v>
      </c>
      <c r="G56" s="40" t="s">
        <v>178</v>
      </c>
      <c r="H56" s="40" t="s">
        <v>178</v>
      </c>
      <c r="I56" s="40" t="s">
        <v>178</v>
      </c>
      <c r="J56" s="40" t="s">
        <v>178</v>
      </c>
      <c r="K56" s="40" t="s">
        <v>178</v>
      </c>
      <c r="L56" s="40" t="s">
        <v>178</v>
      </c>
      <c r="M56" s="40" t="s">
        <v>178</v>
      </c>
      <c r="N56" s="40" t="s">
        <v>178</v>
      </c>
      <c r="O56" s="40" t="s">
        <v>178</v>
      </c>
      <c r="P56" s="40" t="s">
        <v>178</v>
      </c>
      <c r="Q56" s="40" t="s">
        <v>178</v>
      </c>
      <c r="R56" s="40" t="s">
        <v>178</v>
      </c>
      <c r="S56" s="40" t="s">
        <v>178</v>
      </c>
      <c r="T56" s="40" t="s">
        <v>178</v>
      </c>
      <c r="U56" s="40" t="s">
        <v>178</v>
      </c>
      <c r="V56" s="40" t="s">
        <v>178</v>
      </c>
      <c r="W56" s="40" t="s">
        <v>178</v>
      </c>
      <c r="X56" s="40" t="s">
        <v>178</v>
      </c>
      <c r="Y56" s="40" t="s">
        <v>178</v>
      </c>
      <c r="Z56" s="40" t="s">
        <v>178</v>
      </c>
      <c r="AA56" s="40" t="s">
        <v>178</v>
      </c>
      <c r="AB56" s="40" t="s">
        <v>178</v>
      </c>
      <c r="AC56" s="40" t="s">
        <v>178</v>
      </c>
      <c r="AD56" s="40" t="s">
        <v>178</v>
      </c>
      <c r="AE56" s="40" t="s">
        <v>178</v>
      </c>
      <c r="AF56" s="40" t="s">
        <v>178</v>
      </c>
      <c r="AG56" s="40" t="s">
        <v>178</v>
      </c>
      <c r="AH56" s="40" t="s">
        <v>178</v>
      </c>
      <c r="AI56" s="40" t="s">
        <v>178</v>
      </c>
      <c r="AJ56" s="40" t="s">
        <v>178</v>
      </c>
      <c r="AK56" s="40" t="s">
        <v>178</v>
      </c>
      <c r="AL56" s="40" t="s">
        <v>178</v>
      </c>
      <c r="AM56" s="40" t="s">
        <v>178</v>
      </c>
      <c r="AN56" s="40" t="s">
        <v>178</v>
      </c>
      <c r="AO56" s="40" t="s">
        <v>178</v>
      </c>
      <c r="AP56" s="40">
        <v>8512.6440634646642</v>
      </c>
      <c r="AQ56" s="40">
        <v>7438.5990935740892</v>
      </c>
      <c r="AR56" s="40">
        <v>7254.1904642913023</v>
      </c>
      <c r="AS56" s="40">
        <v>7282.4901199443984</v>
      </c>
      <c r="AT56" s="40">
        <v>7516.6729054592306</v>
      </c>
      <c r="AU56" s="40">
        <v>7955.7879004709948</v>
      </c>
      <c r="AV56" s="40">
        <v>8334.281857488746</v>
      </c>
      <c r="AW56" s="40">
        <v>8409.5097757096828</v>
      </c>
      <c r="AX56" s="40">
        <v>8513.6423044559433</v>
      </c>
      <c r="AY56" s="40">
        <v>8595.4003447907417</v>
      </c>
      <c r="AZ56" s="40">
        <v>8833.059527079251</v>
      </c>
      <c r="BA56" s="40">
        <v>9081.8344226832596</v>
      </c>
      <c r="BB56" s="40">
        <v>9310.6580621506728</v>
      </c>
      <c r="BC56" s="40">
        <v>9663.766883444594</v>
      </c>
      <c r="BD56" s="40">
        <v>10127.861046877279</v>
      </c>
      <c r="BE56" s="40">
        <v>10770.71234514517</v>
      </c>
      <c r="BF56" s="40">
        <v>11561.857830954361</v>
      </c>
      <c r="BG56" s="40">
        <v>12432.121823043604</v>
      </c>
      <c r="BH56" s="40">
        <v>12925.484160247324</v>
      </c>
    </row>
    <row r="57" spans="1:60">
      <c r="A57" s="35" t="s">
        <v>220</v>
      </c>
      <c r="B57" s="36" t="s">
        <v>178</v>
      </c>
      <c r="C57" s="36" t="s">
        <v>178</v>
      </c>
      <c r="D57" s="36" t="s">
        <v>178</v>
      </c>
      <c r="E57" s="36" t="s">
        <v>178</v>
      </c>
      <c r="F57" s="36" t="s">
        <v>178</v>
      </c>
      <c r="G57" s="36" t="s">
        <v>178</v>
      </c>
      <c r="H57" s="36" t="s">
        <v>178</v>
      </c>
      <c r="I57" s="36" t="s">
        <v>178</v>
      </c>
      <c r="J57" s="36" t="s">
        <v>178</v>
      </c>
      <c r="K57" s="36" t="s">
        <v>178</v>
      </c>
      <c r="L57" s="36" t="s">
        <v>178</v>
      </c>
      <c r="M57" s="36" t="s">
        <v>178</v>
      </c>
      <c r="N57" s="36" t="s">
        <v>178</v>
      </c>
      <c r="O57" s="36" t="s">
        <v>178</v>
      </c>
      <c r="P57" s="36" t="s">
        <v>178</v>
      </c>
      <c r="Q57" s="36" t="s">
        <v>178</v>
      </c>
      <c r="R57" s="36" t="s">
        <v>178</v>
      </c>
      <c r="S57" s="36" t="s">
        <v>178</v>
      </c>
      <c r="T57" s="36" t="s">
        <v>178</v>
      </c>
      <c r="U57" s="36" t="s">
        <v>178</v>
      </c>
      <c r="V57" s="36" t="s">
        <v>178</v>
      </c>
      <c r="W57" s="36" t="s">
        <v>178</v>
      </c>
      <c r="X57" s="36" t="s">
        <v>178</v>
      </c>
      <c r="Y57" s="36" t="s">
        <v>178</v>
      </c>
      <c r="Z57" s="36" t="s">
        <v>178</v>
      </c>
      <c r="AA57" s="36" t="s">
        <v>178</v>
      </c>
      <c r="AB57" s="36" t="s">
        <v>178</v>
      </c>
      <c r="AC57" s="36" t="s">
        <v>178</v>
      </c>
      <c r="AD57" s="36" t="s">
        <v>178</v>
      </c>
      <c r="AE57" s="36" t="s">
        <v>178</v>
      </c>
      <c r="AF57" s="36" t="s">
        <v>178</v>
      </c>
      <c r="AG57" s="36" t="s">
        <v>178</v>
      </c>
      <c r="AH57" s="36" t="s">
        <v>178</v>
      </c>
      <c r="AI57" s="36" t="s">
        <v>178</v>
      </c>
      <c r="AJ57" s="36" t="s">
        <v>178</v>
      </c>
      <c r="AK57" s="36" t="s">
        <v>178</v>
      </c>
      <c r="AL57" s="36" t="s">
        <v>178</v>
      </c>
      <c r="AM57" s="36" t="s">
        <v>178</v>
      </c>
      <c r="AN57" s="36" t="s">
        <v>178</v>
      </c>
      <c r="AO57" s="36" t="s">
        <v>178</v>
      </c>
      <c r="AP57" s="36" t="s">
        <v>178</v>
      </c>
      <c r="AQ57" s="36" t="s">
        <v>178</v>
      </c>
      <c r="AR57" s="36" t="s">
        <v>178</v>
      </c>
      <c r="AS57" s="36" t="s">
        <v>178</v>
      </c>
      <c r="AT57" s="36" t="s">
        <v>178</v>
      </c>
      <c r="AU57" s="36" t="s">
        <v>178</v>
      </c>
      <c r="AV57" s="36" t="s">
        <v>178</v>
      </c>
      <c r="AW57" s="36" t="s">
        <v>178</v>
      </c>
      <c r="AX57" s="36" t="s">
        <v>178</v>
      </c>
      <c r="AY57" s="36" t="s">
        <v>178</v>
      </c>
      <c r="AZ57" s="36" t="s">
        <v>178</v>
      </c>
      <c r="BA57" s="36" t="s">
        <v>178</v>
      </c>
      <c r="BB57" s="36" t="s">
        <v>178</v>
      </c>
      <c r="BC57" s="36" t="s">
        <v>178</v>
      </c>
      <c r="BD57" s="36" t="s">
        <v>178</v>
      </c>
      <c r="BE57" s="36" t="s">
        <v>178</v>
      </c>
      <c r="BF57" s="36" t="s">
        <v>178</v>
      </c>
      <c r="BG57" s="36" t="s">
        <v>178</v>
      </c>
      <c r="BH57" s="36" t="s">
        <v>178</v>
      </c>
    </row>
    <row r="58" spans="1:60">
      <c r="A58" s="43" t="s">
        <v>221</v>
      </c>
      <c r="B58" s="36" t="s">
        <v>178</v>
      </c>
      <c r="C58" s="36" t="s">
        <v>178</v>
      </c>
      <c r="D58" s="36" t="s">
        <v>178</v>
      </c>
      <c r="E58" s="36" t="s">
        <v>178</v>
      </c>
      <c r="F58" s="36" t="s">
        <v>178</v>
      </c>
      <c r="G58" s="36" t="s">
        <v>178</v>
      </c>
      <c r="H58" s="36" t="s">
        <v>178</v>
      </c>
      <c r="I58" s="36" t="s">
        <v>178</v>
      </c>
      <c r="J58" s="36" t="s">
        <v>178</v>
      </c>
      <c r="K58" s="36" t="s">
        <v>178</v>
      </c>
      <c r="L58" s="36" t="s">
        <v>178</v>
      </c>
      <c r="M58" s="36" t="s">
        <v>178</v>
      </c>
      <c r="N58" s="36" t="s">
        <v>178</v>
      </c>
      <c r="O58" s="36" t="s">
        <v>178</v>
      </c>
      <c r="P58" s="36" t="s">
        <v>178</v>
      </c>
      <c r="Q58" s="36" t="s">
        <v>178</v>
      </c>
      <c r="R58" s="36" t="s">
        <v>178</v>
      </c>
      <c r="S58" s="36" t="s">
        <v>178</v>
      </c>
      <c r="T58" s="36" t="s">
        <v>178</v>
      </c>
      <c r="U58" s="36" t="s">
        <v>178</v>
      </c>
      <c r="V58" s="36" t="s">
        <v>178</v>
      </c>
      <c r="W58" s="36" t="s">
        <v>178</v>
      </c>
      <c r="X58" s="36" t="s">
        <v>178</v>
      </c>
      <c r="Y58" s="36">
        <v>6152.2368067491416</v>
      </c>
      <c r="Z58" s="36" t="s">
        <v>178</v>
      </c>
      <c r="AA58" s="36" t="s">
        <v>178</v>
      </c>
      <c r="AB58" s="36" t="s">
        <v>178</v>
      </c>
      <c r="AC58" s="36" t="s">
        <v>178</v>
      </c>
      <c r="AD58" s="36" t="s">
        <v>178</v>
      </c>
      <c r="AE58" s="36" t="s">
        <v>178</v>
      </c>
      <c r="AF58" s="36" t="s">
        <v>178</v>
      </c>
      <c r="AG58" s="36" t="s">
        <v>178</v>
      </c>
      <c r="AH58" s="36" t="s">
        <v>178</v>
      </c>
      <c r="AI58" s="36" t="s">
        <v>178</v>
      </c>
      <c r="AJ58" s="36" t="s">
        <v>178</v>
      </c>
      <c r="AK58" s="36" t="s">
        <v>178</v>
      </c>
      <c r="AL58" s="36" t="s">
        <v>178</v>
      </c>
      <c r="AM58" s="36" t="s">
        <v>178</v>
      </c>
      <c r="AN58" s="36" t="s">
        <v>178</v>
      </c>
      <c r="AO58" s="36" t="s">
        <v>178</v>
      </c>
      <c r="AP58" s="36">
        <v>6065.8324802037914</v>
      </c>
      <c r="AQ58" s="36">
        <v>5261.5562160525205</v>
      </c>
      <c r="AR58" s="36">
        <v>3115.8393295387577</v>
      </c>
      <c r="AS58" s="36">
        <v>2970.6981366258506</v>
      </c>
      <c r="AT58" s="36">
        <v>3236.7612753021199</v>
      </c>
      <c r="AU58" s="36">
        <v>3524.7535503215977</v>
      </c>
      <c r="AV58" s="36">
        <v>3739.2402384474831</v>
      </c>
      <c r="AW58" s="36">
        <v>3868.1847843469659</v>
      </c>
      <c r="AX58" s="36">
        <v>4163.9743820011099</v>
      </c>
      <c r="AY58" s="36">
        <v>4303.5407317149347</v>
      </c>
      <c r="AZ58" s="36">
        <v>4565.035008812205</v>
      </c>
      <c r="BA58" s="36">
        <v>5028.0106035737026</v>
      </c>
      <c r="BB58" s="36">
        <v>5813.6856875192971</v>
      </c>
      <c r="BC58" s="36">
        <v>6648.4938797629393</v>
      </c>
      <c r="BD58" s="36">
        <v>7371.8977321352158</v>
      </c>
      <c r="BE58" s="36">
        <v>8420.3179183775283</v>
      </c>
      <c r="BF58" s="36">
        <v>9552.9053491969426</v>
      </c>
      <c r="BG58" s="36">
        <v>10878.804704457119</v>
      </c>
      <c r="BH58" s="36">
        <v>11630.453017025615</v>
      </c>
    </row>
    <row r="59" spans="1:60">
      <c r="A59" s="43" t="s">
        <v>222</v>
      </c>
      <c r="B59" s="36" t="s">
        <v>178</v>
      </c>
      <c r="C59" s="36" t="s">
        <v>178</v>
      </c>
      <c r="D59" s="36" t="s">
        <v>178</v>
      </c>
      <c r="E59" s="36" t="s">
        <v>178</v>
      </c>
      <c r="F59" s="36" t="s">
        <v>178</v>
      </c>
      <c r="G59" s="36" t="s">
        <v>178</v>
      </c>
      <c r="H59" s="36" t="s">
        <v>178</v>
      </c>
      <c r="I59" s="36" t="s">
        <v>178</v>
      </c>
      <c r="J59" s="36" t="s">
        <v>178</v>
      </c>
      <c r="K59" s="36" t="s">
        <v>178</v>
      </c>
      <c r="L59" s="36" t="s">
        <v>178</v>
      </c>
      <c r="M59" s="36" t="s">
        <v>178</v>
      </c>
      <c r="N59" s="36" t="s">
        <v>178</v>
      </c>
      <c r="O59" s="36" t="s">
        <v>178</v>
      </c>
      <c r="P59" s="36" t="s">
        <v>178</v>
      </c>
      <c r="Q59" s="36" t="s">
        <v>178</v>
      </c>
      <c r="R59" s="36" t="s">
        <v>178</v>
      </c>
      <c r="S59" s="36" t="s">
        <v>178</v>
      </c>
      <c r="T59" s="36" t="s">
        <v>178</v>
      </c>
      <c r="U59" s="36" t="s">
        <v>178</v>
      </c>
      <c r="V59" s="36" t="s">
        <v>178</v>
      </c>
      <c r="W59" s="36" t="s">
        <v>178</v>
      </c>
      <c r="X59" s="36" t="s">
        <v>178</v>
      </c>
      <c r="Y59" s="36">
        <v>4434.1582611435097</v>
      </c>
      <c r="Z59" s="36" t="s">
        <v>178</v>
      </c>
      <c r="AA59" s="36" t="s">
        <v>178</v>
      </c>
      <c r="AB59" s="36" t="s">
        <v>178</v>
      </c>
      <c r="AC59" s="36" t="s">
        <v>178</v>
      </c>
      <c r="AD59" s="36" t="s">
        <v>178</v>
      </c>
      <c r="AE59" s="36" t="s">
        <v>178</v>
      </c>
      <c r="AF59" s="36" t="s">
        <v>178</v>
      </c>
      <c r="AG59" s="36" t="s">
        <v>178</v>
      </c>
      <c r="AH59" s="36" t="s">
        <v>178</v>
      </c>
      <c r="AI59" s="36" t="s">
        <v>178</v>
      </c>
      <c r="AJ59" s="36" t="s">
        <v>178</v>
      </c>
      <c r="AK59" s="36" t="s">
        <v>178</v>
      </c>
      <c r="AL59" s="36" t="s">
        <v>178</v>
      </c>
      <c r="AM59" s="36" t="s">
        <v>178</v>
      </c>
      <c r="AN59" s="36" t="s">
        <v>178</v>
      </c>
      <c r="AO59" s="36" t="s">
        <v>178</v>
      </c>
      <c r="AP59" s="36">
        <v>4638.5765901955019</v>
      </c>
      <c r="AQ59" s="36">
        <v>4506.4847125968199</v>
      </c>
      <c r="AR59" s="36">
        <v>3441.256610001341</v>
      </c>
      <c r="AS59" s="36">
        <v>2638.1914085172411</v>
      </c>
      <c r="AT59" s="36">
        <v>2114.7932407173289</v>
      </c>
      <c r="AU59" s="36">
        <v>1850.4342884385928</v>
      </c>
      <c r="AV59" s="36">
        <v>1856.5510556885897</v>
      </c>
      <c r="AW59" s="36">
        <v>1951.4397235028041</v>
      </c>
      <c r="AX59" s="36">
        <v>2133.2474264509428</v>
      </c>
      <c r="AY59" s="36">
        <v>2278.4268719784041</v>
      </c>
      <c r="AZ59" s="36">
        <v>2518.3660247525477</v>
      </c>
      <c r="BA59" s="36">
        <v>2754.2814318509768</v>
      </c>
      <c r="BB59" s="36">
        <v>3031.939131618783</v>
      </c>
      <c r="BC59" s="36">
        <v>3354.4970497747254</v>
      </c>
      <c r="BD59" s="36">
        <v>3720.3815261044174</v>
      </c>
      <c r="BE59" s="36">
        <v>4596.6816367265474</v>
      </c>
      <c r="BF59" s="36">
        <v>5961.5670716588147</v>
      </c>
      <c r="BG59" s="36">
        <v>7307.6354679802953</v>
      </c>
      <c r="BH59" s="36">
        <v>8097.4565908535096</v>
      </c>
    </row>
    <row r="60" spans="1:60">
      <c r="A60" s="43" t="s">
        <v>223</v>
      </c>
      <c r="B60" s="36" t="s">
        <v>178</v>
      </c>
      <c r="C60" s="36" t="s">
        <v>178</v>
      </c>
      <c r="D60" s="36" t="s">
        <v>178</v>
      </c>
      <c r="E60" s="36" t="s">
        <v>178</v>
      </c>
      <c r="F60" s="36" t="s">
        <v>178</v>
      </c>
      <c r="G60" s="36" t="s">
        <v>178</v>
      </c>
      <c r="H60" s="36" t="s">
        <v>178</v>
      </c>
      <c r="I60" s="36" t="s">
        <v>178</v>
      </c>
      <c r="J60" s="36" t="s">
        <v>178</v>
      </c>
      <c r="K60" s="36" t="s">
        <v>178</v>
      </c>
      <c r="L60" s="36" t="s">
        <v>178</v>
      </c>
      <c r="M60" s="36" t="s">
        <v>178</v>
      </c>
      <c r="N60" s="36" t="s">
        <v>178</v>
      </c>
      <c r="O60" s="36" t="s">
        <v>178</v>
      </c>
      <c r="P60" s="36" t="s">
        <v>178</v>
      </c>
      <c r="Q60" s="36" t="s">
        <v>178</v>
      </c>
      <c r="R60" s="36" t="s">
        <v>178</v>
      </c>
      <c r="S60" s="36" t="s">
        <v>178</v>
      </c>
      <c r="T60" s="36" t="s">
        <v>178</v>
      </c>
      <c r="U60" s="36" t="s">
        <v>178</v>
      </c>
      <c r="V60" s="36" t="s">
        <v>178</v>
      </c>
      <c r="W60" s="36" t="s">
        <v>178</v>
      </c>
      <c r="X60" s="36" t="s">
        <v>178</v>
      </c>
      <c r="Y60" s="36">
        <v>5232.8461159112276</v>
      </c>
      <c r="Z60" s="36" t="s">
        <v>178</v>
      </c>
      <c r="AA60" s="36" t="s">
        <v>178</v>
      </c>
      <c r="AB60" s="36" t="s">
        <v>178</v>
      </c>
      <c r="AC60" s="36" t="s">
        <v>178</v>
      </c>
      <c r="AD60" s="36" t="s">
        <v>178</v>
      </c>
      <c r="AE60" s="36" t="s">
        <v>178</v>
      </c>
      <c r="AF60" s="36" t="s">
        <v>178</v>
      </c>
      <c r="AG60" s="36" t="s">
        <v>178</v>
      </c>
      <c r="AH60" s="36" t="s">
        <v>178</v>
      </c>
      <c r="AI60" s="36" t="s">
        <v>178</v>
      </c>
      <c r="AJ60" s="36" t="s">
        <v>178</v>
      </c>
      <c r="AK60" s="36" t="s">
        <v>178</v>
      </c>
      <c r="AL60" s="36" t="s">
        <v>178</v>
      </c>
      <c r="AM60" s="36" t="s">
        <v>178</v>
      </c>
      <c r="AN60" s="36" t="s">
        <v>178</v>
      </c>
      <c r="AO60" s="36" t="s">
        <v>178</v>
      </c>
      <c r="AP60" s="36">
        <v>7194.294676992452</v>
      </c>
      <c r="AQ60" s="36">
        <v>7090.7941205291509</v>
      </c>
      <c r="AR60" s="36">
        <v>6395.6633570590548</v>
      </c>
      <c r="AS60" s="36">
        <v>5896.9089375594167</v>
      </c>
      <c r="AT60" s="36">
        <v>5213.0737025411099</v>
      </c>
      <c r="AU60" s="36">
        <v>4686.0184140801402</v>
      </c>
      <c r="AV60" s="36">
        <v>4833.3301364002646</v>
      </c>
      <c r="AW60" s="36">
        <v>5406.6559493042141</v>
      </c>
      <c r="AX60" s="36">
        <v>5882.3023812707679</v>
      </c>
      <c r="AY60" s="36">
        <v>6099.222802391223</v>
      </c>
      <c r="AZ60" s="36">
        <v>6472.2710607628705</v>
      </c>
      <c r="BA60" s="36">
        <v>6799.5077911408289</v>
      </c>
      <c r="BB60" s="36">
        <v>7171.756083071693</v>
      </c>
      <c r="BC60" s="36">
        <v>7698.0999868605013</v>
      </c>
      <c r="BD60" s="36">
        <v>8618.4050324675318</v>
      </c>
      <c r="BE60" s="36">
        <v>9473.7485982261187</v>
      </c>
      <c r="BF60" s="36">
        <v>10466.926070038911</v>
      </c>
      <c r="BG60" s="36">
        <v>11415.012853470436</v>
      </c>
      <c r="BH60" s="36">
        <v>12607.061738591781</v>
      </c>
    </row>
    <row r="61" spans="1:60">
      <c r="A61" s="43" t="s">
        <v>224</v>
      </c>
      <c r="B61" s="36" t="s">
        <v>178</v>
      </c>
      <c r="C61" s="36" t="s">
        <v>178</v>
      </c>
      <c r="D61" s="36" t="s">
        <v>178</v>
      </c>
      <c r="E61" s="36" t="s">
        <v>178</v>
      </c>
      <c r="F61" s="36" t="s">
        <v>178</v>
      </c>
      <c r="G61" s="36" t="s">
        <v>178</v>
      </c>
      <c r="H61" s="36" t="s">
        <v>178</v>
      </c>
      <c r="I61" s="36" t="s">
        <v>178</v>
      </c>
      <c r="J61" s="36" t="s">
        <v>178</v>
      </c>
      <c r="K61" s="36" t="s">
        <v>178</v>
      </c>
      <c r="L61" s="36" t="s">
        <v>178</v>
      </c>
      <c r="M61" s="36" t="s">
        <v>178</v>
      </c>
      <c r="N61" s="36" t="s">
        <v>178</v>
      </c>
      <c r="O61" s="36" t="s">
        <v>178</v>
      </c>
      <c r="P61" s="36" t="s">
        <v>178</v>
      </c>
      <c r="Q61" s="36" t="s">
        <v>178</v>
      </c>
      <c r="R61" s="36" t="s">
        <v>178</v>
      </c>
      <c r="S61" s="36" t="s">
        <v>178</v>
      </c>
      <c r="T61" s="36" t="s">
        <v>178</v>
      </c>
      <c r="U61" s="36" t="s">
        <v>178</v>
      </c>
      <c r="V61" s="36" t="s">
        <v>178</v>
      </c>
      <c r="W61" s="36" t="s">
        <v>178</v>
      </c>
      <c r="X61" s="36" t="s">
        <v>178</v>
      </c>
      <c r="Y61" s="36">
        <v>8657.278379627398</v>
      </c>
      <c r="Z61" s="36" t="s">
        <v>178</v>
      </c>
      <c r="AA61" s="36" t="s">
        <v>178</v>
      </c>
      <c r="AB61" s="36" t="s">
        <v>178</v>
      </c>
      <c r="AC61" s="36" t="s">
        <v>178</v>
      </c>
      <c r="AD61" s="36" t="s">
        <v>178</v>
      </c>
      <c r="AE61" s="36" t="s">
        <v>178</v>
      </c>
      <c r="AF61" s="36" t="s">
        <v>178</v>
      </c>
      <c r="AG61" s="36" t="s">
        <v>178</v>
      </c>
      <c r="AH61" s="36" t="s">
        <v>178</v>
      </c>
      <c r="AI61" s="36" t="s">
        <v>178</v>
      </c>
      <c r="AJ61" s="36" t="s">
        <v>178</v>
      </c>
      <c r="AK61" s="36" t="s">
        <v>178</v>
      </c>
      <c r="AL61" s="36" t="s">
        <v>178</v>
      </c>
      <c r="AM61" s="36" t="s">
        <v>178</v>
      </c>
      <c r="AN61" s="36" t="s">
        <v>178</v>
      </c>
      <c r="AO61" s="36" t="s">
        <v>178</v>
      </c>
      <c r="AP61" s="36">
        <v>10819.959192568511</v>
      </c>
      <c r="AQ61" s="36">
        <v>9798.9993248039336</v>
      </c>
      <c r="AR61" s="36">
        <v>8587.1061643275552</v>
      </c>
      <c r="AS61" s="36">
        <v>8053.6498424997271</v>
      </c>
      <c r="AT61" s="36">
        <v>8053.8045127918567</v>
      </c>
      <c r="AU61" s="36">
        <v>8538.5613265701049</v>
      </c>
      <c r="AV61" s="36">
        <v>9039.5444036306217</v>
      </c>
      <c r="AW61" s="36">
        <v>10091.004040580849</v>
      </c>
      <c r="AX61" s="36">
        <v>10709.53698264523</v>
      </c>
      <c r="AY61" s="36">
        <v>10785.172133960781</v>
      </c>
      <c r="AZ61" s="36">
        <v>11710.009373274901</v>
      </c>
      <c r="BA61" s="36">
        <v>12549.049990927939</v>
      </c>
      <c r="BB61" s="36">
        <v>13550.113949182038</v>
      </c>
      <c r="BC61" s="36">
        <v>14340.277493898546</v>
      </c>
      <c r="BD61" s="36">
        <v>15635.807474896845</v>
      </c>
      <c r="BE61" s="36">
        <v>17218.186306027565</v>
      </c>
      <c r="BF61" s="36">
        <v>19062.426142065477</v>
      </c>
      <c r="BG61" s="36">
        <v>20565.96489734876</v>
      </c>
      <c r="BH61" s="36">
        <v>19950.979080073874</v>
      </c>
    </row>
    <row r="62" spans="1:60">
      <c r="A62" s="43" t="s">
        <v>225</v>
      </c>
      <c r="B62" s="36" t="s">
        <v>178</v>
      </c>
      <c r="C62" s="36" t="s">
        <v>178</v>
      </c>
      <c r="D62" s="36" t="s">
        <v>178</v>
      </c>
      <c r="E62" s="36" t="s">
        <v>178</v>
      </c>
      <c r="F62" s="36" t="s">
        <v>178</v>
      </c>
      <c r="G62" s="36" t="s">
        <v>178</v>
      </c>
      <c r="H62" s="36" t="s">
        <v>178</v>
      </c>
      <c r="I62" s="36" t="s">
        <v>178</v>
      </c>
      <c r="J62" s="36" t="s">
        <v>178</v>
      </c>
      <c r="K62" s="36" t="s">
        <v>178</v>
      </c>
      <c r="L62" s="36" t="s">
        <v>178</v>
      </c>
      <c r="M62" s="36" t="s">
        <v>178</v>
      </c>
      <c r="N62" s="36" t="s">
        <v>178</v>
      </c>
      <c r="O62" s="36" t="s">
        <v>178</v>
      </c>
      <c r="P62" s="36" t="s">
        <v>178</v>
      </c>
      <c r="Q62" s="36" t="s">
        <v>178</v>
      </c>
      <c r="R62" s="36" t="s">
        <v>178</v>
      </c>
      <c r="S62" s="36" t="s">
        <v>178</v>
      </c>
      <c r="T62" s="36" t="s">
        <v>178</v>
      </c>
      <c r="U62" s="36" t="s">
        <v>178</v>
      </c>
      <c r="V62" s="36" t="s">
        <v>178</v>
      </c>
      <c r="W62" s="36" t="s">
        <v>178</v>
      </c>
      <c r="X62" s="36" t="s">
        <v>178</v>
      </c>
      <c r="Y62" s="36">
        <v>5932.0119771646441</v>
      </c>
      <c r="Z62" s="36" t="s">
        <v>178</v>
      </c>
      <c r="AA62" s="36" t="s">
        <v>178</v>
      </c>
      <c r="AB62" s="36" t="s">
        <v>178</v>
      </c>
      <c r="AC62" s="36" t="s">
        <v>178</v>
      </c>
      <c r="AD62" s="36" t="s">
        <v>178</v>
      </c>
      <c r="AE62" s="36" t="s">
        <v>178</v>
      </c>
      <c r="AF62" s="36" t="s">
        <v>178</v>
      </c>
      <c r="AG62" s="36" t="s">
        <v>178</v>
      </c>
      <c r="AH62" s="36" t="s">
        <v>178</v>
      </c>
      <c r="AI62" s="36" t="s">
        <v>178</v>
      </c>
      <c r="AJ62" s="36" t="s">
        <v>178</v>
      </c>
      <c r="AK62" s="36" t="s">
        <v>178</v>
      </c>
      <c r="AL62" s="36" t="s">
        <v>178</v>
      </c>
      <c r="AM62" s="36" t="s">
        <v>178</v>
      </c>
      <c r="AN62" s="36" t="s">
        <v>178</v>
      </c>
      <c r="AO62" s="36" t="s">
        <v>178</v>
      </c>
      <c r="AP62" s="36">
        <v>7615.8170891748132</v>
      </c>
      <c r="AQ62" s="36">
        <v>6015.5879277275417</v>
      </c>
      <c r="AR62" s="36">
        <v>3354.7375641165222</v>
      </c>
      <c r="AS62" s="36">
        <v>2420.4642080892709</v>
      </c>
      <c r="AT62" s="36">
        <v>2222.4413575795547</v>
      </c>
      <c r="AU62" s="36">
        <v>2329.2853883735793</v>
      </c>
      <c r="AV62" s="36">
        <v>2631.3071490282314</v>
      </c>
      <c r="AW62" s="36">
        <v>2938.0166733693313</v>
      </c>
      <c r="AX62" s="36">
        <v>3050.9495551239997</v>
      </c>
      <c r="AY62" s="36">
        <v>3160.8283046784159</v>
      </c>
      <c r="AZ62" s="36">
        <v>3243.6268745154116</v>
      </c>
      <c r="BA62" s="36">
        <v>3421.5561673512725</v>
      </c>
      <c r="BB62" s="36">
        <v>3623.3360497654712</v>
      </c>
      <c r="BC62" s="36">
        <v>4040.4255774622147</v>
      </c>
      <c r="BD62" s="36">
        <v>4294.3041723158522</v>
      </c>
      <c r="BE62" s="36">
        <v>4723.1357756155612</v>
      </c>
      <c r="BF62" s="36">
        <v>5184.8417871346674</v>
      </c>
      <c r="BG62" s="36">
        <v>5842.4413415144154</v>
      </c>
      <c r="BH62" s="36">
        <v>5984.0102478145982</v>
      </c>
    </row>
    <row r="63" spans="1:60">
      <c r="A63" s="43" t="s">
        <v>111</v>
      </c>
      <c r="B63" s="36" t="s">
        <v>178</v>
      </c>
      <c r="C63" s="36" t="s">
        <v>178</v>
      </c>
      <c r="D63" s="36" t="s">
        <v>178</v>
      </c>
      <c r="E63" s="36" t="s">
        <v>178</v>
      </c>
      <c r="F63" s="36" t="s">
        <v>178</v>
      </c>
      <c r="G63" s="36" t="s">
        <v>178</v>
      </c>
      <c r="H63" s="36" t="s">
        <v>178</v>
      </c>
      <c r="I63" s="36" t="s">
        <v>178</v>
      </c>
      <c r="J63" s="36" t="s">
        <v>178</v>
      </c>
      <c r="K63" s="36" t="s">
        <v>178</v>
      </c>
      <c r="L63" s="36" t="s">
        <v>178</v>
      </c>
      <c r="M63" s="36" t="s">
        <v>178</v>
      </c>
      <c r="N63" s="36" t="s">
        <v>178</v>
      </c>
      <c r="O63" s="36" t="s">
        <v>178</v>
      </c>
      <c r="P63" s="36" t="s">
        <v>178</v>
      </c>
      <c r="Q63" s="36" t="s">
        <v>178</v>
      </c>
      <c r="R63" s="36" t="s">
        <v>178</v>
      </c>
      <c r="S63" s="36" t="s">
        <v>178</v>
      </c>
      <c r="T63" s="36" t="s">
        <v>178</v>
      </c>
      <c r="U63" s="36" t="s">
        <v>178</v>
      </c>
      <c r="V63" s="36" t="s">
        <v>178</v>
      </c>
      <c r="W63" s="36" t="s">
        <v>178</v>
      </c>
      <c r="X63" s="36" t="s">
        <v>178</v>
      </c>
      <c r="Y63" s="36">
        <v>7624.8893255039256</v>
      </c>
      <c r="Z63" s="36" t="s">
        <v>178</v>
      </c>
      <c r="AA63" s="36" t="s">
        <v>178</v>
      </c>
      <c r="AB63" s="36" t="s">
        <v>178</v>
      </c>
      <c r="AC63" s="36" t="s">
        <v>178</v>
      </c>
      <c r="AD63" s="36" t="s">
        <v>178</v>
      </c>
      <c r="AE63" s="36" t="s">
        <v>178</v>
      </c>
      <c r="AF63" s="36" t="s">
        <v>178</v>
      </c>
      <c r="AG63" s="36" t="s">
        <v>178</v>
      </c>
      <c r="AH63" s="36" t="s">
        <v>178</v>
      </c>
      <c r="AI63" s="36" t="s">
        <v>178</v>
      </c>
      <c r="AJ63" s="36" t="s">
        <v>178</v>
      </c>
      <c r="AK63" s="36" t="s">
        <v>178</v>
      </c>
      <c r="AL63" s="36" t="s">
        <v>178</v>
      </c>
      <c r="AM63" s="36" t="s">
        <v>178</v>
      </c>
      <c r="AN63" s="36" t="s">
        <v>178</v>
      </c>
      <c r="AO63" s="36" t="s">
        <v>178</v>
      </c>
      <c r="AP63" s="36">
        <v>7457.8621185548518</v>
      </c>
      <c r="AQ63" s="36">
        <v>6594.619730683592</v>
      </c>
      <c r="AR63" s="36">
        <v>6231.0181535398578</v>
      </c>
      <c r="AS63" s="36">
        <v>5688.8663900253014</v>
      </c>
      <c r="AT63" s="36">
        <v>5054.8658949730179</v>
      </c>
      <c r="AU63" s="36">
        <v>4729.1109617070288</v>
      </c>
      <c r="AV63" s="36">
        <v>4807.9860975840538</v>
      </c>
      <c r="AW63" s="36">
        <v>4956.5326669360466</v>
      </c>
      <c r="AX63" s="36">
        <v>4938.0727028896126</v>
      </c>
      <c r="AY63" s="36">
        <v>5126.0242267737849</v>
      </c>
      <c r="AZ63" s="36">
        <v>5648.0254281043453</v>
      </c>
      <c r="BA63" s="36">
        <v>6401.9443384388214</v>
      </c>
      <c r="BB63" s="36">
        <v>7017.6914531319426</v>
      </c>
      <c r="BC63" s="36">
        <v>7654.9240715584501</v>
      </c>
      <c r="BD63" s="36">
        <v>8346.835093977008</v>
      </c>
      <c r="BE63" s="36">
        <v>9131.0696988590171</v>
      </c>
      <c r="BF63" s="36">
        <v>10076.645526061289</v>
      </c>
      <c r="BG63" s="36">
        <v>10936.328196225184</v>
      </c>
      <c r="BH63" s="36">
        <v>11245.43716962116</v>
      </c>
    </row>
    <row r="64" spans="1:60">
      <c r="A64" s="43" t="s">
        <v>226</v>
      </c>
      <c r="B64" s="36" t="s">
        <v>178</v>
      </c>
      <c r="C64" s="36" t="s">
        <v>178</v>
      </c>
      <c r="D64" s="36" t="s">
        <v>178</v>
      </c>
      <c r="E64" s="36" t="s">
        <v>178</v>
      </c>
      <c r="F64" s="36" t="s">
        <v>178</v>
      </c>
      <c r="G64" s="36" t="s">
        <v>178</v>
      </c>
      <c r="H64" s="36" t="s">
        <v>178</v>
      </c>
      <c r="I64" s="36" t="s">
        <v>178</v>
      </c>
      <c r="J64" s="36" t="s">
        <v>178</v>
      </c>
      <c r="K64" s="36" t="s">
        <v>178</v>
      </c>
      <c r="L64" s="36" t="s">
        <v>178</v>
      </c>
      <c r="M64" s="36" t="s">
        <v>178</v>
      </c>
      <c r="N64" s="36" t="s">
        <v>178</v>
      </c>
      <c r="O64" s="36" t="s">
        <v>178</v>
      </c>
      <c r="P64" s="36" t="s">
        <v>178</v>
      </c>
      <c r="Q64" s="36" t="s">
        <v>178</v>
      </c>
      <c r="R64" s="36" t="s">
        <v>178</v>
      </c>
      <c r="S64" s="36" t="s">
        <v>178</v>
      </c>
      <c r="T64" s="36" t="s">
        <v>178</v>
      </c>
      <c r="U64" s="36" t="s">
        <v>178</v>
      </c>
      <c r="V64" s="36" t="s">
        <v>178</v>
      </c>
      <c r="W64" s="36" t="s">
        <v>178</v>
      </c>
      <c r="X64" s="36" t="s">
        <v>178</v>
      </c>
      <c r="Y64" s="36">
        <v>3726.7964924268308</v>
      </c>
      <c r="Z64" s="36" t="s">
        <v>178</v>
      </c>
      <c r="AA64" s="36" t="s">
        <v>178</v>
      </c>
      <c r="AB64" s="36" t="s">
        <v>178</v>
      </c>
      <c r="AC64" s="36" t="s">
        <v>178</v>
      </c>
      <c r="AD64" s="36" t="s">
        <v>178</v>
      </c>
      <c r="AE64" s="36" t="s">
        <v>178</v>
      </c>
      <c r="AF64" s="36" t="s">
        <v>178</v>
      </c>
      <c r="AG64" s="36" t="s">
        <v>178</v>
      </c>
      <c r="AH64" s="36" t="s">
        <v>178</v>
      </c>
      <c r="AI64" s="36" t="s">
        <v>178</v>
      </c>
      <c r="AJ64" s="36" t="s">
        <v>178</v>
      </c>
      <c r="AK64" s="36" t="s">
        <v>178</v>
      </c>
      <c r="AL64" s="36" t="s">
        <v>178</v>
      </c>
      <c r="AM64" s="36" t="s">
        <v>178</v>
      </c>
      <c r="AN64" s="36" t="s">
        <v>178</v>
      </c>
      <c r="AO64" s="36" t="s">
        <v>178</v>
      </c>
      <c r="AP64" s="36">
        <v>3602.2933102353327</v>
      </c>
      <c r="AQ64" s="36">
        <v>3268.3411982007274</v>
      </c>
      <c r="AR64" s="36">
        <v>2788.0123026998936</v>
      </c>
      <c r="AS64" s="36">
        <v>2358.6117865129277</v>
      </c>
      <c r="AT64" s="36">
        <v>1886.218672766747</v>
      </c>
      <c r="AU64" s="36">
        <v>1766.2405825791791</v>
      </c>
      <c r="AV64" s="36">
        <v>1864.5047709020341</v>
      </c>
      <c r="AW64" s="36">
        <v>2020.4020562211426</v>
      </c>
      <c r="AX64" s="36">
        <v>2033.8669312262198</v>
      </c>
      <c r="AY64" s="36">
        <v>2079.8003280535477</v>
      </c>
      <c r="AZ64" s="36">
        <v>2167.4909519425478</v>
      </c>
      <c r="BA64" s="36">
        <v>2258.9567609032351</v>
      </c>
      <c r="BB64" s="36">
        <v>2232.6122471370363</v>
      </c>
      <c r="BC64" s="36">
        <v>2353.7266132417808</v>
      </c>
      <c r="BD64" s="36">
        <v>2487.6860426466651</v>
      </c>
      <c r="BE64" s="36">
        <v>2451.2847238617555</v>
      </c>
      <c r="BF64" s="36">
        <v>2494.6786454203743</v>
      </c>
      <c r="BG64" s="36">
        <v>2670.6287048302383</v>
      </c>
      <c r="BH64" s="36">
        <v>2834.6782420850686</v>
      </c>
    </row>
    <row r="65" spans="1:60">
      <c r="A65" s="43" t="s">
        <v>227</v>
      </c>
      <c r="B65" s="36" t="s">
        <v>178</v>
      </c>
      <c r="C65" s="36" t="s">
        <v>178</v>
      </c>
      <c r="D65" s="36" t="s">
        <v>178</v>
      </c>
      <c r="E65" s="36" t="s">
        <v>178</v>
      </c>
      <c r="F65" s="36" t="s">
        <v>178</v>
      </c>
      <c r="G65" s="36" t="s">
        <v>178</v>
      </c>
      <c r="H65" s="36" t="s">
        <v>178</v>
      </c>
      <c r="I65" s="36" t="s">
        <v>178</v>
      </c>
      <c r="J65" s="36" t="s">
        <v>178</v>
      </c>
      <c r="K65" s="36" t="s">
        <v>178</v>
      </c>
      <c r="L65" s="36" t="s">
        <v>178</v>
      </c>
      <c r="M65" s="36" t="s">
        <v>178</v>
      </c>
      <c r="N65" s="36" t="s">
        <v>178</v>
      </c>
      <c r="O65" s="36" t="s">
        <v>178</v>
      </c>
      <c r="P65" s="36" t="s">
        <v>178</v>
      </c>
      <c r="Q65" s="36" t="s">
        <v>178</v>
      </c>
      <c r="R65" s="36" t="s">
        <v>178</v>
      </c>
      <c r="S65" s="36" t="s">
        <v>178</v>
      </c>
      <c r="T65" s="36" t="s">
        <v>178</v>
      </c>
      <c r="U65" s="36" t="s">
        <v>178</v>
      </c>
      <c r="V65" s="36" t="s">
        <v>178</v>
      </c>
      <c r="W65" s="36" t="s">
        <v>178</v>
      </c>
      <c r="X65" s="36" t="s">
        <v>178</v>
      </c>
      <c r="Y65" s="36">
        <v>7846.0201003157317</v>
      </c>
      <c r="Z65" s="36" t="s">
        <v>178</v>
      </c>
      <c r="AA65" s="36" t="s">
        <v>178</v>
      </c>
      <c r="AB65" s="36" t="s">
        <v>178</v>
      </c>
      <c r="AC65" s="36" t="s">
        <v>178</v>
      </c>
      <c r="AD65" s="36" t="s">
        <v>178</v>
      </c>
      <c r="AE65" s="36" t="s">
        <v>178</v>
      </c>
      <c r="AF65" s="36" t="s">
        <v>178</v>
      </c>
      <c r="AG65" s="36" t="s">
        <v>178</v>
      </c>
      <c r="AH65" s="36" t="s">
        <v>178</v>
      </c>
      <c r="AI65" s="36" t="s">
        <v>178</v>
      </c>
      <c r="AJ65" s="36" t="s">
        <v>178</v>
      </c>
      <c r="AK65" s="36" t="s">
        <v>178</v>
      </c>
      <c r="AL65" s="36" t="s">
        <v>178</v>
      </c>
      <c r="AM65" s="36" t="s">
        <v>178</v>
      </c>
      <c r="AN65" s="36" t="s">
        <v>178</v>
      </c>
      <c r="AO65" s="36" t="s">
        <v>178</v>
      </c>
      <c r="AP65" s="36">
        <v>9916.3159495267664</v>
      </c>
      <c r="AQ65" s="36">
        <v>8707.0087669934983</v>
      </c>
      <c r="AR65" s="36">
        <v>5992.1537347627109</v>
      </c>
      <c r="AS65" s="36">
        <v>5412.843016207612</v>
      </c>
      <c r="AT65" s="36">
        <v>5624.3810941471775</v>
      </c>
      <c r="AU65" s="36">
        <v>5653.3443301765656</v>
      </c>
      <c r="AV65" s="36">
        <v>5934.3144797121713</v>
      </c>
      <c r="AW65" s="36">
        <v>6491.0001619458126</v>
      </c>
      <c r="AX65" s="36">
        <v>6860.2705709432794</v>
      </c>
      <c r="AY65" s="36">
        <v>7144.4385578523716</v>
      </c>
      <c r="AZ65" s="36">
        <v>7693.585036669514</v>
      </c>
      <c r="BA65" s="36">
        <v>8372.3033635725205</v>
      </c>
      <c r="BB65" s="36">
        <v>8976.7516362233873</v>
      </c>
      <c r="BC65" s="36">
        <v>9721.7180931954681</v>
      </c>
      <c r="BD65" s="36">
        <v>11077.454596224437</v>
      </c>
      <c r="BE65" s="36">
        <v>12337.587769300731</v>
      </c>
      <c r="BF65" s="36">
        <v>13937.0080470912</v>
      </c>
      <c r="BG65" s="36">
        <v>15432.270854629372</v>
      </c>
      <c r="BH65" s="36">
        <v>14816.361995045034</v>
      </c>
    </row>
    <row r="66" spans="1:60">
      <c r="A66" s="43" t="s">
        <v>228</v>
      </c>
      <c r="B66" s="36" t="s">
        <v>178</v>
      </c>
      <c r="C66" s="36" t="s">
        <v>178</v>
      </c>
      <c r="D66" s="36" t="s">
        <v>178</v>
      </c>
      <c r="E66" s="36" t="s">
        <v>178</v>
      </c>
      <c r="F66" s="36" t="s">
        <v>178</v>
      </c>
      <c r="G66" s="36" t="s">
        <v>178</v>
      </c>
      <c r="H66" s="36" t="s">
        <v>178</v>
      </c>
      <c r="I66" s="36" t="s">
        <v>178</v>
      </c>
      <c r="J66" s="36" t="s">
        <v>178</v>
      </c>
      <c r="K66" s="36" t="s">
        <v>178</v>
      </c>
      <c r="L66" s="36" t="s">
        <v>178</v>
      </c>
      <c r="M66" s="36" t="s">
        <v>178</v>
      </c>
      <c r="N66" s="36" t="s">
        <v>178</v>
      </c>
      <c r="O66" s="36" t="s">
        <v>178</v>
      </c>
      <c r="P66" s="36" t="s">
        <v>178</v>
      </c>
      <c r="Q66" s="36" t="s">
        <v>178</v>
      </c>
      <c r="R66" s="36" t="s">
        <v>178</v>
      </c>
      <c r="S66" s="36" t="s">
        <v>178</v>
      </c>
      <c r="T66" s="36" t="s">
        <v>178</v>
      </c>
      <c r="U66" s="36" t="s">
        <v>178</v>
      </c>
      <c r="V66" s="36" t="s">
        <v>178</v>
      </c>
      <c r="W66" s="36" t="s">
        <v>178</v>
      </c>
      <c r="X66" s="36" t="s">
        <v>178</v>
      </c>
      <c r="Y66" s="36">
        <v>7592.8555736760882</v>
      </c>
      <c r="Z66" s="36" t="s">
        <v>178</v>
      </c>
      <c r="AA66" s="36" t="s">
        <v>178</v>
      </c>
      <c r="AB66" s="36" t="s">
        <v>178</v>
      </c>
      <c r="AC66" s="36" t="s">
        <v>178</v>
      </c>
      <c r="AD66" s="36" t="s">
        <v>178</v>
      </c>
      <c r="AE66" s="36" t="s">
        <v>178</v>
      </c>
      <c r="AF66" s="36" t="s">
        <v>178</v>
      </c>
      <c r="AG66" s="36" t="s">
        <v>178</v>
      </c>
      <c r="AH66" s="36" t="s">
        <v>178</v>
      </c>
      <c r="AI66" s="36" t="s">
        <v>178</v>
      </c>
      <c r="AJ66" s="36" t="s">
        <v>178</v>
      </c>
      <c r="AK66" s="36" t="s">
        <v>178</v>
      </c>
      <c r="AL66" s="36" t="s">
        <v>178</v>
      </c>
      <c r="AM66" s="36" t="s">
        <v>178</v>
      </c>
      <c r="AN66" s="36" t="s">
        <v>178</v>
      </c>
      <c r="AO66" s="36" t="s">
        <v>178</v>
      </c>
      <c r="AP66" s="36">
        <v>8663.4427076059674</v>
      </c>
      <c r="AQ66" s="36">
        <v>8153.5173208115539</v>
      </c>
      <c r="AR66" s="36">
        <v>6420.0401726572964</v>
      </c>
      <c r="AS66" s="36">
        <v>5396.4355141875694</v>
      </c>
      <c r="AT66" s="36">
        <v>4879.9772374814147</v>
      </c>
      <c r="AU66" s="36">
        <v>5142.2033615118053</v>
      </c>
      <c r="AV66" s="36">
        <v>5391.6083451061904</v>
      </c>
      <c r="AW66" s="36">
        <v>5775.2301838221183</v>
      </c>
      <c r="AX66" s="36">
        <v>6202.2450155335018</v>
      </c>
      <c r="AY66" s="36">
        <v>6101.3297262688666</v>
      </c>
      <c r="AZ66" s="36">
        <v>6346.3366288081534</v>
      </c>
      <c r="BA66" s="36">
        <v>6768.5048245729959</v>
      </c>
      <c r="BB66" s="36">
        <v>7253.663288626286</v>
      </c>
      <c r="BC66" s="36">
        <v>7986.1470476943678</v>
      </c>
      <c r="BD66" s="36">
        <v>8598.3559961074316</v>
      </c>
      <c r="BE66" s="36">
        <v>9298.1821528397377</v>
      </c>
      <c r="BF66" s="36">
        <v>10053.247352273038</v>
      </c>
      <c r="BG66" s="36">
        <v>10980.190124904942</v>
      </c>
      <c r="BH66" s="36">
        <v>11341.844297873475</v>
      </c>
    </row>
    <row r="67" spans="1:60">
      <c r="A67" s="43" t="s">
        <v>229</v>
      </c>
      <c r="B67" s="36" t="s">
        <v>178</v>
      </c>
      <c r="C67" s="36" t="s">
        <v>178</v>
      </c>
      <c r="D67" s="36" t="s">
        <v>178</v>
      </c>
      <c r="E67" s="36" t="s">
        <v>178</v>
      </c>
      <c r="F67" s="36" t="s">
        <v>178</v>
      </c>
      <c r="G67" s="36" t="s">
        <v>178</v>
      </c>
      <c r="H67" s="36" t="s">
        <v>178</v>
      </c>
      <c r="I67" s="36" t="s">
        <v>178</v>
      </c>
      <c r="J67" s="36" t="s">
        <v>178</v>
      </c>
      <c r="K67" s="36" t="s">
        <v>178</v>
      </c>
      <c r="L67" s="36" t="s">
        <v>178</v>
      </c>
      <c r="M67" s="36" t="s">
        <v>178</v>
      </c>
      <c r="N67" s="36" t="s">
        <v>178</v>
      </c>
      <c r="O67" s="36" t="s">
        <v>178</v>
      </c>
      <c r="P67" s="36" t="s">
        <v>178</v>
      </c>
      <c r="Q67" s="36" t="s">
        <v>178</v>
      </c>
      <c r="R67" s="36" t="s">
        <v>178</v>
      </c>
      <c r="S67" s="36" t="s">
        <v>178</v>
      </c>
      <c r="T67" s="36" t="s">
        <v>178</v>
      </c>
      <c r="U67" s="36" t="s">
        <v>178</v>
      </c>
      <c r="V67" s="36" t="s">
        <v>178</v>
      </c>
      <c r="W67" s="36" t="s">
        <v>178</v>
      </c>
      <c r="X67" s="36" t="s">
        <v>178</v>
      </c>
      <c r="Y67" s="36">
        <v>5365.0221552978592</v>
      </c>
      <c r="Z67" s="36" t="s">
        <v>178</v>
      </c>
      <c r="AA67" s="36" t="s">
        <v>178</v>
      </c>
      <c r="AB67" s="36" t="s">
        <v>178</v>
      </c>
      <c r="AC67" s="36" t="s">
        <v>178</v>
      </c>
      <c r="AD67" s="36" t="s">
        <v>178</v>
      </c>
      <c r="AE67" s="36" t="s">
        <v>178</v>
      </c>
      <c r="AF67" s="36" t="s">
        <v>178</v>
      </c>
      <c r="AG67" s="36" t="s">
        <v>178</v>
      </c>
      <c r="AH67" s="36" t="s">
        <v>178</v>
      </c>
      <c r="AI67" s="36" t="s">
        <v>178</v>
      </c>
      <c r="AJ67" s="36" t="s">
        <v>178</v>
      </c>
      <c r="AK67" s="36" t="s">
        <v>178</v>
      </c>
      <c r="AL67" s="36" t="s">
        <v>178</v>
      </c>
      <c r="AM67" s="36" t="s">
        <v>178</v>
      </c>
      <c r="AN67" s="36" t="s">
        <v>178</v>
      </c>
      <c r="AO67" s="36" t="s">
        <v>178</v>
      </c>
      <c r="AP67" s="36">
        <v>6170.2321347291754</v>
      </c>
      <c r="AQ67" s="36">
        <v>5059.353087536756</v>
      </c>
      <c r="AR67" s="36">
        <v>3578.3808021631367</v>
      </c>
      <c r="AS67" s="36">
        <v>3530.6669108910887</v>
      </c>
      <c r="AT67" s="36">
        <v>2441.3389039927938</v>
      </c>
      <c r="AU67" s="36">
        <v>2411.5042336149672</v>
      </c>
      <c r="AV67" s="36">
        <v>2274.8703233437027</v>
      </c>
      <c r="AW67" s="36">
        <v>2314.4085586374699</v>
      </c>
      <c r="AX67" s="36">
        <v>2165.9338989736552</v>
      </c>
      <c r="AY67" s="36">
        <v>2096.5689189085915</v>
      </c>
      <c r="AZ67" s="36">
        <v>2146.4468234806591</v>
      </c>
      <c r="BA67" s="36">
        <v>2284.14251485146</v>
      </c>
      <c r="BB67" s="36">
        <v>2468.5079121962967</v>
      </c>
      <c r="BC67" s="36">
        <v>2630.650233671392</v>
      </c>
      <c r="BD67" s="36">
        <v>2831.1479181044397</v>
      </c>
      <c r="BE67" s="36">
        <v>3048.3870967741937</v>
      </c>
      <c r="BF67" s="36">
        <v>3199.1232118135672</v>
      </c>
      <c r="BG67" s="36">
        <v>3298.9142989142988</v>
      </c>
      <c r="BH67" s="36">
        <v>3540.4717853839038</v>
      </c>
    </row>
    <row r="68" spans="1:60">
      <c r="A68" s="43" t="s">
        <v>230</v>
      </c>
      <c r="B68" s="36" t="s">
        <v>178</v>
      </c>
      <c r="C68" s="36" t="s">
        <v>178</v>
      </c>
      <c r="D68" s="36" t="s">
        <v>178</v>
      </c>
      <c r="E68" s="36" t="s">
        <v>178</v>
      </c>
      <c r="F68" s="36" t="s">
        <v>178</v>
      </c>
      <c r="G68" s="36" t="s">
        <v>178</v>
      </c>
      <c r="H68" s="36" t="s">
        <v>178</v>
      </c>
      <c r="I68" s="36" t="s">
        <v>178</v>
      </c>
      <c r="J68" s="36" t="s">
        <v>178</v>
      </c>
      <c r="K68" s="36" t="s">
        <v>178</v>
      </c>
      <c r="L68" s="36" t="s">
        <v>178</v>
      </c>
      <c r="M68" s="36" t="s">
        <v>178</v>
      </c>
      <c r="N68" s="36" t="s">
        <v>178</v>
      </c>
      <c r="O68" s="36" t="s">
        <v>178</v>
      </c>
      <c r="P68" s="36" t="s">
        <v>178</v>
      </c>
      <c r="Q68" s="36" t="s">
        <v>178</v>
      </c>
      <c r="R68" s="36" t="s">
        <v>178</v>
      </c>
      <c r="S68" s="36" t="s">
        <v>178</v>
      </c>
      <c r="T68" s="36" t="s">
        <v>178</v>
      </c>
      <c r="U68" s="36" t="s">
        <v>178</v>
      </c>
      <c r="V68" s="36" t="s">
        <v>178</v>
      </c>
      <c r="W68" s="36" t="s">
        <v>178</v>
      </c>
      <c r="X68" s="36" t="s">
        <v>178</v>
      </c>
      <c r="Y68" s="36">
        <v>6581.8585472773439</v>
      </c>
      <c r="Z68" s="36" t="s">
        <v>178</v>
      </c>
      <c r="AA68" s="36" t="s">
        <v>178</v>
      </c>
      <c r="AB68" s="36" t="s">
        <v>178</v>
      </c>
      <c r="AC68" s="36" t="s">
        <v>178</v>
      </c>
      <c r="AD68" s="36" t="s">
        <v>178</v>
      </c>
      <c r="AE68" s="36" t="s">
        <v>178</v>
      </c>
      <c r="AF68" s="36" t="s">
        <v>178</v>
      </c>
      <c r="AG68" s="36" t="s">
        <v>178</v>
      </c>
      <c r="AH68" s="36" t="s">
        <v>178</v>
      </c>
      <c r="AI68" s="36" t="s">
        <v>178</v>
      </c>
      <c r="AJ68" s="36" t="s">
        <v>178</v>
      </c>
      <c r="AK68" s="36" t="s">
        <v>178</v>
      </c>
      <c r="AL68" s="36" t="s">
        <v>178</v>
      </c>
      <c r="AM68" s="36" t="s">
        <v>178</v>
      </c>
      <c r="AN68" s="36" t="s">
        <v>178</v>
      </c>
      <c r="AO68" s="36" t="s">
        <v>178</v>
      </c>
      <c r="AP68" s="36">
        <v>7778.7163874490616</v>
      </c>
      <c r="AQ68" s="36">
        <v>7373.5358970728057</v>
      </c>
      <c r="AR68" s="36">
        <v>6300.082479784367</v>
      </c>
      <c r="AS68" s="36">
        <v>5752.3629295774635</v>
      </c>
      <c r="AT68" s="36">
        <v>5020.0536705228978</v>
      </c>
      <c r="AU68" s="36">
        <v>4812.6752500128623</v>
      </c>
      <c r="AV68" s="36">
        <v>4644.9870445475153</v>
      </c>
      <c r="AW68" s="36">
        <v>4717.8103224259576</v>
      </c>
      <c r="AX68" s="36">
        <v>4475.4437288809513</v>
      </c>
      <c r="AY68" s="36">
        <v>4776.7699439878206</v>
      </c>
      <c r="AZ68" s="36">
        <v>5277.440292176012</v>
      </c>
      <c r="BA68" s="36">
        <v>5573.9446660296253</v>
      </c>
      <c r="BB68" s="36">
        <v>5869.1675587991931</v>
      </c>
      <c r="BC68" s="36">
        <v>6334.929083437085</v>
      </c>
      <c r="BD68" s="36">
        <v>6828.9491104963527</v>
      </c>
      <c r="BE68" s="36">
        <v>7303.2022188603123</v>
      </c>
      <c r="BF68" s="36">
        <v>7904.6941978897585</v>
      </c>
      <c r="BG68" s="36">
        <v>8586.7390966062612</v>
      </c>
      <c r="BH68" s="36">
        <v>9111.164020411934</v>
      </c>
    </row>
    <row r="69" spans="1:60">
      <c r="A69" s="43" t="s">
        <v>231</v>
      </c>
      <c r="B69" s="36" t="s">
        <v>178</v>
      </c>
      <c r="C69" s="36" t="s">
        <v>178</v>
      </c>
      <c r="D69" s="36" t="s">
        <v>178</v>
      </c>
      <c r="E69" s="36" t="s">
        <v>178</v>
      </c>
      <c r="F69" s="36" t="s">
        <v>178</v>
      </c>
      <c r="G69" s="36" t="s">
        <v>178</v>
      </c>
      <c r="H69" s="36" t="s">
        <v>178</v>
      </c>
      <c r="I69" s="36" t="s">
        <v>178</v>
      </c>
      <c r="J69" s="36" t="s">
        <v>178</v>
      </c>
      <c r="K69" s="36" t="s">
        <v>178</v>
      </c>
      <c r="L69" s="36" t="s">
        <v>178</v>
      </c>
      <c r="M69" s="36" t="s">
        <v>178</v>
      </c>
      <c r="N69" s="36" t="s">
        <v>178</v>
      </c>
      <c r="O69" s="36" t="s">
        <v>178</v>
      </c>
      <c r="P69" s="36" t="s">
        <v>178</v>
      </c>
      <c r="Q69" s="36" t="s">
        <v>178</v>
      </c>
      <c r="R69" s="36" t="s">
        <v>178</v>
      </c>
      <c r="S69" s="36" t="s">
        <v>178</v>
      </c>
      <c r="T69" s="36" t="s">
        <v>178</v>
      </c>
      <c r="U69" s="36" t="s">
        <v>178</v>
      </c>
      <c r="V69" s="36" t="s">
        <v>178</v>
      </c>
      <c r="W69" s="36" t="s">
        <v>178</v>
      </c>
      <c r="X69" s="36" t="s">
        <v>178</v>
      </c>
      <c r="Y69" s="36">
        <v>4094.9457533016453</v>
      </c>
      <c r="Z69" s="36" t="s">
        <v>178</v>
      </c>
      <c r="AA69" s="36" t="s">
        <v>178</v>
      </c>
      <c r="AB69" s="36" t="s">
        <v>178</v>
      </c>
      <c r="AC69" s="36" t="s">
        <v>178</v>
      </c>
      <c r="AD69" s="36" t="s">
        <v>178</v>
      </c>
      <c r="AE69" s="36" t="s">
        <v>178</v>
      </c>
      <c r="AF69" s="36" t="s">
        <v>178</v>
      </c>
      <c r="AG69" s="36" t="s">
        <v>178</v>
      </c>
      <c r="AH69" s="36" t="s">
        <v>178</v>
      </c>
      <c r="AI69" s="36" t="s">
        <v>178</v>
      </c>
      <c r="AJ69" s="36" t="s">
        <v>178</v>
      </c>
      <c r="AK69" s="36" t="s">
        <v>178</v>
      </c>
      <c r="AL69" s="36" t="s">
        <v>178</v>
      </c>
      <c r="AM69" s="36" t="s">
        <v>178</v>
      </c>
      <c r="AN69" s="36" t="s">
        <v>178</v>
      </c>
      <c r="AO69" s="36" t="s">
        <v>178</v>
      </c>
      <c r="AP69" s="36">
        <v>3012.8983308042489</v>
      </c>
      <c r="AQ69" s="36">
        <v>2687.9711485111893</v>
      </c>
      <c r="AR69" s="36">
        <v>1788.9860399999998</v>
      </c>
      <c r="AS69" s="36">
        <v>1484.693930978907</v>
      </c>
      <c r="AT69" s="36">
        <v>1156.5694189962844</v>
      </c>
      <c r="AU69" s="36">
        <v>999.95060955835447</v>
      </c>
      <c r="AV69" s="36">
        <v>820.53094975247336</v>
      </c>
      <c r="AW69" s="36">
        <v>820.2494169641202</v>
      </c>
      <c r="AX69" s="36">
        <v>846.54346279035815</v>
      </c>
      <c r="AY69" s="36">
        <v>859.47794318050694</v>
      </c>
      <c r="AZ69" s="36">
        <v>913.03500750730211</v>
      </c>
      <c r="BA69" s="36">
        <v>988.86343628980649</v>
      </c>
      <c r="BB69" s="36">
        <v>1063.8412629094832</v>
      </c>
      <c r="BC69" s="36">
        <v>1151.647688608065</v>
      </c>
      <c r="BD69" s="36">
        <v>1250.8971291866028</v>
      </c>
      <c r="BE69" s="36">
        <v>1309.9046221570065</v>
      </c>
      <c r="BF69" s="36">
        <v>1375.4320276497697</v>
      </c>
      <c r="BG69" s="36">
        <v>1454.8537515896567</v>
      </c>
      <c r="BH69" s="36">
        <v>1540.4880754298392</v>
      </c>
    </row>
    <row r="70" spans="1:60">
      <c r="A70" s="43" t="s">
        <v>232</v>
      </c>
      <c r="B70" s="36" t="s">
        <v>178</v>
      </c>
      <c r="C70" s="36" t="s">
        <v>178</v>
      </c>
      <c r="D70" s="36" t="s">
        <v>178</v>
      </c>
      <c r="E70" s="36" t="s">
        <v>178</v>
      </c>
      <c r="F70" s="36" t="s">
        <v>178</v>
      </c>
      <c r="G70" s="36" t="s">
        <v>178</v>
      </c>
      <c r="H70" s="36" t="s">
        <v>178</v>
      </c>
      <c r="I70" s="36" t="s">
        <v>178</v>
      </c>
      <c r="J70" s="36" t="s">
        <v>178</v>
      </c>
      <c r="K70" s="36" t="s">
        <v>178</v>
      </c>
      <c r="L70" s="36" t="s">
        <v>178</v>
      </c>
      <c r="M70" s="36" t="s">
        <v>178</v>
      </c>
      <c r="N70" s="36" t="s">
        <v>178</v>
      </c>
      <c r="O70" s="36" t="s">
        <v>178</v>
      </c>
      <c r="P70" s="36" t="s">
        <v>178</v>
      </c>
      <c r="Q70" s="36" t="s">
        <v>178</v>
      </c>
      <c r="R70" s="36" t="s">
        <v>178</v>
      </c>
      <c r="S70" s="36" t="s">
        <v>178</v>
      </c>
      <c r="T70" s="36" t="s">
        <v>178</v>
      </c>
      <c r="U70" s="36" t="s">
        <v>178</v>
      </c>
      <c r="V70" s="36" t="s">
        <v>178</v>
      </c>
      <c r="W70" s="36" t="s">
        <v>178</v>
      </c>
      <c r="X70" s="36" t="s">
        <v>178</v>
      </c>
      <c r="Y70" s="36">
        <v>4825.6455556405381</v>
      </c>
      <c r="Z70" s="36" t="s">
        <v>178</v>
      </c>
      <c r="AA70" s="36" t="s">
        <v>178</v>
      </c>
      <c r="AB70" s="36" t="s">
        <v>178</v>
      </c>
      <c r="AC70" s="36" t="s">
        <v>178</v>
      </c>
      <c r="AD70" s="36" t="s">
        <v>178</v>
      </c>
      <c r="AE70" s="36" t="s">
        <v>178</v>
      </c>
      <c r="AF70" s="36" t="s">
        <v>178</v>
      </c>
      <c r="AG70" s="36" t="s">
        <v>178</v>
      </c>
      <c r="AH70" s="36" t="s">
        <v>178</v>
      </c>
      <c r="AI70" s="36" t="s">
        <v>178</v>
      </c>
      <c r="AJ70" s="36" t="s">
        <v>178</v>
      </c>
      <c r="AK70" s="36" t="s">
        <v>178</v>
      </c>
      <c r="AL70" s="36" t="s">
        <v>178</v>
      </c>
      <c r="AM70" s="36" t="s">
        <v>178</v>
      </c>
      <c r="AN70" s="36" t="s">
        <v>178</v>
      </c>
      <c r="AO70" s="36" t="s">
        <v>178</v>
      </c>
      <c r="AP70" s="36">
        <v>3635.8665937670858</v>
      </c>
      <c r="AQ70" s="36">
        <v>3384.4859813084113</v>
      </c>
      <c r="AR70" s="36">
        <v>2812.9673629242816</v>
      </c>
      <c r="AS70" s="36">
        <v>2791.7462279805968</v>
      </c>
      <c r="AT70" s="36">
        <v>2258.608458872377</v>
      </c>
      <c r="AU70" s="36">
        <v>2057.4500009643534</v>
      </c>
      <c r="AV70" s="36">
        <v>2161.3867335378104</v>
      </c>
      <c r="AW70" s="36">
        <v>1888.5498595629072</v>
      </c>
      <c r="AX70" s="36">
        <v>1993.6878496446413</v>
      </c>
      <c r="AY70" s="36">
        <v>2288.8135772696096</v>
      </c>
      <c r="AZ70" s="36">
        <v>2395.2029563772444</v>
      </c>
      <c r="BA70" s="36">
        <v>2459.7494999384699</v>
      </c>
      <c r="BB70" s="36">
        <v>2471.7723927862698</v>
      </c>
      <c r="BC70" s="36">
        <v>2609.1434763997581</v>
      </c>
      <c r="BD70" s="36">
        <v>2958.7673611111113</v>
      </c>
      <c r="BE70" s="36">
        <v>3303.1732418524871</v>
      </c>
      <c r="BF70" s="36">
        <v>3636.2288135593221</v>
      </c>
      <c r="BG70" s="36">
        <v>4012.149141181399</v>
      </c>
      <c r="BH70" s="36">
        <v>4382.8950093186995</v>
      </c>
    </row>
    <row r="71" spans="1:60">
      <c r="A71" s="43" t="s">
        <v>233</v>
      </c>
      <c r="B71" s="36" t="s">
        <v>178</v>
      </c>
      <c r="C71" s="36" t="s">
        <v>178</v>
      </c>
      <c r="D71" s="36" t="s">
        <v>178</v>
      </c>
      <c r="E71" s="36" t="s">
        <v>178</v>
      </c>
      <c r="F71" s="36" t="s">
        <v>178</v>
      </c>
      <c r="G71" s="36" t="s">
        <v>178</v>
      </c>
      <c r="H71" s="36" t="s">
        <v>178</v>
      </c>
      <c r="I71" s="36" t="s">
        <v>178</v>
      </c>
      <c r="J71" s="36" t="s">
        <v>178</v>
      </c>
      <c r="K71" s="36" t="s">
        <v>178</v>
      </c>
      <c r="L71" s="36" t="s">
        <v>178</v>
      </c>
      <c r="M71" s="36" t="s">
        <v>178</v>
      </c>
      <c r="N71" s="36" t="s">
        <v>178</v>
      </c>
      <c r="O71" s="36" t="s">
        <v>178</v>
      </c>
      <c r="P71" s="36" t="s">
        <v>178</v>
      </c>
      <c r="Q71" s="36" t="s">
        <v>178</v>
      </c>
      <c r="R71" s="36" t="s">
        <v>178</v>
      </c>
      <c r="S71" s="36" t="s">
        <v>178</v>
      </c>
      <c r="T71" s="36" t="s">
        <v>178</v>
      </c>
      <c r="U71" s="36" t="s">
        <v>178</v>
      </c>
      <c r="V71" s="36" t="s">
        <v>178</v>
      </c>
      <c r="W71" s="36" t="s">
        <v>178</v>
      </c>
      <c r="X71" s="36" t="s">
        <v>178</v>
      </c>
      <c r="Y71" s="36">
        <v>4923.935537703991</v>
      </c>
      <c r="Z71" s="36" t="s">
        <v>178</v>
      </c>
      <c r="AA71" s="36" t="s">
        <v>178</v>
      </c>
      <c r="AB71" s="36" t="s">
        <v>178</v>
      </c>
      <c r="AC71" s="36" t="s">
        <v>178</v>
      </c>
      <c r="AD71" s="36" t="s">
        <v>178</v>
      </c>
      <c r="AE71" s="36" t="s">
        <v>178</v>
      </c>
      <c r="AF71" s="36" t="s">
        <v>178</v>
      </c>
      <c r="AG71" s="36" t="s">
        <v>178</v>
      </c>
      <c r="AH71" s="36" t="s">
        <v>178</v>
      </c>
      <c r="AI71" s="36" t="s">
        <v>178</v>
      </c>
      <c r="AJ71" s="36" t="s">
        <v>178</v>
      </c>
      <c r="AK71" s="36" t="s">
        <v>178</v>
      </c>
      <c r="AL71" s="36" t="s">
        <v>178</v>
      </c>
      <c r="AM71" s="36" t="s">
        <v>178</v>
      </c>
      <c r="AN71" s="36" t="s">
        <v>178</v>
      </c>
      <c r="AO71" s="36" t="s">
        <v>178</v>
      </c>
      <c r="AP71" s="36">
        <v>6026.7006829900465</v>
      </c>
      <c r="AQ71" s="36">
        <v>5490.8816303309723</v>
      </c>
      <c r="AR71" s="36">
        <v>4934.0499690480519</v>
      </c>
      <c r="AS71" s="36">
        <v>4231.9460276156442</v>
      </c>
      <c r="AT71" s="36">
        <v>3278.5956294997036</v>
      </c>
      <c r="AU71" s="36">
        <v>2900.5334033929953</v>
      </c>
      <c r="AV71" s="36">
        <v>2632.8146666539874</v>
      </c>
      <c r="AW71" s="36">
        <v>2576.270401280311</v>
      </c>
      <c r="AX71" s="36">
        <v>2549.1399498357664</v>
      </c>
      <c r="AY71" s="36">
        <v>2567.2551191427469</v>
      </c>
      <c r="AZ71" s="36">
        <v>2745.4773933062766</v>
      </c>
      <c r="BA71" s="36">
        <v>3028.7786482147212</v>
      </c>
      <c r="BB71" s="36">
        <v>3216.1773392079176</v>
      </c>
      <c r="BC71" s="36">
        <v>3547.2855187656978</v>
      </c>
      <c r="BD71" s="36">
        <v>4006.933727935736</v>
      </c>
      <c r="BE71" s="36">
        <v>4145.4460273855912</v>
      </c>
      <c r="BF71" s="36">
        <v>4480.394680394681</v>
      </c>
      <c r="BG71" s="36">
        <v>4867.7753779697623</v>
      </c>
      <c r="BH71" s="36">
        <v>5003.065617254425</v>
      </c>
    </row>
    <row r="72" spans="1:60">
      <c r="A72" s="43" t="s">
        <v>234</v>
      </c>
      <c r="B72" s="36" t="s">
        <v>178</v>
      </c>
      <c r="C72" s="36" t="s">
        <v>178</v>
      </c>
      <c r="D72" s="36" t="s">
        <v>178</v>
      </c>
      <c r="E72" s="36" t="s">
        <v>178</v>
      </c>
      <c r="F72" s="36" t="s">
        <v>178</v>
      </c>
      <c r="G72" s="36" t="s">
        <v>178</v>
      </c>
      <c r="H72" s="36" t="s">
        <v>178</v>
      </c>
      <c r="I72" s="36" t="s">
        <v>178</v>
      </c>
      <c r="J72" s="36" t="s">
        <v>178</v>
      </c>
      <c r="K72" s="36" t="s">
        <v>178</v>
      </c>
      <c r="L72" s="36" t="s">
        <v>178</v>
      </c>
      <c r="M72" s="36" t="s">
        <v>178</v>
      </c>
      <c r="N72" s="36" t="s">
        <v>178</v>
      </c>
      <c r="O72" s="36" t="s">
        <v>178</v>
      </c>
      <c r="P72" s="36" t="s">
        <v>178</v>
      </c>
      <c r="Q72" s="36" t="s">
        <v>178</v>
      </c>
      <c r="R72" s="36" t="s">
        <v>178</v>
      </c>
      <c r="S72" s="36" t="s">
        <v>178</v>
      </c>
      <c r="T72" s="36" t="s">
        <v>178</v>
      </c>
      <c r="U72" s="36" t="s">
        <v>178</v>
      </c>
      <c r="V72" s="36" t="s">
        <v>178</v>
      </c>
      <c r="W72" s="36" t="s">
        <v>178</v>
      </c>
      <c r="X72" s="36" t="s">
        <v>178</v>
      </c>
      <c r="Y72" s="36">
        <v>5096.8482551326533</v>
      </c>
      <c r="Z72" s="36" t="s">
        <v>178</v>
      </c>
      <c r="AA72" s="36" t="s">
        <v>178</v>
      </c>
      <c r="AB72" s="36" t="s">
        <v>178</v>
      </c>
      <c r="AC72" s="36" t="s">
        <v>178</v>
      </c>
      <c r="AD72" s="36" t="s">
        <v>178</v>
      </c>
      <c r="AE72" s="36" t="s">
        <v>178</v>
      </c>
      <c r="AF72" s="36" t="s">
        <v>178</v>
      </c>
      <c r="AG72" s="36" t="s">
        <v>178</v>
      </c>
      <c r="AH72" s="36" t="s">
        <v>178</v>
      </c>
      <c r="AI72" s="36" t="s">
        <v>178</v>
      </c>
      <c r="AJ72" s="36" t="s">
        <v>178</v>
      </c>
      <c r="AK72" s="36" t="s">
        <v>178</v>
      </c>
      <c r="AL72" s="36" t="s">
        <v>178</v>
      </c>
      <c r="AM72" s="36" t="s">
        <v>178</v>
      </c>
      <c r="AN72" s="36" t="s">
        <v>178</v>
      </c>
      <c r="AO72" s="36" t="s">
        <v>178</v>
      </c>
      <c r="AP72" s="36">
        <v>4260.4968339016068</v>
      </c>
      <c r="AQ72" s="36">
        <v>4132.7062063725725</v>
      </c>
      <c r="AR72" s="36">
        <v>3580.2987848218418</v>
      </c>
      <c r="AS72" s="36">
        <v>3416.0674636198473</v>
      </c>
      <c r="AT72" s="36">
        <v>3170.2363436365695</v>
      </c>
      <c r="AU72" s="36">
        <v>3078.6440417374156</v>
      </c>
      <c r="AV72" s="36">
        <v>3070.1555223023229</v>
      </c>
      <c r="AW72" s="36">
        <v>3172.0900179102009</v>
      </c>
      <c r="AX72" s="36">
        <v>3258.6035540949997</v>
      </c>
      <c r="AY72" s="36">
        <v>3352.4025800820518</v>
      </c>
      <c r="AZ72" s="36">
        <v>3439.1618271110265</v>
      </c>
      <c r="BA72" s="36">
        <v>3547.1798654369968</v>
      </c>
      <c r="BB72" s="36">
        <v>3649.5566447226774</v>
      </c>
      <c r="BC72" s="36">
        <v>3766.7468403615289</v>
      </c>
      <c r="BD72" s="36">
        <v>4014.1617176793056</v>
      </c>
      <c r="BE72" s="36">
        <v>4251.1303692539559</v>
      </c>
      <c r="BF72" s="36">
        <v>4515.5165982842218</v>
      </c>
      <c r="BG72" s="36">
        <v>4895.3801839063481</v>
      </c>
      <c r="BH72" s="36">
        <v>5284.0738709087591</v>
      </c>
    </row>
    <row r="73" spans="1:60" s="41" customFormat="1" ht="12.75">
      <c r="A73" s="44" t="s">
        <v>235</v>
      </c>
      <c r="B73" s="40">
        <v>2841.45804811279</v>
      </c>
      <c r="C73" s="40">
        <v>2805.8527950233238</v>
      </c>
      <c r="D73" s="40">
        <v>2936.6411725386993</v>
      </c>
      <c r="E73" s="40">
        <v>3012.5866809291156</v>
      </c>
      <c r="F73" s="40">
        <v>3106.1358680059761</v>
      </c>
      <c r="G73" s="40">
        <v>3312.8068343506548</v>
      </c>
      <c r="H73" s="40">
        <v>3566.3271993014455</v>
      </c>
      <c r="I73" s="40">
        <v>3575.7902607777082</v>
      </c>
      <c r="J73" s="40">
        <v>3777.0985567874409</v>
      </c>
      <c r="K73" s="40">
        <v>3669.0903716073667</v>
      </c>
      <c r="L73" s="40">
        <v>3945.3375081934714</v>
      </c>
      <c r="M73" s="40">
        <v>4097.8314918136239</v>
      </c>
      <c r="N73" s="40">
        <v>4140.2145975010844</v>
      </c>
      <c r="O73" s="40">
        <v>3985.1922521001275</v>
      </c>
      <c r="P73" s="40">
        <v>4438.8933287371865</v>
      </c>
      <c r="Q73" s="40">
        <v>4633.6519986649782</v>
      </c>
      <c r="R73" s="40">
        <v>4803.7075206907612</v>
      </c>
      <c r="S73" s="40">
        <v>4962.9631940222152</v>
      </c>
      <c r="T73" s="40">
        <v>5201.8998498702231</v>
      </c>
      <c r="U73" s="40">
        <v>5225.2982399390166</v>
      </c>
      <c r="V73" s="40">
        <v>5575.0103927936789</v>
      </c>
      <c r="W73" s="40">
        <v>5667.2450134212359</v>
      </c>
      <c r="X73" s="40">
        <v>5642.8940874612426</v>
      </c>
      <c r="Y73" s="40">
        <v>6059.2510471447176</v>
      </c>
      <c r="Z73" s="40">
        <v>6175.7964922694109</v>
      </c>
      <c r="AA73" s="40">
        <v>6134.7125672174116</v>
      </c>
      <c r="AB73" s="40">
        <v>6363.1720449372824</v>
      </c>
      <c r="AC73" s="40">
        <v>6454.464080897108</v>
      </c>
      <c r="AD73" s="40">
        <v>6558.5149529066848</v>
      </c>
      <c r="AE73" s="40">
        <v>6472.3375638182879</v>
      </c>
      <c r="AF73" s="40">
        <v>6427.2436607242771</v>
      </c>
      <c r="AG73" s="40">
        <v>6432.6402196171339</v>
      </c>
      <c r="AH73" s="40">
        <v>6535.9745920164933</v>
      </c>
      <c r="AI73" s="40">
        <v>6687.2383280195081</v>
      </c>
      <c r="AJ73" s="40">
        <v>6709.0034729268937</v>
      </c>
      <c r="AK73" s="40">
        <v>6708.4570786290251</v>
      </c>
      <c r="AL73" s="40">
        <v>6922.5462014295363</v>
      </c>
      <c r="AM73" s="40">
        <v>6952.0020062102203</v>
      </c>
      <c r="AN73" s="40">
        <v>7042.5836185760745</v>
      </c>
      <c r="AO73" s="40">
        <v>7111.7780838065228</v>
      </c>
      <c r="AP73" s="40">
        <v>6894.1076413163491</v>
      </c>
      <c r="AQ73" s="40">
        <v>6422.8152166872087</v>
      </c>
      <c r="AR73" s="40">
        <v>5473.3147000951276</v>
      </c>
      <c r="AS73" s="40">
        <v>4931.4572173284041</v>
      </c>
      <c r="AT73" s="40">
        <v>4251.6972386403677</v>
      </c>
      <c r="AU73" s="40">
        <v>4028.6463253853321</v>
      </c>
      <c r="AV73" s="40">
        <v>3914.7982604407725</v>
      </c>
      <c r="AW73" s="40">
        <v>3998.1816362554655</v>
      </c>
      <c r="AX73" s="40">
        <v>3910.6853430632355</v>
      </c>
      <c r="AY73" s="40">
        <v>4102.4208413087435</v>
      </c>
      <c r="AZ73" s="40">
        <v>4459.6120958409329</v>
      </c>
      <c r="BA73" s="40">
        <v>4750.2512954617323</v>
      </c>
      <c r="BB73" s="40">
        <v>5020.1143172538859</v>
      </c>
      <c r="BC73" s="40">
        <v>5419.6290605982331</v>
      </c>
      <c r="BD73" s="40">
        <v>5889.4292667290829</v>
      </c>
      <c r="BE73" s="40">
        <v>6315.2897517061065</v>
      </c>
      <c r="BF73" s="40">
        <v>6872.6217169851152</v>
      </c>
      <c r="BG73" s="40">
        <v>7489.5741548430551</v>
      </c>
      <c r="BH73" s="40">
        <v>7903.856425122588</v>
      </c>
    </row>
    <row r="74" spans="1:60">
      <c r="A74" s="35" t="s">
        <v>236</v>
      </c>
      <c r="B74" s="36" t="s">
        <v>178</v>
      </c>
      <c r="C74" s="36" t="s">
        <v>178</v>
      </c>
      <c r="D74" s="36" t="s">
        <v>178</v>
      </c>
      <c r="E74" s="36" t="s">
        <v>178</v>
      </c>
      <c r="F74" s="36" t="s">
        <v>178</v>
      </c>
      <c r="G74" s="36" t="s">
        <v>178</v>
      </c>
      <c r="H74" s="36" t="s">
        <v>178</v>
      </c>
      <c r="I74" s="36" t="s">
        <v>178</v>
      </c>
      <c r="J74" s="36" t="s">
        <v>178</v>
      </c>
      <c r="K74" s="36" t="s">
        <v>178</v>
      </c>
      <c r="L74" s="36" t="s">
        <v>178</v>
      </c>
      <c r="M74" s="36" t="s">
        <v>178</v>
      </c>
      <c r="N74" s="36" t="s">
        <v>178</v>
      </c>
      <c r="O74" s="36" t="s">
        <v>178</v>
      </c>
      <c r="P74" s="36" t="s">
        <v>178</v>
      </c>
      <c r="Q74" s="36" t="s">
        <v>178</v>
      </c>
      <c r="R74" s="36" t="s">
        <v>178</v>
      </c>
      <c r="S74" s="36" t="s">
        <v>178</v>
      </c>
      <c r="T74" s="36" t="s">
        <v>178</v>
      </c>
      <c r="U74" s="36" t="s">
        <v>178</v>
      </c>
      <c r="V74" s="36" t="s">
        <v>178</v>
      </c>
      <c r="W74" s="36" t="s">
        <v>178</v>
      </c>
      <c r="X74" s="36" t="s">
        <v>178</v>
      </c>
      <c r="Y74" s="36" t="s">
        <v>178</v>
      </c>
      <c r="Z74" s="36" t="s">
        <v>178</v>
      </c>
      <c r="AA74" s="36" t="s">
        <v>178</v>
      </c>
      <c r="AB74" s="36" t="s">
        <v>178</v>
      </c>
      <c r="AC74" s="36" t="s">
        <v>178</v>
      </c>
      <c r="AD74" s="36" t="s">
        <v>178</v>
      </c>
      <c r="AE74" s="36" t="s">
        <v>178</v>
      </c>
      <c r="AF74" s="36" t="s">
        <v>178</v>
      </c>
      <c r="AG74" s="36" t="s">
        <v>178</v>
      </c>
      <c r="AH74" s="36" t="s">
        <v>178</v>
      </c>
      <c r="AI74" s="36" t="s">
        <v>178</v>
      </c>
      <c r="AJ74" s="36" t="s">
        <v>178</v>
      </c>
      <c r="AK74" s="36" t="s">
        <v>178</v>
      </c>
      <c r="AL74" s="36" t="s">
        <v>178</v>
      </c>
      <c r="AM74" s="36" t="s">
        <v>178</v>
      </c>
      <c r="AN74" s="36" t="s">
        <v>178</v>
      </c>
      <c r="AO74" s="36" t="s">
        <v>178</v>
      </c>
      <c r="AP74" s="36" t="s">
        <v>178</v>
      </c>
      <c r="AQ74" s="36" t="s">
        <v>178</v>
      </c>
      <c r="AR74" s="36" t="s">
        <v>178</v>
      </c>
      <c r="AS74" s="36" t="s">
        <v>178</v>
      </c>
      <c r="AT74" s="36" t="s">
        <v>178</v>
      </c>
      <c r="AU74" s="36" t="s">
        <v>178</v>
      </c>
      <c r="AV74" s="36" t="s">
        <v>178</v>
      </c>
      <c r="AW74" s="36" t="s">
        <v>178</v>
      </c>
      <c r="AX74" s="36" t="s">
        <v>178</v>
      </c>
      <c r="AY74" s="36" t="s">
        <v>178</v>
      </c>
      <c r="AZ74" s="36" t="s">
        <v>178</v>
      </c>
      <c r="BA74" s="36" t="s">
        <v>178</v>
      </c>
      <c r="BB74" s="36" t="s">
        <v>178</v>
      </c>
      <c r="BC74" s="36" t="s">
        <v>178</v>
      </c>
      <c r="BD74" s="36" t="s">
        <v>178</v>
      </c>
      <c r="BE74" s="36" t="s">
        <v>178</v>
      </c>
      <c r="BF74" s="36" t="s">
        <v>178</v>
      </c>
      <c r="BG74" s="36" t="s">
        <v>178</v>
      </c>
      <c r="BH74" s="36" t="s">
        <v>178</v>
      </c>
    </row>
    <row r="75" spans="1:60">
      <c r="A75" s="43" t="s">
        <v>237</v>
      </c>
      <c r="B75" s="36">
        <v>4986.7244583429738</v>
      </c>
      <c r="C75" s="36">
        <v>5073.0299151549361</v>
      </c>
      <c r="D75" s="36">
        <v>4717.4138594959904</v>
      </c>
      <c r="E75" s="36">
        <v>4874.4938240833544</v>
      </c>
      <c r="F75" s="36">
        <v>4979.8286477818019</v>
      </c>
      <c r="G75" s="36">
        <v>5237.0000751803391</v>
      </c>
      <c r="H75" s="36">
        <v>5285.3146803071122</v>
      </c>
      <c r="I75" s="36">
        <v>5460.6864941696149</v>
      </c>
      <c r="J75" s="36">
        <v>5697.9809880801877</v>
      </c>
      <c r="K75" s="36">
        <v>5241.4680627084754</v>
      </c>
      <c r="L75" s="36">
        <v>5559.465947070551</v>
      </c>
      <c r="M75" s="36">
        <v>5861.8416489889569</v>
      </c>
      <c r="N75" s="36">
        <v>5677.2332249393821</v>
      </c>
      <c r="O75" s="36">
        <v>5455.4404819340207</v>
      </c>
      <c r="P75" s="36">
        <v>5926.1266583942488</v>
      </c>
      <c r="Q75" s="36">
        <v>6370.7473376684575</v>
      </c>
      <c r="R75" s="36">
        <v>6320.604234887538</v>
      </c>
      <c r="S75" s="36">
        <v>6398.9517849415015</v>
      </c>
      <c r="T75" s="36">
        <v>6577.7566222311343</v>
      </c>
      <c r="U75" s="36">
        <v>7037.2803826572053</v>
      </c>
      <c r="V75" s="36">
        <v>7301.9662167003662</v>
      </c>
      <c r="W75" s="36">
        <v>7529.9370180763153</v>
      </c>
      <c r="X75" s="36">
        <v>7634.565558824751</v>
      </c>
      <c r="Y75" s="36">
        <v>7961.9738793150873</v>
      </c>
      <c r="Z75" s="36">
        <v>8334.0836019255894</v>
      </c>
      <c r="AA75" s="36">
        <v>8122.4973046421492</v>
      </c>
      <c r="AB75" s="36">
        <v>7965.201829689333</v>
      </c>
      <c r="AC75" s="36">
        <v>8304.3814243108864</v>
      </c>
      <c r="AD75" s="36">
        <v>7807.2476832591165</v>
      </c>
      <c r="AE75" s="36">
        <v>8226.9098480533867</v>
      </c>
      <c r="AF75" s="36">
        <v>8205.9798872737883</v>
      </c>
      <c r="AG75" s="36">
        <v>7606.5585135884639</v>
      </c>
      <c r="AH75" s="36">
        <v>7245.7551994544829</v>
      </c>
      <c r="AI75" s="36">
        <v>7387.0534515175932</v>
      </c>
      <c r="AJ75" s="36">
        <v>7425.8542555654794</v>
      </c>
      <c r="AK75" s="36">
        <v>6834.9308815858112</v>
      </c>
      <c r="AL75" s="36">
        <v>7223.7919409214965</v>
      </c>
      <c r="AM75" s="36">
        <v>7297.9288537549401</v>
      </c>
      <c r="AN75" s="36">
        <v>7054.3630642699154</v>
      </c>
      <c r="AO75" s="36">
        <v>6520.1092963281344</v>
      </c>
      <c r="AP75" s="36">
        <v>6432.9216612180653</v>
      </c>
      <c r="AQ75" s="36">
        <v>6977.3758357211082</v>
      </c>
      <c r="AR75" s="36">
        <v>7494.774339800395</v>
      </c>
      <c r="AS75" s="36">
        <v>7828.0873078152699</v>
      </c>
      <c r="AT75" s="36">
        <v>8370.7636238413652</v>
      </c>
      <c r="AU75" s="36">
        <v>8013.069116062823</v>
      </c>
      <c r="AV75" s="36">
        <v>8269.7643135386606</v>
      </c>
      <c r="AW75" s="36">
        <v>8827.7103761564467</v>
      </c>
      <c r="AX75" s="36">
        <v>9154.7729886631241</v>
      </c>
      <c r="AY75" s="36">
        <v>8746.4994718738999</v>
      </c>
      <c r="AZ75" s="36">
        <v>8580.5656738804373</v>
      </c>
      <c r="BA75" s="36">
        <v>8124.290337984824</v>
      </c>
      <c r="BB75" s="36">
        <v>7181.1363456933077</v>
      </c>
      <c r="BC75" s="36">
        <v>7744.3916944908178</v>
      </c>
      <c r="BD75" s="36">
        <v>8352.9244747302673</v>
      </c>
      <c r="BE75" s="36">
        <v>9019.1929761874362</v>
      </c>
      <c r="BF75" s="36">
        <v>9678.8509112939864</v>
      </c>
      <c r="BG75" s="36">
        <v>10406.651851481935</v>
      </c>
      <c r="BH75" s="36">
        <v>10995.430067684403</v>
      </c>
    </row>
    <row r="76" spans="1:60">
      <c r="A76" s="43" t="s">
        <v>238</v>
      </c>
      <c r="B76" s="36">
        <v>1671.7226694010403</v>
      </c>
      <c r="C76" s="36">
        <v>1702.1019089332567</v>
      </c>
      <c r="D76" s="36">
        <v>1752.2352345900965</v>
      </c>
      <c r="E76" s="36">
        <v>1784.1685211244628</v>
      </c>
      <c r="F76" s="36">
        <v>1847.5986493506441</v>
      </c>
      <c r="G76" s="36">
        <v>1925.7434242159256</v>
      </c>
      <c r="H76" s="36">
        <v>1896.435994020115</v>
      </c>
      <c r="I76" s="36">
        <v>1994.121508523471</v>
      </c>
      <c r="J76" s="36">
        <v>2111.2130412038887</v>
      </c>
      <c r="K76" s="36">
        <v>2221.0013151993194</v>
      </c>
      <c r="L76" s="36">
        <v>2334.8552008157912</v>
      </c>
      <c r="M76" s="36">
        <v>2437.2738322001751</v>
      </c>
      <c r="N76" s="36">
        <v>2510.9617528494114</v>
      </c>
      <c r="O76" s="36">
        <v>2463.2326342878173</v>
      </c>
      <c r="P76" s="36">
        <v>2472.1776042599063</v>
      </c>
      <c r="Q76" s="36">
        <v>2448.3918651637518</v>
      </c>
      <c r="R76" s="36">
        <v>2526.735225753187</v>
      </c>
      <c r="S76" s="36">
        <v>2553.9744696590701</v>
      </c>
      <c r="T76" s="36">
        <v>2704.2450821297916</v>
      </c>
      <c r="U76" s="36">
        <v>2859.8418151741153</v>
      </c>
      <c r="V76" s="36">
        <v>3056.7189096869261</v>
      </c>
      <c r="W76" s="36">
        <v>3278.4714801811429</v>
      </c>
      <c r="X76" s="36">
        <v>3537.8789380811704</v>
      </c>
      <c r="Y76" s="36">
        <v>3880.1213374165563</v>
      </c>
      <c r="Z76" s="36">
        <v>4080.9365052457106</v>
      </c>
      <c r="AA76" s="36">
        <v>4187.3823234967258</v>
      </c>
      <c r="AB76" s="36">
        <v>4469.6199922941141</v>
      </c>
      <c r="AC76" s="36">
        <v>4565.3607057609752</v>
      </c>
      <c r="AD76" s="36">
        <v>4678.4065798117863</v>
      </c>
      <c r="AE76" s="36">
        <v>4889.9592842690736</v>
      </c>
      <c r="AF76" s="36">
        <v>5195.0333279141605</v>
      </c>
      <c r="AG76" s="36">
        <v>4849.569813956442</v>
      </c>
      <c r="AH76" s="36">
        <v>4762.8266732802176</v>
      </c>
      <c r="AI76" s="36">
        <v>4498.143376780843</v>
      </c>
      <c r="AJ76" s="36">
        <v>4643.2267500129919</v>
      </c>
      <c r="AK76" s="36">
        <v>4913.9625278420754</v>
      </c>
      <c r="AL76" s="36">
        <v>5201.6605323975009</v>
      </c>
      <c r="AM76" s="36">
        <v>5269.529529389556</v>
      </c>
      <c r="AN76" s="36">
        <v>5154.5522475029647</v>
      </c>
      <c r="AO76" s="36">
        <v>5223.6796964865898</v>
      </c>
      <c r="AP76" s="36">
        <v>4920.0568895944962</v>
      </c>
      <c r="AQ76" s="36">
        <v>4891.1540264610894</v>
      </c>
      <c r="AR76" s="36">
        <v>4799.9705188679245</v>
      </c>
      <c r="AS76" s="36">
        <v>4937.4936913293632</v>
      </c>
      <c r="AT76" s="36">
        <v>5162.0387909351193</v>
      </c>
      <c r="AU76" s="36">
        <v>5295.736927065499</v>
      </c>
      <c r="AV76" s="36">
        <v>5365.9068193586454</v>
      </c>
      <c r="AW76" s="36">
        <v>5485.4926796292675</v>
      </c>
      <c r="AX76" s="36">
        <v>5414.2090291528675</v>
      </c>
      <c r="AY76" s="36">
        <v>5377.0228585898121</v>
      </c>
      <c r="AZ76" s="36">
        <v>5532.2368421052633</v>
      </c>
      <c r="BA76" s="36">
        <v>5524.6659585173584</v>
      </c>
      <c r="BB76" s="36">
        <v>5552.3432073994863</v>
      </c>
      <c r="BC76" s="36">
        <v>5535.850184822787</v>
      </c>
      <c r="BD76" s="36">
        <v>5772.0455361978456</v>
      </c>
      <c r="BE76" s="36">
        <v>5877.8261628737573</v>
      </c>
      <c r="BF76" s="36">
        <v>6033.8906037008601</v>
      </c>
      <c r="BG76" s="36">
        <v>6195.9581062196075</v>
      </c>
      <c r="BH76" s="36">
        <v>6428.9483200317809</v>
      </c>
    </row>
    <row r="77" spans="1:60">
      <c r="A77" s="43" t="s">
        <v>239</v>
      </c>
      <c r="B77" s="36">
        <v>3669.7417976228239</v>
      </c>
      <c r="C77" s="36">
        <v>3730.9978397716359</v>
      </c>
      <c r="D77" s="36">
        <v>3893.0318496927393</v>
      </c>
      <c r="E77" s="36">
        <v>4112.1311815961726</v>
      </c>
      <c r="F77" s="36">
        <v>3907.2538063020975</v>
      </c>
      <c r="G77" s="36">
        <v>3975.3890997633343</v>
      </c>
      <c r="H77" s="36">
        <v>3956.8060514514132</v>
      </c>
      <c r="I77" s="36">
        <v>4264.199786571693</v>
      </c>
      <c r="J77" s="36">
        <v>4391.5595761480072</v>
      </c>
      <c r="K77" s="36">
        <v>4042.0266947445293</v>
      </c>
      <c r="L77" s="36">
        <v>4270.2772307836149</v>
      </c>
      <c r="M77" s="36">
        <v>4366.3048581031762</v>
      </c>
      <c r="N77" s="36">
        <v>4465.2469226316498</v>
      </c>
      <c r="O77" s="36">
        <v>4639.284081503225</v>
      </c>
      <c r="P77" s="36">
        <v>4638.2883586495691</v>
      </c>
      <c r="Q77" s="36">
        <v>4577.1385377720153</v>
      </c>
      <c r="R77" s="36">
        <v>4984.4535088447892</v>
      </c>
      <c r="S77" s="36">
        <v>5045.8058150833194</v>
      </c>
      <c r="T77" s="36">
        <v>5127.6448771781143</v>
      </c>
      <c r="U77" s="36">
        <v>5220.438323300782</v>
      </c>
      <c r="V77" s="36">
        <v>5231.429388612516</v>
      </c>
      <c r="W77" s="36">
        <v>5597.3089192947982</v>
      </c>
      <c r="X77" s="36">
        <v>5428.5602186221477</v>
      </c>
      <c r="Y77" s="36">
        <v>5033.6803061126766</v>
      </c>
      <c r="Z77" s="36">
        <v>4991.9856938139565</v>
      </c>
      <c r="AA77" s="36">
        <v>4273.2926547864754</v>
      </c>
      <c r="AB77" s="36">
        <v>4347.0255614904754</v>
      </c>
      <c r="AC77" s="36">
        <v>4700.0844688143743</v>
      </c>
      <c r="AD77" s="36">
        <v>5010.6606703094321</v>
      </c>
      <c r="AE77" s="36">
        <v>5344.660999238522</v>
      </c>
      <c r="AF77" s="36">
        <v>5680.4148631525359</v>
      </c>
      <c r="AG77" s="36">
        <v>5932.445915985566</v>
      </c>
      <c r="AH77" s="36">
        <v>5034.9481747410528</v>
      </c>
      <c r="AI77" s="36">
        <v>4810.2289032158733</v>
      </c>
      <c r="AJ77" s="36">
        <v>5010.8884213748725</v>
      </c>
      <c r="AK77" s="36">
        <v>5029.5541667596126</v>
      </c>
      <c r="AL77" s="36">
        <v>5227.4188544536082</v>
      </c>
      <c r="AM77" s="36">
        <v>5480.2437836402169</v>
      </c>
      <c r="AN77" s="36">
        <v>5780.3973938489626</v>
      </c>
      <c r="AO77" s="36">
        <v>6282.8974423662994</v>
      </c>
      <c r="AP77" s="36">
        <v>6400.944335125957</v>
      </c>
      <c r="AQ77" s="36">
        <v>6794.5587894217679</v>
      </c>
      <c r="AR77" s="36">
        <v>7505.0578312044054</v>
      </c>
      <c r="AS77" s="36">
        <v>7905.1298313453408</v>
      </c>
      <c r="AT77" s="36">
        <v>8399.3059824770717</v>
      </c>
      <c r="AU77" s="36">
        <v>8973.2151982597024</v>
      </c>
      <c r="AV77" s="36">
        <v>9504.9224142297189</v>
      </c>
      <c r="AW77" s="36">
        <v>9996.757880153873</v>
      </c>
      <c r="AX77" s="36">
        <v>10186.488532395631</v>
      </c>
      <c r="AY77" s="36">
        <v>9984.1152074327165</v>
      </c>
      <c r="AZ77" s="36">
        <v>10309.098843228739</v>
      </c>
      <c r="BA77" s="36">
        <v>10534.903917852022</v>
      </c>
      <c r="BB77" s="36">
        <v>10645.575335397316</v>
      </c>
      <c r="BC77" s="36">
        <v>10942.189892802449</v>
      </c>
      <c r="BD77" s="36">
        <v>11478.593079060369</v>
      </c>
      <c r="BE77" s="36">
        <v>12000.875273522975</v>
      </c>
      <c r="BF77" s="36">
        <v>12431.676057210079</v>
      </c>
      <c r="BG77" s="36">
        <v>12893.829735034349</v>
      </c>
      <c r="BH77" s="36">
        <v>13185.122158745595</v>
      </c>
    </row>
    <row r="78" spans="1:60">
      <c r="A78" s="43" t="s">
        <v>240</v>
      </c>
      <c r="B78" s="36">
        <v>2152.8412932817723</v>
      </c>
      <c r="C78" s="36">
        <v>2150.1044713748433</v>
      </c>
      <c r="D78" s="36">
        <v>2214.4366533878733</v>
      </c>
      <c r="E78" s="36">
        <v>2276.6170502820514</v>
      </c>
      <c r="F78" s="36">
        <v>2358.4556241173932</v>
      </c>
      <c r="G78" s="36">
        <v>2372.7582449890183</v>
      </c>
      <c r="H78" s="36">
        <v>2390.6360115361254</v>
      </c>
      <c r="I78" s="36">
        <v>2399.9735468600602</v>
      </c>
      <c r="J78" s="36">
        <v>2382.5605047961076</v>
      </c>
      <c r="K78" s="36">
        <v>2473.468494626371</v>
      </c>
      <c r="L78" s="36">
        <v>2496.8144944748319</v>
      </c>
      <c r="M78" s="36">
        <v>2539.85706832505</v>
      </c>
      <c r="N78" s="36">
        <v>2593.7859074297098</v>
      </c>
      <c r="O78" s="36">
        <v>2597.2276215166098</v>
      </c>
      <c r="P78" s="36">
        <v>2674.9032614704256</v>
      </c>
      <c r="Q78" s="36">
        <v>2688.8088307655594</v>
      </c>
      <c r="R78" s="36">
        <v>2750.0644212719976</v>
      </c>
      <c r="S78" s="36">
        <v>2784.2503959339865</v>
      </c>
      <c r="T78" s="36">
        <v>2873.6818562849057</v>
      </c>
      <c r="U78" s="36">
        <v>2976.4523118825214</v>
      </c>
      <c r="V78" s="36">
        <v>3094.2164359319218</v>
      </c>
      <c r="W78" s="36">
        <v>3194.2592999211233</v>
      </c>
      <c r="X78" s="36">
        <v>3355.2485950115538</v>
      </c>
      <c r="Y78" s="36">
        <v>3499.3797582589555</v>
      </c>
      <c r="Z78" s="36">
        <v>3617.6794643613866</v>
      </c>
      <c r="AA78" s="36">
        <v>3620.6010362694296</v>
      </c>
      <c r="AB78" s="36">
        <v>3713.2884162675541</v>
      </c>
      <c r="AC78" s="36">
        <v>3793.2640630598353</v>
      </c>
      <c r="AD78" s="36">
        <v>4041.6813294232652</v>
      </c>
      <c r="AE78" s="36">
        <v>4177.1248849340291</v>
      </c>
      <c r="AF78" s="36">
        <v>4257.2565806766552</v>
      </c>
      <c r="AG78" s="36">
        <v>4254.6022414109866</v>
      </c>
      <c r="AH78" s="36">
        <v>4202.4725077265866</v>
      </c>
      <c r="AI78" s="36">
        <v>4175.2240379546656</v>
      </c>
      <c r="AJ78" s="36">
        <v>4228.6568600494911</v>
      </c>
      <c r="AK78" s="36">
        <v>4271.7493613016004</v>
      </c>
      <c r="AL78" s="36">
        <v>4435.6578947368416</v>
      </c>
      <c r="AM78" s="36">
        <v>4577.2179627601308</v>
      </c>
      <c r="AN78" s="36">
        <v>4669.4661067786446</v>
      </c>
      <c r="AO78" s="36">
        <v>4726.0965115919143</v>
      </c>
      <c r="AP78" s="36">
        <v>4825.7426343417173</v>
      </c>
      <c r="AQ78" s="36">
        <v>4805.847187936829</v>
      </c>
      <c r="AR78" s="36">
        <v>4892.7260010491345</v>
      </c>
      <c r="AS78" s="36">
        <v>5010.967668228036</v>
      </c>
      <c r="AT78" s="36">
        <v>5222.953482510432</v>
      </c>
      <c r="AU78" s="36">
        <v>5399.8956101313115</v>
      </c>
      <c r="AV78" s="36">
        <v>5410.4437375316766</v>
      </c>
      <c r="AW78" s="36">
        <v>5391.6150547879943</v>
      </c>
      <c r="AX78" s="36">
        <v>5332.6747601840543</v>
      </c>
      <c r="AY78" s="36">
        <v>5025.4694086090176</v>
      </c>
      <c r="AZ78" s="36">
        <v>5078.9863626089364</v>
      </c>
      <c r="BA78" s="36">
        <v>5068.7679083094554</v>
      </c>
      <c r="BB78" s="36">
        <v>5083.5581480131241</v>
      </c>
      <c r="BC78" s="36">
        <v>5233.8165638007749</v>
      </c>
      <c r="BD78" s="36">
        <v>5395.6517642624958</v>
      </c>
      <c r="BE78" s="36">
        <v>5617.7262180974476</v>
      </c>
      <c r="BF78" s="36">
        <v>5917.2191486443235</v>
      </c>
      <c r="BG78" s="36">
        <v>6269.558359621451</v>
      </c>
      <c r="BH78" s="36">
        <v>6329.6085662238411</v>
      </c>
    </row>
    <row r="79" spans="1:60">
      <c r="A79" s="43" t="s">
        <v>241</v>
      </c>
      <c r="B79" s="36">
        <v>2365.0192837117406</v>
      </c>
      <c r="C79" s="36">
        <v>2477.3831859281572</v>
      </c>
      <c r="D79" s="36">
        <v>2503.987733409253</v>
      </c>
      <c r="E79" s="36">
        <v>2439.0873479626798</v>
      </c>
      <c r="F79" s="36">
        <v>2605.1411376780075</v>
      </c>
      <c r="G79" s="36">
        <v>2742.4001168056502</v>
      </c>
      <c r="H79" s="36">
        <v>2842.8187144680801</v>
      </c>
      <c r="I79" s="36">
        <v>2964.7401205887168</v>
      </c>
      <c r="J79" s="36">
        <v>3025.0992233264637</v>
      </c>
      <c r="K79" s="36">
        <v>3016.4379109497831</v>
      </c>
      <c r="L79" s="36">
        <v>3155.2026186603139</v>
      </c>
      <c r="M79" s="36">
        <v>3172.1124212808286</v>
      </c>
      <c r="N79" s="36">
        <v>3210.9492154770187</v>
      </c>
      <c r="O79" s="36">
        <v>3342.5582684785104</v>
      </c>
      <c r="P79" s="36">
        <v>3593.6842333706268</v>
      </c>
      <c r="Q79" s="36">
        <v>3701.9742792136503</v>
      </c>
      <c r="R79" s="36">
        <v>3812.5325649033243</v>
      </c>
      <c r="S79" s="36">
        <v>3922.4045708062276</v>
      </c>
      <c r="T79" s="36">
        <v>4072.5742098410578</v>
      </c>
      <c r="U79" s="36">
        <v>4185.4845601707721</v>
      </c>
      <c r="V79" s="36">
        <v>4319.6459970806718</v>
      </c>
      <c r="W79" s="36">
        <v>4364.8874616107978</v>
      </c>
      <c r="X79" s="36">
        <v>4601.9335351446962</v>
      </c>
      <c r="Y79" s="36">
        <v>4852.5901222300145</v>
      </c>
      <c r="Z79" s="36">
        <v>5012.7836384852899</v>
      </c>
      <c r="AA79" s="36">
        <v>5158.3402200911378</v>
      </c>
      <c r="AB79" s="36">
        <v>5243.7670970044273</v>
      </c>
      <c r="AC79" s="36">
        <v>5293.2736361130374</v>
      </c>
      <c r="AD79" s="36">
        <v>5595.136852967541</v>
      </c>
      <c r="AE79" s="36">
        <v>5967.5684320975179</v>
      </c>
      <c r="AF79" s="36">
        <v>6320.3940557924598</v>
      </c>
      <c r="AG79" s="36">
        <v>6716.8350765678342</v>
      </c>
      <c r="AH79" s="36">
        <v>6513.7229424128991</v>
      </c>
      <c r="AI79" s="36">
        <v>6087.5744506271503</v>
      </c>
      <c r="AJ79" s="36">
        <v>6162.4553753484033</v>
      </c>
      <c r="AK79" s="36">
        <v>6194.1147410239191</v>
      </c>
      <c r="AL79" s="36">
        <v>5834.2787188005268</v>
      </c>
      <c r="AM79" s="36">
        <v>5817.9418583236275</v>
      </c>
      <c r="AN79" s="36">
        <v>5770.8794336384017</v>
      </c>
      <c r="AO79" s="36">
        <v>5898.8324805801676</v>
      </c>
      <c r="AP79" s="36">
        <v>6084.9108221137394</v>
      </c>
      <c r="AQ79" s="36">
        <v>6226.3874844556522</v>
      </c>
      <c r="AR79" s="36">
        <v>6333.4749349769263</v>
      </c>
      <c r="AS79" s="36">
        <v>6339.158165313248</v>
      </c>
      <c r="AT79" s="36">
        <v>6503.9159649571957</v>
      </c>
      <c r="AU79" s="36">
        <v>6001.4737454755359</v>
      </c>
      <c r="AV79" s="36">
        <v>6209.2460099425862</v>
      </c>
      <c r="AW79" s="36">
        <v>6525.4502037047851</v>
      </c>
      <c r="AX79" s="36">
        <v>6753.2758750949897</v>
      </c>
      <c r="AY79" s="36">
        <v>6915.4674850118245</v>
      </c>
      <c r="AZ79" s="36">
        <v>7274.6781588329522</v>
      </c>
      <c r="BA79" s="36">
        <v>7177.2623377801929</v>
      </c>
      <c r="BB79" s="36">
        <v>7145.3602811407163</v>
      </c>
      <c r="BC79" s="36">
        <v>7158.9073849065935</v>
      </c>
      <c r="BD79" s="36">
        <v>7357.1930928010261</v>
      </c>
      <c r="BE79" s="36">
        <v>7511.0093741976143</v>
      </c>
      <c r="BF79" s="36">
        <v>7795.0647059631019</v>
      </c>
      <c r="BG79" s="36">
        <v>7972.1149663805418</v>
      </c>
      <c r="BH79" s="36">
        <v>7978.7986765543128</v>
      </c>
    </row>
    <row r="80" spans="1:60">
      <c r="A80" s="43" t="s">
        <v>242</v>
      </c>
      <c r="B80" s="36">
        <v>2307.6318375368492</v>
      </c>
      <c r="C80" s="36">
        <v>2425.6982954690652</v>
      </c>
      <c r="D80" s="36">
        <v>2487.3842780069031</v>
      </c>
      <c r="E80" s="36">
        <v>2578.5644003352727</v>
      </c>
      <c r="F80" s="36">
        <v>2582.8104652539359</v>
      </c>
      <c r="G80" s="36">
        <v>2702.9925618405118</v>
      </c>
      <c r="H80" s="36">
        <v>2751.2942312659325</v>
      </c>
      <c r="I80" s="36">
        <v>2809.5035042258451</v>
      </c>
      <c r="J80" s="36">
        <v>2742.984239147786</v>
      </c>
      <c r="K80" s="36">
        <v>2682.4949781523742</v>
      </c>
      <c r="L80" s="36">
        <v>2969.0866982177022</v>
      </c>
      <c r="M80" s="36">
        <v>3142.1580621482753</v>
      </c>
      <c r="N80" s="36">
        <v>3280.5591213806874</v>
      </c>
      <c r="O80" s="36">
        <v>3334.4417964492236</v>
      </c>
      <c r="P80" s="36">
        <v>3465.159061336205</v>
      </c>
      <c r="Q80" s="36">
        <v>3593.9584732238632</v>
      </c>
      <c r="R80" s="36">
        <v>3788.3591604218236</v>
      </c>
      <c r="S80" s="36">
        <v>3830.5501063286129</v>
      </c>
      <c r="T80" s="36">
        <v>3685.4761141391468</v>
      </c>
      <c r="U80" s="36">
        <v>3676.4854900187852</v>
      </c>
      <c r="V80" s="36">
        <v>3854.2235158571343</v>
      </c>
      <c r="W80" s="36">
        <v>3915.8184886831809</v>
      </c>
      <c r="X80" s="36">
        <v>3929.6437759321229</v>
      </c>
      <c r="Y80" s="36">
        <v>4022.8427280265919</v>
      </c>
      <c r="Z80" s="36">
        <v>4119.3376307352355</v>
      </c>
      <c r="AA80" s="36">
        <v>4325.9771209387864</v>
      </c>
      <c r="AB80" s="36">
        <v>4270.6061869497717</v>
      </c>
      <c r="AC80" s="36">
        <v>4156.9473709950144</v>
      </c>
      <c r="AD80" s="36">
        <v>4049.0669198427545</v>
      </c>
      <c r="AE80" s="36">
        <v>4180.7975796825613</v>
      </c>
      <c r="AF80" s="36">
        <v>4262.8349046081776</v>
      </c>
      <c r="AG80" s="36">
        <v>4342.3755088624494</v>
      </c>
      <c r="AH80" s="36">
        <v>4247.1248555549446</v>
      </c>
      <c r="AI80" s="36">
        <v>3594.1046743047714</v>
      </c>
      <c r="AJ80" s="36">
        <v>3675.6614591552261</v>
      </c>
      <c r="AK80" s="36">
        <v>3666.0662824207493</v>
      </c>
      <c r="AL80" s="36">
        <v>3946.0085620750442</v>
      </c>
      <c r="AM80" s="36">
        <v>4192.2090729783031</v>
      </c>
      <c r="AN80" s="36">
        <v>3766.4413326895219</v>
      </c>
      <c r="AO80" s="36">
        <v>3237.0100704458418</v>
      </c>
      <c r="AP80" s="36">
        <v>3008.287037037037</v>
      </c>
      <c r="AQ80" s="36">
        <v>3019.5856190778441</v>
      </c>
      <c r="AR80" s="36">
        <v>2930.6455909777105</v>
      </c>
      <c r="AS80" s="36">
        <v>3034.2278084634454</v>
      </c>
      <c r="AT80" s="36">
        <v>3376.9653585580982</v>
      </c>
      <c r="AU80" s="36">
        <v>3594.9377662684824</v>
      </c>
      <c r="AV80" s="36">
        <v>3608.3107941971966</v>
      </c>
      <c r="AW80" s="36">
        <v>3848.4324063267195</v>
      </c>
      <c r="AX80" s="36">
        <v>3786.9124861528721</v>
      </c>
      <c r="AY80" s="36">
        <v>3759.985984583041</v>
      </c>
      <c r="AZ80" s="36">
        <v>3816.9586384022696</v>
      </c>
      <c r="BA80" s="36">
        <v>3766.5471021332828</v>
      </c>
      <c r="BB80" s="36">
        <v>3894.2043002752771</v>
      </c>
      <c r="BC80" s="36">
        <v>3991.6040329972502</v>
      </c>
      <c r="BD80" s="36">
        <v>4132.1163925537685</v>
      </c>
      <c r="BE80" s="36">
        <v>4352.3582046985848</v>
      </c>
      <c r="BF80" s="36">
        <v>4624.52080329195</v>
      </c>
      <c r="BG80" s="36">
        <v>4970.3564858204036</v>
      </c>
      <c r="BH80" s="36">
        <v>5387.889380076077</v>
      </c>
    </row>
    <row r="81" spans="1:60">
      <c r="A81" s="43" t="s">
        <v>143</v>
      </c>
      <c r="B81" s="36">
        <v>4659.3977509655806</v>
      </c>
      <c r="C81" s="36">
        <v>4954.882009482425</v>
      </c>
      <c r="D81" s="36">
        <v>4956.5794408701422</v>
      </c>
      <c r="E81" s="36">
        <v>5138.5337489929589</v>
      </c>
      <c r="F81" s="36">
        <v>5390.7913645462222</v>
      </c>
      <c r="G81" s="36">
        <v>5351.5818890195887</v>
      </c>
      <c r="H81" s="36">
        <v>5360.1697575430362</v>
      </c>
      <c r="I81" s="36">
        <v>5332.8736692043049</v>
      </c>
      <c r="J81" s="36">
        <v>5402.3494448691699</v>
      </c>
      <c r="K81" s="36">
        <v>4859.6765880220692</v>
      </c>
      <c r="L81" s="36">
        <v>4960.1555767771151</v>
      </c>
      <c r="M81" s="36">
        <v>5036.2860666652632</v>
      </c>
      <c r="N81" s="36">
        <v>4858.2509834648599</v>
      </c>
      <c r="O81" s="36">
        <v>4819.7055519315109</v>
      </c>
      <c r="P81" s="36">
        <v>4858.0685610881465</v>
      </c>
      <c r="Q81" s="36">
        <v>4859.7674158684331</v>
      </c>
      <c r="R81" s="36">
        <v>4974.2632589141513</v>
      </c>
      <c r="S81" s="36">
        <v>4720.6210918441848</v>
      </c>
      <c r="T81" s="36">
        <v>4747.1608333480399</v>
      </c>
      <c r="U81" s="36">
        <v>4990.9720653323384</v>
      </c>
      <c r="V81" s="36">
        <v>5184.0537402002155</v>
      </c>
      <c r="W81" s="36">
        <v>5130.1431472002187</v>
      </c>
      <c r="X81" s="36">
        <v>4944.9978547643677</v>
      </c>
      <c r="Y81" s="36">
        <v>4974.3923588139505</v>
      </c>
      <c r="Z81" s="36">
        <v>5123.2941290875624</v>
      </c>
      <c r="AA81" s="36">
        <v>5417.0182841068918</v>
      </c>
      <c r="AB81" s="36">
        <v>5601.5379238028654</v>
      </c>
      <c r="AC81" s="36">
        <v>5628.6905175408128</v>
      </c>
      <c r="AD81" s="36">
        <v>5888.1601656886432</v>
      </c>
      <c r="AE81" s="36">
        <v>6214.8249828414555</v>
      </c>
      <c r="AF81" s="36">
        <v>6554.6075085324228</v>
      </c>
      <c r="AG81" s="36">
        <v>6873.2443820224717</v>
      </c>
      <c r="AH81" s="36">
        <v>5971.6981132075471</v>
      </c>
      <c r="AI81" s="36">
        <v>5583.138173302108</v>
      </c>
      <c r="AJ81" s="36">
        <v>5487.0345744680853</v>
      </c>
      <c r="AK81" s="36">
        <v>5559.7609561752988</v>
      </c>
      <c r="AL81" s="36">
        <v>6014.8465852853842</v>
      </c>
      <c r="AM81" s="36">
        <v>6453.2633650377174</v>
      </c>
      <c r="AN81" s="36">
        <v>6413.2985658409389</v>
      </c>
      <c r="AO81" s="36">
        <v>6454.015544041451</v>
      </c>
      <c r="AP81" s="36">
        <v>6464.6302250803856</v>
      </c>
      <c r="AQ81" s="36">
        <v>6607.1542638134779</v>
      </c>
      <c r="AR81" s="36">
        <v>7046.6222645099897</v>
      </c>
      <c r="AS81" s="36">
        <v>7214.8031496062995</v>
      </c>
      <c r="AT81" s="36">
        <v>7563.6932707355245</v>
      </c>
      <c r="AU81" s="36">
        <v>7357.2538055296682</v>
      </c>
      <c r="AV81" s="36">
        <v>7670.2652683528686</v>
      </c>
      <c r="AW81" s="36">
        <v>7992.653810835629</v>
      </c>
      <c r="AX81" s="36">
        <v>8304.3478260869579</v>
      </c>
      <c r="AY81" s="36">
        <v>8025.392986698911</v>
      </c>
      <c r="AZ81" s="36">
        <v>7873.4975961538457</v>
      </c>
      <c r="BA81" s="36">
        <v>7561.5292712066903</v>
      </c>
      <c r="BB81" s="36">
        <v>6689.7268408551063</v>
      </c>
      <c r="BC81" s="36">
        <v>6798.641865958075</v>
      </c>
      <c r="BD81" s="36">
        <v>7558.4263065179093</v>
      </c>
      <c r="BE81" s="36">
        <v>8012.554744525547</v>
      </c>
      <c r="BF81" s="36">
        <v>8528.6087714202731</v>
      </c>
      <c r="BG81" s="36">
        <v>9129.1534238659351</v>
      </c>
      <c r="BH81" s="36">
        <v>9893.0419781483615</v>
      </c>
    </row>
    <row r="82" spans="1:60">
      <c r="A82" s="43" t="s">
        <v>144</v>
      </c>
      <c r="B82" s="36">
        <v>7461.9595185152493</v>
      </c>
      <c r="C82" s="36">
        <v>7663.1870301436447</v>
      </c>
      <c r="D82" s="36">
        <v>7991.8111144120267</v>
      </c>
      <c r="E82" s="36">
        <v>7956.457398225918</v>
      </c>
      <c r="F82" s="36">
        <v>8417.386109319239</v>
      </c>
      <c r="G82" s="36">
        <v>8749.8624503018164</v>
      </c>
      <c r="H82" s="36">
        <v>9123.6977308073001</v>
      </c>
      <c r="I82" s="36">
        <v>10057.785944343359</v>
      </c>
      <c r="J82" s="36">
        <v>9816.2834009999042</v>
      </c>
      <c r="K82" s="36">
        <v>9997.4035755805107</v>
      </c>
      <c r="L82" s="36">
        <v>9645.8894964760711</v>
      </c>
      <c r="M82" s="36">
        <v>9001.5897376040975</v>
      </c>
      <c r="N82" s="36">
        <v>9057.9151764471117</v>
      </c>
      <c r="O82" s="36">
        <v>9134.3797357787043</v>
      </c>
      <c r="P82" s="36">
        <v>9562.0938526687078</v>
      </c>
      <c r="Q82" s="36">
        <v>9841.4874276762603</v>
      </c>
      <c r="R82" s="36">
        <v>9677.2447858653122</v>
      </c>
      <c r="S82" s="36">
        <v>9921.5700168246694</v>
      </c>
      <c r="T82" s="36">
        <v>10249.347066717457</v>
      </c>
      <c r="U82" s="36">
        <v>10262.422775778788</v>
      </c>
      <c r="V82" s="36">
        <v>10671.762277378813</v>
      </c>
      <c r="W82" s="36">
        <v>10446.306224534697</v>
      </c>
      <c r="X82" s="36">
        <v>10245.362636530517</v>
      </c>
      <c r="Y82" s="36">
        <v>10625.042304172148</v>
      </c>
      <c r="Z82" s="36">
        <v>10507.499575345168</v>
      </c>
      <c r="AA82" s="36">
        <v>10471.647821019462</v>
      </c>
      <c r="AB82" s="36">
        <v>10929.354395426944</v>
      </c>
      <c r="AC82" s="36">
        <v>11250.882452283149</v>
      </c>
      <c r="AD82" s="36">
        <v>11164.307294385457</v>
      </c>
      <c r="AE82" s="36">
        <v>10919.590554364691</v>
      </c>
      <c r="AF82" s="36">
        <v>10139.227743435251</v>
      </c>
      <c r="AG82" s="36">
        <v>9841.1242590870334</v>
      </c>
      <c r="AH82" s="36">
        <v>9356.1352881158327</v>
      </c>
      <c r="AI82" s="36">
        <v>8745.4211116262413</v>
      </c>
      <c r="AJ82" s="36">
        <v>8623.0344251669012</v>
      </c>
      <c r="AK82" s="36">
        <v>8521.4251099970006</v>
      </c>
      <c r="AL82" s="36">
        <v>8724.5040317966123</v>
      </c>
      <c r="AM82" s="36">
        <v>8804.9356505701617</v>
      </c>
      <c r="AN82" s="36">
        <v>9080.1039952370538</v>
      </c>
      <c r="AO82" s="36">
        <v>8093.9605390180805</v>
      </c>
      <c r="AP82" s="36">
        <v>8312.8669880221805</v>
      </c>
      <c r="AQ82" s="36">
        <v>8969.5316052751259</v>
      </c>
      <c r="AR82" s="36">
        <v>9381.7050281537086</v>
      </c>
      <c r="AS82" s="36">
        <v>9143.2023585133629</v>
      </c>
      <c r="AT82" s="36">
        <v>8623.6391176749039</v>
      </c>
      <c r="AU82" s="36">
        <v>8953.1300756415603</v>
      </c>
      <c r="AV82" s="36">
        <v>8750.0569190838305</v>
      </c>
      <c r="AW82" s="36">
        <v>9160.3166085323319</v>
      </c>
      <c r="AX82" s="36">
        <v>8985.6709595182638</v>
      </c>
      <c r="AY82" s="36">
        <v>8299.6670846123907</v>
      </c>
      <c r="AZ82" s="36">
        <v>8432.5118120291154</v>
      </c>
      <c r="BA82" s="36">
        <v>8590.3791310182842</v>
      </c>
      <c r="BB82" s="36">
        <v>7717.0138888888896</v>
      </c>
      <c r="BC82" s="36">
        <v>7012.75208800163</v>
      </c>
      <c r="BD82" s="36">
        <v>8176.1493675968677</v>
      </c>
      <c r="BE82" s="36">
        <v>8888.4403814951129</v>
      </c>
      <c r="BF82" s="36">
        <v>9626.6526266526271</v>
      </c>
      <c r="BG82" s="36">
        <v>10262.719028588996</v>
      </c>
      <c r="BH82" s="36">
        <v>10596.138557637707</v>
      </c>
    </row>
    <row r="83" spans="1:60" s="41" customFormat="1" ht="12.75">
      <c r="A83" s="44" t="s">
        <v>243</v>
      </c>
      <c r="B83" s="40">
        <v>2695.7693090483508</v>
      </c>
      <c r="C83" s="40">
        <v>2764.9902299510909</v>
      </c>
      <c r="D83" s="40">
        <v>2773.9556264358948</v>
      </c>
      <c r="E83" s="40">
        <v>2814.3744758222306</v>
      </c>
      <c r="F83" s="40">
        <v>2909.300238065985</v>
      </c>
      <c r="G83" s="40">
        <v>3026.3952404542988</v>
      </c>
      <c r="H83" s="40">
        <v>3060.0269057092046</v>
      </c>
      <c r="I83" s="40">
        <v>3203.2915943266794</v>
      </c>
      <c r="J83" s="40">
        <v>3283.0410873671071</v>
      </c>
      <c r="K83" s="40">
        <v>3258.9227793943141</v>
      </c>
      <c r="L83" s="40">
        <v>3387.2146362198814</v>
      </c>
      <c r="M83" s="40">
        <v>3457.2623665807514</v>
      </c>
      <c r="N83" s="40">
        <v>3489.1673290393665</v>
      </c>
      <c r="O83" s="40">
        <v>3484.7059929493248</v>
      </c>
      <c r="P83" s="40">
        <v>3629.4090052709421</v>
      </c>
      <c r="Q83" s="40">
        <v>3709.0005266206622</v>
      </c>
      <c r="R83" s="40">
        <v>3785.4586420480214</v>
      </c>
      <c r="S83" s="40">
        <v>3842.7319352129612</v>
      </c>
      <c r="T83" s="40">
        <v>3974.2818678178687</v>
      </c>
      <c r="U83" s="40">
        <v>4127.4846281344007</v>
      </c>
      <c r="V83" s="40">
        <v>4308.9470487685703</v>
      </c>
      <c r="W83" s="40">
        <v>4450.6771966599772</v>
      </c>
      <c r="X83" s="40">
        <v>4619.7631667494215</v>
      </c>
      <c r="Y83" s="40">
        <v>4874.2899893057438</v>
      </c>
      <c r="Z83" s="40">
        <v>5043.092026177922</v>
      </c>
      <c r="AA83" s="40">
        <v>5085.0170452548173</v>
      </c>
      <c r="AB83" s="40">
        <v>5239.9848998693205</v>
      </c>
      <c r="AC83" s="40">
        <v>5356.5068926117174</v>
      </c>
      <c r="AD83" s="40">
        <v>5453.0700571694797</v>
      </c>
      <c r="AE83" s="40">
        <v>5694.2131686718985</v>
      </c>
      <c r="AF83" s="40">
        <v>5891.2852801912468</v>
      </c>
      <c r="AG83" s="40">
        <v>5781.3460632053766</v>
      </c>
      <c r="AH83" s="40">
        <v>5585.37553405161</v>
      </c>
      <c r="AI83" s="40">
        <v>5303.0255734780812</v>
      </c>
      <c r="AJ83" s="40">
        <v>5395.7831626193538</v>
      </c>
      <c r="AK83" s="40">
        <v>5461.3701354853001</v>
      </c>
      <c r="AL83" s="40">
        <v>5588.2236911300388</v>
      </c>
      <c r="AM83" s="40">
        <v>5665.101968910074</v>
      </c>
      <c r="AN83" s="40">
        <v>5591.2652893293516</v>
      </c>
      <c r="AO83" s="40">
        <v>5541.0229951900237</v>
      </c>
      <c r="AP83" s="40">
        <v>5460.9236870297473</v>
      </c>
      <c r="AQ83" s="40">
        <v>5582.5710455764884</v>
      </c>
      <c r="AR83" s="40">
        <v>5671.9325574729764</v>
      </c>
      <c r="AS83" s="40">
        <v>5781.3035780608798</v>
      </c>
      <c r="AT83" s="40">
        <v>5995.9040983485511</v>
      </c>
      <c r="AU83" s="40">
        <v>5966.2095567448523</v>
      </c>
      <c r="AV83" s="40">
        <v>6079.28312781967</v>
      </c>
      <c r="AW83" s="40">
        <v>6309.296870223382</v>
      </c>
      <c r="AX83" s="40">
        <v>6351.6808014650342</v>
      </c>
      <c r="AY83" s="40">
        <v>6258.2431626470525</v>
      </c>
      <c r="AZ83" s="40">
        <v>6418.3421147191184</v>
      </c>
      <c r="BA83" s="40">
        <v>6360.1964758489739</v>
      </c>
      <c r="BB83" s="40">
        <v>6236.9960721791667</v>
      </c>
      <c r="BC83" s="40">
        <v>6273.3051688646538</v>
      </c>
      <c r="BD83" s="40">
        <v>6585.0479878356809</v>
      </c>
      <c r="BE83" s="40">
        <v>6819.2708437692754</v>
      </c>
      <c r="BF83" s="40">
        <v>7114.0589485483933</v>
      </c>
      <c r="BG83" s="40">
        <v>7397.8490196308931</v>
      </c>
      <c r="BH83" s="40">
        <v>7613.8143602788987</v>
      </c>
    </row>
    <row r="84" spans="1:60">
      <c r="A84" s="35" t="s">
        <v>244</v>
      </c>
      <c r="B84" s="36" t="s">
        <v>178</v>
      </c>
      <c r="C84" s="36" t="s">
        <v>178</v>
      </c>
      <c r="D84" s="36" t="s">
        <v>178</v>
      </c>
      <c r="E84" s="36" t="s">
        <v>178</v>
      </c>
      <c r="F84" s="36" t="s">
        <v>178</v>
      </c>
      <c r="G84" s="36" t="s">
        <v>178</v>
      </c>
      <c r="H84" s="36" t="s">
        <v>178</v>
      </c>
      <c r="I84" s="36" t="s">
        <v>178</v>
      </c>
      <c r="J84" s="36" t="s">
        <v>178</v>
      </c>
      <c r="K84" s="36" t="s">
        <v>178</v>
      </c>
      <c r="L84" s="36" t="s">
        <v>178</v>
      </c>
      <c r="M84" s="36" t="s">
        <v>178</v>
      </c>
      <c r="N84" s="36" t="s">
        <v>178</v>
      </c>
      <c r="O84" s="36" t="s">
        <v>178</v>
      </c>
      <c r="P84" s="36" t="s">
        <v>178</v>
      </c>
      <c r="Q84" s="36" t="s">
        <v>178</v>
      </c>
      <c r="R84" s="36" t="s">
        <v>178</v>
      </c>
      <c r="S84" s="36" t="s">
        <v>178</v>
      </c>
      <c r="T84" s="36" t="s">
        <v>178</v>
      </c>
      <c r="U84" s="36" t="s">
        <v>178</v>
      </c>
      <c r="V84" s="36" t="s">
        <v>178</v>
      </c>
      <c r="W84" s="36" t="s">
        <v>178</v>
      </c>
      <c r="X84" s="36" t="s">
        <v>178</v>
      </c>
      <c r="Y84" s="36" t="s">
        <v>178</v>
      </c>
      <c r="Z84" s="36" t="s">
        <v>178</v>
      </c>
      <c r="AA84" s="36" t="s">
        <v>178</v>
      </c>
      <c r="AB84" s="36" t="s">
        <v>178</v>
      </c>
      <c r="AC84" s="36" t="s">
        <v>178</v>
      </c>
      <c r="AD84" s="36" t="s">
        <v>178</v>
      </c>
      <c r="AE84" s="36" t="s">
        <v>178</v>
      </c>
      <c r="AF84" s="36" t="s">
        <v>178</v>
      </c>
      <c r="AG84" s="36" t="s">
        <v>178</v>
      </c>
      <c r="AH84" s="36" t="s">
        <v>178</v>
      </c>
      <c r="AI84" s="36" t="s">
        <v>178</v>
      </c>
      <c r="AJ84" s="36" t="s">
        <v>178</v>
      </c>
      <c r="AK84" s="36" t="s">
        <v>178</v>
      </c>
      <c r="AL84" s="36" t="s">
        <v>178</v>
      </c>
      <c r="AM84" s="36" t="s">
        <v>178</v>
      </c>
      <c r="AN84" s="36" t="s">
        <v>178</v>
      </c>
      <c r="AO84" s="36" t="s">
        <v>178</v>
      </c>
      <c r="AP84" s="36" t="s">
        <v>178</v>
      </c>
      <c r="AQ84" s="36" t="s">
        <v>178</v>
      </c>
      <c r="AR84" s="36" t="s">
        <v>178</v>
      </c>
      <c r="AS84" s="36" t="s">
        <v>178</v>
      </c>
      <c r="AT84" s="36" t="s">
        <v>178</v>
      </c>
      <c r="AU84" s="36" t="s">
        <v>178</v>
      </c>
      <c r="AV84" s="36" t="s">
        <v>178</v>
      </c>
      <c r="AW84" s="36" t="s">
        <v>178</v>
      </c>
      <c r="AX84" s="36" t="s">
        <v>178</v>
      </c>
      <c r="AY84" s="36" t="s">
        <v>178</v>
      </c>
      <c r="AZ84" s="36" t="s">
        <v>178</v>
      </c>
      <c r="BA84" s="36" t="s">
        <v>178</v>
      </c>
      <c r="BB84" s="36" t="s">
        <v>178</v>
      </c>
      <c r="BC84" s="36" t="s">
        <v>178</v>
      </c>
      <c r="BD84" s="36" t="s">
        <v>178</v>
      </c>
      <c r="BE84" s="36" t="s">
        <v>178</v>
      </c>
      <c r="BF84" s="36" t="s">
        <v>178</v>
      </c>
      <c r="BG84" s="36" t="s">
        <v>178</v>
      </c>
      <c r="BH84" s="36" t="s">
        <v>178</v>
      </c>
    </row>
    <row r="85" spans="1:60">
      <c r="A85" s="38" t="s">
        <v>245</v>
      </c>
      <c r="B85" s="36">
        <v>1919.3587338956802</v>
      </c>
      <c r="C85" s="36">
        <v>2012.6310928307057</v>
      </c>
      <c r="D85" s="36">
        <v>2030.6487497897385</v>
      </c>
      <c r="E85" s="36">
        <v>1800.0195587863775</v>
      </c>
      <c r="F85" s="36">
        <v>1798.8223895553963</v>
      </c>
      <c r="G85" s="36">
        <v>1853.4234174746796</v>
      </c>
      <c r="H85" s="36">
        <v>1705.9208821902496</v>
      </c>
      <c r="I85" s="36">
        <v>1613.7679972650324</v>
      </c>
      <c r="J85" s="36">
        <v>1615.9029702952205</v>
      </c>
      <c r="K85" s="36">
        <v>1575.1849256381076</v>
      </c>
      <c r="L85" s="36">
        <v>1606.2558949678705</v>
      </c>
      <c r="M85" s="36">
        <v>1603.0029759888316</v>
      </c>
      <c r="N85" s="36">
        <v>1654.1835400807699</v>
      </c>
      <c r="O85" s="36">
        <v>1720.3981795919499</v>
      </c>
      <c r="P85" s="36">
        <v>1761.924004009493</v>
      </c>
      <c r="Q85" s="36">
        <v>1805.7179337790967</v>
      </c>
      <c r="R85" s="36">
        <v>1891.0275419379268</v>
      </c>
      <c r="S85" s="36">
        <v>1962.0532758840438</v>
      </c>
      <c r="T85" s="36">
        <v>2078.7283323858574</v>
      </c>
      <c r="U85" s="36">
        <v>2119.6112497618415</v>
      </c>
      <c r="V85" s="36">
        <v>2176.3749540405015</v>
      </c>
      <c r="W85" s="36">
        <v>2204.4212339191731</v>
      </c>
      <c r="X85" s="36">
        <v>2260.4663468445897</v>
      </c>
      <c r="Y85" s="36">
        <v>2356.8763845046169</v>
      </c>
      <c r="Z85" s="36">
        <v>2418.1442129668239</v>
      </c>
      <c r="AA85" s="36">
        <v>2515.9147275022606</v>
      </c>
      <c r="AB85" s="36">
        <v>2647.0293865058406</v>
      </c>
      <c r="AC85" s="36">
        <v>2691.0953289514609</v>
      </c>
      <c r="AD85" s="36">
        <v>2714.5102948878898</v>
      </c>
      <c r="AE85" s="36">
        <v>2651.5957162227533</v>
      </c>
      <c r="AF85" s="36">
        <v>2571.9966081622438</v>
      </c>
      <c r="AG85" s="36">
        <v>2547.0567104232396</v>
      </c>
      <c r="AH85" s="36">
        <v>2394.0914079270869</v>
      </c>
      <c r="AI85" s="36">
        <v>2249.2633466459047</v>
      </c>
      <c r="AJ85" s="36">
        <v>2234.0324697439773</v>
      </c>
      <c r="AK85" s="36">
        <v>2180.8157966346726</v>
      </c>
      <c r="AL85" s="36">
        <v>2074.0397427727248</v>
      </c>
      <c r="AM85" s="36">
        <v>2088.5687651276266</v>
      </c>
      <c r="AN85" s="36">
        <v>2124.4073845597536</v>
      </c>
      <c r="AO85" s="36">
        <v>2138.3638986258266</v>
      </c>
      <c r="AP85" s="36">
        <v>2197.4779050487532</v>
      </c>
      <c r="AQ85" s="36">
        <v>2261.9083696849016</v>
      </c>
      <c r="AR85" s="36">
        <v>2246.3349634312335</v>
      </c>
      <c r="AS85" s="36">
        <v>2287.3546923731215</v>
      </c>
      <c r="AT85" s="36">
        <v>2343.7283437283436</v>
      </c>
      <c r="AU85" s="36">
        <v>2400.6779661016949</v>
      </c>
      <c r="AV85" s="36">
        <v>2453.4112025484469</v>
      </c>
      <c r="AW85" s="36">
        <v>2522.1572449642626</v>
      </c>
      <c r="AX85" s="36">
        <v>2597.9132205115152</v>
      </c>
      <c r="AY85" s="36">
        <v>2554.0742586593569</v>
      </c>
      <c r="AZ85" s="36">
        <v>2561.4399023794995</v>
      </c>
      <c r="BA85" s="36">
        <v>2550.8545476275845</v>
      </c>
      <c r="BB85" s="36">
        <v>2559.470849918052</v>
      </c>
      <c r="BC85" s="36">
        <v>2575.1806399816496</v>
      </c>
      <c r="BD85" s="36">
        <v>2629.9460431654675</v>
      </c>
      <c r="BE85" s="36">
        <v>2692.4603174603176</v>
      </c>
      <c r="BF85" s="36">
        <v>2767.3513513513512</v>
      </c>
      <c r="BG85" s="36">
        <v>2840.6535115637598</v>
      </c>
      <c r="BH85" s="36">
        <v>2958.9626080616604</v>
      </c>
    </row>
    <row r="86" spans="1:60">
      <c r="A86" s="38" t="s">
        <v>128</v>
      </c>
      <c r="B86" s="36">
        <v>1963.1318758636282</v>
      </c>
      <c r="C86" s="36">
        <v>1951.2227811681871</v>
      </c>
      <c r="D86" s="36">
        <v>2113.7472377166778</v>
      </c>
      <c r="E86" s="36">
        <v>2352.712972146006</v>
      </c>
      <c r="F86" s="36">
        <v>2289.2252456766346</v>
      </c>
      <c r="G86" s="36">
        <v>2459.8219391305533</v>
      </c>
      <c r="H86" s="36">
        <v>2301.1158452261643</v>
      </c>
      <c r="I86" s="36">
        <v>2405.8257664299199</v>
      </c>
      <c r="J86" s="36">
        <v>2604.7983035460602</v>
      </c>
      <c r="K86" s="36">
        <v>2598.0129117408856</v>
      </c>
      <c r="L86" s="36">
        <v>2715.4970024566878</v>
      </c>
      <c r="M86" s="36">
        <v>2722.5323098257195</v>
      </c>
      <c r="N86" s="36">
        <v>2784.7429390857928</v>
      </c>
      <c r="O86" s="36">
        <v>2918.6739876320562</v>
      </c>
      <c r="P86" s="36">
        <v>2961.4271509751534</v>
      </c>
      <c r="Q86" s="36">
        <v>3126.5019948171725</v>
      </c>
      <c r="R86" s="36">
        <v>3258.491382840562</v>
      </c>
      <c r="S86" s="36">
        <v>3348.6140074034583</v>
      </c>
      <c r="T86" s="36">
        <v>3497.1522317080016</v>
      </c>
      <c r="U86" s="36">
        <v>3622.191926975283</v>
      </c>
      <c r="V86" s="36">
        <v>3753.9116450775937</v>
      </c>
      <c r="W86" s="36">
        <v>3889.3705100031589</v>
      </c>
      <c r="X86" s="36">
        <v>4118.1689953542518</v>
      </c>
      <c r="Y86" s="36">
        <v>4318.5836954245278</v>
      </c>
      <c r="Z86" s="36">
        <v>4430.1344111967865</v>
      </c>
      <c r="AA86" s="36">
        <v>4396.0071902710415</v>
      </c>
      <c r="AB86" s="36">
        <v>4506.098683121827</v>
      </c>
      <c r="AC86" s="36">
        <v>4768.8902358454552</v>
      </c>
      <c r="AD86" s="36">
        <v>4870.0787778688509</v>
      </c>
      <c r="AE86" s="36">
        <v>4959.4771727749621</v>
      </c>
      <c r="AF86" s="36">
        <v>4910.5659372874197</v>
      </c>
      <c r="AG86" s="36">
        <v>4681.2328589882009</v>
      </c>
      <c r="AH86" s="36">
        <v>4234.5073992510206</v>
      </c>
      <c r="AI86" s="36">
        <v>4229.9546214990414</v>
      </c>
      <c r="AJ86" s="36">
        <v>4431.9100640463394</v>
      </c>
      <c r="AK86" s="36">
        <v>4340.3303114295741</v>
      </c>
      <c r="AL86" s="36">
        <v>4446.0178083082183</v>
      </c>
      <c r="AM86" s="36">
        <v>4529.9486286752926</v>
      </c>
      <c r="AN86" s="36">
        <v>4560.9677292578399</v>
      </c>
      <c r="AO86" s="36">
        <v>4698.3622309546408</v>
      </c>
      <c r="AP86" s="36">
        <v>4747.0000908437733</v>
      </c>
      <c r="AQ86" s="36">
        <v>4735.8473590540434</v>
      </c>
      <c r="AR86" s="36">
        <v>4956.8009237316337</v>
      </c>
      <c r="AS86" s="36">
        <v>5129.3321603978939</v>
      </c>
      <c r="AT86" s="36">
        <v>5236.5482527541881</v>
      </c>
      <c r="AU86" s="36">
        <v>5242.3527965420981</v>
      </c>
      <c r="AV86" s="36">
        <v>5185.5276873398261</v>
      </c>
      <c r="AW86" s="36">
        <v>5372.4915131916114</v>
      </c>
      <c r="AX86" s="36">
        <v>5718.1338717032613</v>
      </c>
      <c r="AY86" s="36">
        <v>6144.4627192982462</v>
      </c>
      <c r="AZ86" s="36">
        <v>6173.7345164797316</v>
      </c>
      <c r="BA86" s="36">
        <v>6135.4001059883412</v>
      </c>
      <c r="BB86" s="36">
        <v>6212.7215849843587</v>
      </c>
      <c r="BC86" s="36">
        <v>6503.4624262631451</v>
      </c>
      <c r="BD86" s="36">
        <v>6680.4748673907552</v>
      </c>
      <c r="BE86" s="36">
        <v>6968.897735755163</v>
      </c>
      <c r="BF86" s="36">
        <v>7472.5355566454145</v>
      </c>
      <c r="BG86" s="36">
        <v>7868.0203045685284</v>
      </c>
      <c r="BH86" s="36">
        <v>8032.4118207816964</v>
      </c>
    </row>
    <row r="87" spans="1:60">
      <c r="A87" s="38" t="s">
        <v>129</v>
      </c>
      <c r="B87" s="36">
        <v>2046.2256497505446</v>
      </c>
      <c r="C87" s="36">
        <v>2175.5671486984361</v>
      </c>
      <c r="D87" s="36">
        <v>2206.6324810908227</v>
      </c>
      <c r="E87" s="36">
        <v>1900.3729443151733</v>
      </c>
      <c r="F87" s="36">
        <v>1956.7221913369872</v>
      </c>
      <c r="G87" s="36">
        <v>2004.9815815628201</v>
      </c>
      <c r="H87" s="36">
        <v>2144.5006846372557</v>
      </c>
      <c r="I87" s="36">
        <v>2406.3539791878989</v>
      </c>
      <c r="J87" s="36">
        <v>2362.8364565260267</v>
      </c>
      <c r="K87" s="36">
        <v>2066.8360555441718</v>
      </c>
      <c r="L87" s="36">
        <v>2051.8811875552315</v>
      </c>
      <c r="M87" s="36">
        <v>2050.042052144659</v>
      </c>
      <c r="N87" s="36">
        <v>2046.351903879219</v>
      </c>
      <c r="O87" s="36">
        <v>2031.5894355191531</v>
      </c>
      <c r="P87" s="36">
        <v>2009.3861559126544</v>
      </c>
      <c r="Q87" s="36">
        <v>1988.3696572408717</v>
      </c>
      <c r="R87" s="36">
        <v>2051.2650970857007</v>
      </c>
      <c r="S87" s="36">
        <v>2247.6045945785231</v>
      </c>
      <c r="T87" s="36">
        <v>2079.9299076899824</v>
      </c>
      <c r="U87" s="36">
        <v>2020.8886114887364</v>
      </c>
      <c r="V87" s="36">
        <v>1917.4162499973663</v>
      </c>
      <c r="W87" s="36">
        <v>2036.5356056346152</v>
      </c>
      <c r="X87" s="36">
        <v>2095.6030721470834</v>
      </c>
      <c r="Y87" s="36">
        <v>2245.1064311984142</v>
      </c>
      <c r="Z87" s="36">
        <v>2324.0807851879399</v>
      </c>
      <c r="AA87" s="36">
        <v>2404.2865535839646</v>
      </c>
      <c r="AB87" s="36">
        <v>2438.6189608515356</v>
      </c>
      <c r="AC87" s="36">
        <v>2520.2380208488416</v>
      </c>
      <c r="AD87" s="36">
        <v>2649.6705220287922</v>
      </c>
      <c r="AE87" s="36">
        <v>2694.603069983471</v>
      </c>
      <c r="AF87" s="36">
        <v>2644.4697101152756</v>
      </c>
      <c r="AG87" s="36">
        <v>2847.4126014533604</v>
      </c>
      <c r="AH87" s="36">
        <v>2890.1167242674187</v>
      </c>
      <c r="AI87" s="36">
        <v>2945.4508652970344</v>
      </c>
      <c r="AJ87" s="36">
        <v>3022.4583918187291</v>
      </c>
      <c r="AK87" s="36">
        <v>3049.2747864096959</v>
      </c>
      <c r="AL87" s="36">
        <v>3027.7996845425869</v>
      </c>
      <c r="AM87" s="36">
        <v>2982.0886757365174</v>
      </c>
      <c r="AN87" s="36">
        <v>3010.0912090044635</v>
      </c>
      <c r="AO87" s="36">
        <v>2990.7763259031512</v>
      </c>
      <c r="AP87" s="36">
        <v>2957.0056120993054</v>
      </c>
      <c r="AQ87" s="36">
        <v>2589.8595796814625</v>
      </c>
      <c r="AR87" s="36">
        <v>2215.5817433595212</v>
      </c>
      <c r="AS87" s="36">
        <v>1848.0542398068171</v>
      </c>
      <c r="AT87" s="36">
        <v>1876.9999075187275</v>
      </c>
      <c r="AU87" s="36">
        <v>1931.5232397606994</v>
      </c>
      <c r="AV87" s="36">
        <v>2090.5425219941349</v>
      </c>
      <c r="AW87" s="36">
        <v>2151.6617969320673</v>
      </c>
      <c r="AX87" s="36">
        <v>2170.2882080189106</v>
      </c>
      <c r="AY87" s="36">
        <v>2306.5231158961369</v>
      </c>
      <c r="AZ87" s="36">
        <v>2421.7540068431476</v>
      </c>
      <c r="BA87" s="36">
        <v>2482.4309788454643</v>
      </c>
      <c r="BB87" s="36">
        <v>2509.8634294385433</v>
      </c>
      <c r="BC87" s="36">
        <v>2595.0031119409618</v>
      </c>
      <c r="BD87" s="36">
        <v>2735.5598866052446</v>
      </c>
      <c r="BE87" s="36">
        <v>3031.7852728235921</v>
      </c>
      <c r="BF87" s="36">
        <v>3387.8718535469106</v>
      </c>
      <c r="BG87" s="36">
        <v>3624.9780586273478</v>
      </c>
      <c r="BH87" s="36">
        <v>3763.6554621848741</v>
      </c>
    </row>
    <row r="88" spans="1:60">
      <c r="A88" s="38" t="s">
        <v>246</v>
      </c>
      <c r="B88" s="36">
        <v>1026.7882946134414</v>
      </c>
      <c r="C88" s="36">
        <v>1116.5194026765876</v>
      </c>
      <c r="D88" s="36">
        <v>1172.4585826296307</v>
      </c>
      <c r="E88" s="36">
        <v>1122.6512007579843</v>
      </c>
      <c r="F88" s="36">
        <v>1150.0769295473208</v>
      </c>
      <c r="G88" s="36">
        <v>1182.5707268261619</v>
      </c>
      <c r="H88" s="36">
        <v>1259.6435937115423</v>
      </c>
      <c r="I88" s="36">
        <v>1295.5042888136436</v>
      </c>
      <c r="J88" s="36">
        <v>1319.6605604107788</v>
      </c>
      <c r="K88" s="36">
        <v>1283.5311310686197</v>
      </c>
      <c r="L88" s="36">
        <v>1302.4959399508832</v>
      </c>
      <c r="M88" s="36">
        <v>1231.531148847333</v>
      </c>
      <c r="N88" s="36">
        <v>1394.2643756909788</v>
      </c>
      <c r="O88" s="36">
        <v>1437.0098539819799</v>
      </c>
      <c r="P88" s="36">
        <v>1484.133039291283</v>
      </c>
      <c r="Q88" s="36">
        <v>1258.8412512109549</v>
      </c>
      <c r="R88" s="36">
        <v>1383.9667175615291</v>
      </c>
      <c r="S88" s="36">
        <v>1387.206092346386</v>
      </c>
      <c r="T88" s="36">
        <v>1348.5640237239918</v>
      </c>
      <c r="U88" s="36">
        <v>1452.7237756486363</v>
      </c>
      <c r="V88" s="36">
        <v>1561.4701696114753</v>
      </c>
      <c r="W88" s="36">
        <v>1679.5785504821447</v>
      </c>
      <c r="X88" s="36">
        <v>1836.9504695558803</v>
      </c>
      <c r="Y88" s="36">
        <v>2005.1508001838142</v>
      </c>
      <c r="Z88" s="36">
        <v>2066.5367538163678</v>
      </c>
      <c r="AA88" s="36">
        <v>2111.3206123245741</v>
      </c>
      <c r="AB88" s="36">
        <v>2198.2056134717136</v>
      </c>
      <c r="AC88" s="36">
        <v>2249.7548464961906</v>
      </c>
      <c r="AD88" s="36">
        <v>2247.5249056028492</v>
      </c>
      <c r="AE88" s="36">
        <v>2289.1733051434035</v>
      </c>
      <c r="AF88" s="36">
        <v>2371.65945069692</v>
      </c>
      <c r="AG88" s="36">
        <v>2412.5835032722239</v>
      </c>
      <c r="AH88" s="36">
        <v>2399.7319484000668</v>
      </c>
      <c r="AI88" s="36">
        <v>2449.8853586636096</v>
      </c>
      <c r="AJ88" s="36">
        <v>2402.9157321371354</v>
      </c>
      <c r="AK88" s="36">
        <v>2291.8952813920678</v>
      </c>
      <c r="AL88" s="36">
        <v>2310.4189044038667</v>
      </c>
      <c r="AM88" s="36">
        <v>2431.8762205197536</v>
      </c>
      <c r="AN88" s="36">
        <v>2397.4113840270629</v>
      </c>
      <c r="AO88" s="36">
        <v>2647.2198213771248</v>
      </c>
      <c r="AP88" s="36">
        <v>2471.1280530848508</v>
      </c>
      <c r="AQ88" s="36">
        <v>2442.6138723522085</v>
      </c>
      <c r="AR88" s="36">
        <v>2550.5434782608695</v>
      </c>
      <c r="AS88" s="36">
        <v>2556.8166644411804</v>
      </c>
      <c r="AT88" s="36">
        <v>2622.5869993434012</v>
      </c>
      <c r="AU88" s="36">
        <v>2694.9896694214876</v>
      </c>
      <c r="AV88" s="36">
        <v>2839.9339933993401</v>
      </c>
      <c r="AW88" s="36">
        <v>3024.5911871177132</v>
      </c>
      <c r="AX88" s="36">
        <v>3192.6808301608744</v>
      </c>
      <c r="AY88" s="36">
        <v>3392.2918931980189</v>
      </c>
      <c r="AZ88" s="36">
        <v>3638.5255648038051</v>
      </c>
      <c r="BA88" s="36">
        <v>3710.9420713867758</v>
      </c>
      <c r="BB88" s="36">
        <v>3815.2073732718895</v>
      </c>
      <c r="BC88" s="36">
        <v>3745.5473624503684</v>
      </c>
      <c r="BD88" s="36">
        <v>3736.5657468439281</v>
      </c>
      <c r="BE88" s="36">
        <v>4022.4471830985922</v>
      </c>
      <c r="BF88" s="36">
        <v>4026.2302189464558</v>
      </c>
      <c r="BG88" s="36">
        <v>4303.2244287849671</v>
      </c>
      <c r="BH88" s="36">
        <v>4464.0790996108126</v>
      </c>
    </row>
    <row r="89" spans="1:60">
      <c r="A89" s="38" t="s">
        <v>247</v>
      </c>
      <c r="B89" s="36">
        <v>1862.9328878278791</v>
      </c>
      <c r="C89" s="36">
        <v>1835.1154812782652</v>
      </c>
      <c r="D89" s="36">
        <v>2008.8746666786897</v>
      </c>
      <c r="E89" s="36">
        <v>1998.3028564008423</v>
      </c>
      <c r="F89" s="36">
        <v>2103.3319644430753</v>
      </c>
      <c r="G89" s="36">
        <v>2101.2914067487527</v>
      </c>
      <c r="H89" s="36">
        <v>2120.5053858506853</v>
      </c>
      <c r="I89" s="36">
        <v>2156.2764498686051</v>
      </c>
      <c r="J89" s="36">
        <v>2158.6863337922969</v>
      </c>
      <c r="K89" s="36">
        <v>2211.3902677390083</v>
      </c>
      <c r="L89" s="36">
        <v>2288.5191790860235</v>
      </c>
      <c r="M89" s="36">
        <v>2278.8277762710236</v>
      </c>
      <c r="N89" s="36">
        <v>2330.5601995169709</v>
      </c>
      <c r="O89" s="36">
        <v>2320.2722198363053</v>
      </c>
      <c r="P89" s="36">
        <v>2410.9724711914255</v>
      </c>
      <c r="Q89" s="36">
        <v>2565.7614367482452</v>
      </c>
      <c r="R89" s="36">
        <v>2555.6462333188369</v>
      </c>
      <c r="S89" s="36">
        <v>2611.7254470564153</v>
      </c>
      <c r="T89" s="36">
        <v>2675.2189818516417</v>
      </c>
      <c r="U89" s="36">
        <v>2738.8446106312331</v>
      </c>
      <c r="V89" s="36">
        <v>2845.3106673810107</v>
      </c>
      <c r="W89" s="36">
        <v>2921.8020678550602</v>
      </c>
      <c r="X89" s="36">
        <v>3012.0735376511575</v>
      </c>
      <c r="Y89" s="36">
        <v>3290.2015770824205</v>
      </c>
      <c r="Z89" s="36">
        <v>3383.0208751186719</v>
      </c>
      <c r="AA89" s="36">
        <v>3459.406976267001</v>
      </c>
      <c r="AB89" s="36">
        <v>3686.7176505902216</v>
      </c>
      <c r="AC89" s="36">
        <v>3809.7967458117791</v>
      </c>
      <c r="AD89" s="36">
        <v>3960.78100448739</v>
      </c>
      <c r="AE89" s="36">
        <v>4059.6725391334435</v>
      </c>
      <c r="AF89" s="36">
        <v>4129.2852887172894</v>
      </c>
      <c r="AG89" s="36">
        <v>4181.3872806525123</v>
      </c>
      <c r="AH89" s="36">
        <v>4114.4653561801852</v>
      </c>
      <c r="AI89" s="36">
        <v>3921.8040997061262</v>
      </c>
      <c r="AJ89" s="36">
        <v>3974.8107514886137</v>
      </c>
      <c r="AK89" s="36">
        <v>4035.6826295920928</v>
      </c>
      <c r="AL89" s="36">
        <v>4047.7006817378146</v>
      </c>
      <c r="AM89" s="36">
        <v>3696.9529472429899</v>
      </c>
      <c r="AN89" s="36">
        <v>3988.1063356164036</v>
      </c>
      <c r="AO89" s="36">
        <v>3893.5242579707874</v>
      </c>
      <c r="AP89" s="36">
        <v>3902.583786294213</v>
      </c>
      <c r="AQ89" s="36">
        <v>4054.079969316329</v>
      </c>
      <c r="AR89" s="36">
        <v>4126.3028235740003</v>
      </c>
      <c r="AS89" s="36">
        <v>4138.6460851776083</v>
      </c>
      <c r="AT89" s="36">
        <v>4219.1046944520112</v>
      </c>
      <c r="AU89" s="36">
        <v>4248.0916030534354</v>
      </c>
      <c r="AV89" s="36">
        <v>4235.2941176470586</v>
      </c>
      <c r="AW89" s="36">
        <v>4280.5291723202172</v>
      </c>
      <c r="AX89" s="36">
        <v>4205.2941664592145</v>
      </c>
      <c r="AY89" s="36">
        <v>3829.3120313009458</v>
      </c>
      <c r="AZ89" s="36">
        <v>3218.6244576570784</v>
      </c>
      <c r="BA89" s="36">
        <v>3334.2307387758333</v>
      </c>
      <c r="BB89" s="36">
        <v>3316.9096437202775</v>
      </c>
      <c r="BC89" s="36">
        <v>3371.4030552967311</v>
      </c>
      <c r="BD89" s="36">
        <v>3561.0412926391382</v>
      </c>
      <c r="BE89" s="36">
        <v>3693.4563021519543</v>
      </c>
      <c r="BF89" s="36">
        <v>3767.1912050010778</v>
      </c>
      <c r="BG89" s="36">
        <v>3801.8394057304567</v>
      </c>
      <c r="BH89" s="36">
        <v>3987.1116065208307</v>
      </c>
    </row>
    <row r="90" spans="1:60">
      <c r="A90" s="38" t="s">
        <v>132</v>
      </c>
      <c r="B90" s="36">
        <v>1488.8132797195588</v>
      </c>
      <c r="C90" s="36">
        <v>1480.080974752683</v>
      </c>
      <c r="D90" s="36">
        <v>1549.7842490815594</v>
      </c>
      <c r="E90" s="36">
        <v>1615.9075426486208</v>
      </c>
      <c r="F90" s="36">
        <v>1589.4900011767136</v>
      </c>
      <c r="G90" s="36">
        <v>1624.3918097876808</v>
      </c>
      <c r="H90" s="36">
        <v>1701.438067173352</v>
      </c>
      <c r="I90" s="36">
        <v>1739.5327711758825</v>
      </c>
      <c r="J90" s="36">
        <v>1724.5419996202465</v>
      </c>
      <c r="K90" s="36">
        <v>1747.7984730433548</v>
      </c>
      <c r="L90" s="36">
        <v>1763.6465687913189</v>
      </c>
      <c r="M90" s="36">
        <v>1768.5878090900835</v>
      </c>
      <c r="N90" s="36">
        <v>1920.1604840726036</v>
      </c>
      <c r="O90" s="36">
        <v>1940.7000483059421</v>
      </c>
      <c r="P90" s="36">
        <v>2057.8890306340568</v>
      </c>
      <c r="Q90" s="36">
        <v>2100.831982482905</v>
      </c>
      <c r="R90" s="36">
        <v>2171.8518537462046</v>
      </c>
      <c r="S90" s="36">
        <v>2215.9485815794787</v>
      </c>
      <c r="T90" s="36">
        <v>2209.5288170835174</v>
      </c>
      <c r="U90" s="36">
        <v>2205.9987138159854</v>
      </c>
      <c r="V90" s="36">
        <v>2186.793388397647</v>
      </c>
      <c r="W90" s="36">
        <v>2222.1713133719732</v>
      </c>
      <c r="X90" s="36">
        <v>2298.13318884709</v>
      </c>
      <c r="Y90" s="36">
        <v>2342.325570361691</v>
      </c>
      <c r="Z90" s="36">
        <v>2435.9336851988137</v>
      </c>
      <c r="AA90" s="36">
        <v>2503.6973319031167</v>
      </c>
      <c r="AB90" s="36">
        <v>2532.3750933292322</v>
      </c>
      <c r="AC90" s="36">
        <v>2612.6737443217717</v>
      </c>
      <c r="AD90" s="36">
        <v>2714.7983235807592</v>
      </c>
      <c r="AE90" s="36">
        <v>2605.1146226033179</v>
      </c>
      <c r="AF90" s="36">
        <v>2353.8176938850015</v>
      </c>
      <c r="AG90" s="36">
        <v>2185.7795208693333</v>
      </c>
      <c r="AH90" s="36">
        <v>2083.6345523102</v>
      </c>
      <c r="AI90" s="36">
        <v>2076.0191039763531</v>
      </c>
      <c r="AJ90" s="36">
        <v>2091.4924973292332</v>
      </c>
      <c r="AK90" s="36">
        <v>2105.1115040195218</v>
      </c>
      <c r="AL90" s="36">
        <v>2089.2368939113458</v>
      </c>
      <c r="AM90" s="36">
        <v>2105.0375098560694</v>
      </c>
      <c r="AN90" s="36">
        <v>2106.1184322479508</v>
      </c>
      <c r="AO90" s="36">
        <v>2091.7065063217747</v>
      </c>
      <c r="AP90" s="36">
        <v>2118.675640465548</v>
      </c>
      <c r="AQ90" s="36">
        <v>2142.0841236623542</v>
      </c>
      <c r="AR90" s="36">
        <v>2259.4868397878226</v>
      </c>
      <c r="AS90" s="36">
        <v>2361.6715293150091</v>
      </c>
      <c r="AT90" s="36">
        <v>2458.7947917889937</v>
      </c>
      <c r="AU90" s="36">
        <v>2563.2968216915065</v>
      </c>
      <c r="AV90" s="36">
        <v>2560.7048458149779</v>
      </c>
      <c r="AW90" s="36">
        <v>2620.0518582541054</v>
      </c>
      <c r="AX90" s="36">
        <v>2667.7971850093268</v>
      </c>
      <c r="AY90" s="36">
        <v>2706.3716519713857</v>
      </c>
      <c r="AZ90" s="36">
        <v>2714.0058765915769</v>
      </c>
      <c r="BA90" s="36">
        <v>2709.0676065363664</v>
      </c>
      <c r="BB90" s="36">
        <v>2718.9367725699904</v>
      </c>
      <c r="BC90" s="36">
        <v>2730.8523780111182</v>
      </c>
      <c r="BD90" s="36">
        <v>2732.9390354868065</v>
      </c>
      <c r="BE90" s="36">
        <v>2768.1764004767579</v>
      </c>
      <c r="BF90" s="36">
        <v>2834.5534407027817</v>
      </c>
      <c r="BG90" s="36">
        <v>2917.3862982153137</v>
      </c>
      <c r="BH90" s="36">
        <v>2940.4189074440983</v>
      </c>
    </row>
    <row r="91" spans="1:60">
      <c r="A91" s="38" t="s">
        <v>133</v>
      </c>
      <c r="B91" s="36">
        <v>2084.8939162862889</v>
      </c>
      <c r="C91" s="36">
        <v>2047.2928897586432</v>
      </c>
      <c r="D91" s="36">
        <v>2024.005053695515</v>
      </c>
      <c r="E91" s="36">
        <v>2032.1199143468948</v>
      </c>
      <c r="F91" s="36">
        <v>2004.4431279620851</v>
      </c>
      <c r="G91" s="36">
        <v>1988.5288213363924</v>
      </c>
      <c r="H91" s="36">
        <v>2100.2220988339809</v>
      </c>
      <c r="I91" s="36">
        <v>2148.3870967741937</v>
      </c>
      <c r="J91" s="36">
        <v>2176.6848816029146</v>
      </c>
      <c r="K91" s="36">
        <v>2211.0831234256925</v>
      </c>
      <c r="L91" s="36">
        <v>2193.1707317073174</v>
      </c>
      <c r="M91" s="36">
        <v>2215.9735349716448</v>
      </c>
      <c r="N91" s="36">
        <v>2223.2653995878177</v>
      </c>
      <c r="O91" s="36">
        <v>2360.1864181091878</v>
      </c>
      <c r="P91" s="36">
        <v>2393.1182795698924</v>
      </c>
      <c r="Q91" s="36">
        <v>2446.9026548672564</v>
      </c>
      <c r="R91" s="36">
        <v>2530.4563287218666</v>
      </c>
      <c r="S91" s="36">
        <v>2581.3435855928774</v>
      </c>
      <c r="T91" s="36">
        <v>2750.6442021803769</v>
      </c>
      <c r="U91" s="36">
        <v>2821.1997670355272</v>
      </c>
      <c r="V91" s="36">
        <v>2918.6930091185413</v>
      </c>
      <c r="W91" s="36">
        <v>3012.2562674094706</v>
      </c>
      <c r="X91" s="36">
        <v>3160.0725952813068</v>
      </c>
      <c r="Y91" s="36">
        <v>3297.2158184075192</v>
      </c>
      <c r="Z91" s="36">
        <v>3426.1216005543047</v>
      </c>
      <c r="AA91" s="36">
        <v>3411.8443316412859</v>
      </c>
      <c r="AB91" s="36">
        <v>3578.5820525532968</v>
      </c>
      <c r="AC91" s="36">
        <v>3766.9840245279975</v>
      </c>
      <c r="AD91" s="36">
        <v>3862.433028679483</v>
      </c>
      <c r="AE91" s="36">
        <v>3951.2007389162563</v>
      </c>
      <c r="AF91" s="36">
        <v>4004.812030075188</v>
      </c>
      <c r="AG91" s="36">
        <v>3925.0256260067358</v>
      </c>
      <c r="AH91" s="36">
        <v>3702.9929829586135</v>
      </c>
      <c r="AI91" s="36">
        <v>3504.3816942551121</v>
      </c>
      <c r="AJ91" s="36">
        <v>3431.0298102981028</v>
      </c>
      <c r="AK91" s="36">
        <v>3319.7467352592007</v>
      </c>
      <c r="AL91" s="36">
        <v>3222.3785166240409</v>
      </c>
      <c r="AM91" s="36">
        <v>3197.794117647059</v>
      </c>
      <c r="AN91" s="36">
        <v>3190.913370998117</v>
      </c>
      <c r="AO91" s="36">
        <v>3227.4653533386781</v>
      </c>
      <c r="AP91" s="36">
        <v>3240.017845192951</v>
      </c>
      <c r="AQ91" s="36">
        <v>3269.8361011614024</v>
      </c>
      <c r="AR91" s="36">
        <v>3373.6521831963273</v>
      </c>
      <c r="AS91" s="36">
        <v>3451.1183450593303</v>
      </c>
      <c r="AT91" s="36">
        <v>3498.5172308006954</v>
      </c>
      <c r="AU91" s="36">
        <v>3582.2696449940167</v>
      </c>
      <c r="AV91" s="36">
        <v>3603.4281262173745</v>
      </c>
      <c r="AW91" s="36">
        <v>3669.7789634146343</v>
      </c>
      <c r="AX91" s="36">
        <v>3780.5379155771388</v>
      </c>
      <c r="AY91" s="36">
        <v>3853.9851417041182</v>
      </c>
      <c r="AZ91" s="36">
        <v>3927.1989174560217</v>
      </c>
      <c r="BA91" s="36">
        <v>3947.9794399149237</v>
      </c>
      <c r="BB91" s="36">
        <v>3958.546971408708</v>
      </c>
      <c r="BC91" s="36">
        <v>3982.0895522388059</v>
      </c>
      <c r="BD91" s="36">
        <v>4035.5108877721941</v>
      </c>
      <c r="BE91" s="36">
        <v>4085.529015841747</v>
      </c>
      <c r="BF91" s="36">
        <v>4212.1236451224413</v>
      </c>
      <c r="BG91" s="36">
        <v>4381.4424890006285</v>
      </c>
      <c r="BH91" s="36">
        <v>4460.6214428549456</v>
      </c>
    </row>
    <row r="92" spans="1:60">
      <c r="A92" s="38" t="s">
        <v>248</v>
      </c>
      <c r="B92" s="36">
        <v>1050.6195878884937</v>
      </c>
      <c r="C92" s="36">
        <v>1049.5867768595042</v>
      </c>
      <c r="D92" s="36">
        <v>1091.3356271504535</v>
      </c>
      <c r="E92" s="36">
        <v>1039.3846153846152</v>
      </c>
      <c r="F92" s="36">
        <v>1105.2631578947369</v>
      </c>
      <c r="G92" s="36">
        <v>1042.1991084695394</v>
      </c>
      <c r="H92" s="36">
        <v>1112.9267580974613</v>
      </c>
      <c r="I92" s="36">
        <v>1027.7936962750716</v>
      </c>
      <c r="J92" s="36">
        <v>1088.2766376159684</v>
      </c>
      <c r="K92" s="36">
        <v>1017.3793103448277</v>
      </c>
      <c r="L92" s="36">
        <v>1061.9421152285638</v>
      </c>
      <c r="M92" s="36">
        <v>998.93927340228061</v>
      </c>
      <c r="N92" s="36">
        <v>1072.7650727650728</v>
      </c>
      <c r="O92" s="36">
        <v>982.68839103869652</v>
      </c>
      <c r="P92" s="36">
        <v>940.64837905236914</v>
      </c>
      <c r="Q92" s="36">
        <v>931.36297020029315</v>
      </c>
      <c r="R92" s="36">
        <v>906.91553003110789</v>
      </c>
      <c r="S92" s="36">
        <v>870.16639325052722</v>
      </c>
      <c r="T92" s="36">
        <v>886.13406795224978</v>
      </c>
      <c r="U92" s="36">
        <v>896.33460760062962</v>
      </c>
      <c r="V92" s="36">
        <v>919.18079718123761</v>
      </c>
      <c r="W92" s="36">
        <v>969.46564885496173</v>
      </c>
      <c r="X92" s="36">
        <v>995.02810203199306</v>
      </c>
      <c r="Y92" s="36">
        <v>1024.9307479224376</v>
      </c>
      <c r="Z92" s="36">
        <v>1074.5955032569868</v>
      </c>
      <c r="AA92" s="36">
        <v>1034.8042262274703</v>
      </c>
      <c r="AB92" s="36">
        <v>1107.2084949969369</v>
      </c>
      <c r="AC92" s="36">
        <v>1096.3976655262629</v>
      </c>
      <c r="AD92" s="36">
        <v>1132.0380650277557</v>
      </c>
      <c r="AE92" s="36">
        <v>1196.4460066393283</v>
      </c>
      <c r="AF92" s="36">
        <v>1267.5</v>
      </c>
      <c r="AG92" s="36">
        <v>1213.0961392884178</v>
      </c>
      <c r="AH92" s="36">
        <v>1152.2426949562628</v>
      </c>
      <c r="AI92" s="36">
        <v>1140.8193123628382</v>
      </c>
      <c r="AJ92" s="36">
        <v>1123.1597845601436</v>
      </c>
      <c r="AK92" s="36">
        <v>1104.2804298044741</v>
      </c>
      <c r="AL92" s="36">
        <v>1081.5339436863017</v>
      </c>
      <c r="AM92" s="36">
        <v>1052.3285351397121</v>
      </c>
      <c r="AN92" s="36">
        <v>1038.9847378898473</v>
      </c>
      <c r="AO92" s="36">
        <v>1027.9356829624817</v>
      </c>
      <c r="AP92" s="36">
        <v>1005.4062649069804</v>
      </c>
      <c r="AQ92" s="36">
        <v>988.28856964397244</v>
      </c>
      <c r="AR92" s="36">
        <v>836.424957841484</v>
      </c>
      <c r="AS92" s="36">
        <v>800.96067247072961</v>
      </c>
      <c r="AT92" s="36">
        <v>719.45302161446841</v>
      </c>
      <c r="AU92" s="36">
        <v>739.812814974802</v>
      </c>
      <c r="AV92" s="36">
        <v>754.76224072244952</v>
      </c>
      <c r="AW92" s="36">
        <v>760.27681660899646</v>
      </c>
      <c r="AX92" s="36">
        <v>762.35741444866926</v>
      </c>
      <c r="AY92" s="36">
        <v>768.76916922256305</v>
      </c>
      <c r="AZ92" s="36">
        <v>761.48710564209978</v>
      </c>
      <c r="BA92" s="36">
        <v>739.52711385248006</v>
      </c>
      <c r="BB92" s="36">
        <v>722.14511041009462</v>
      </c>
      <c r="BC92" s="36">
        <v>711.40274854525194</v>
      </c>
      <c r="BD92" s="36">
        <v>673.34547662416514</v>
      </c>
      <c r="BE92" s="36">
        <v>672.42406194163198</v>
      </c>
      <c r="BF92" s="36">
        <v>679.05997895475264</v>
      </c>
      <c r="BG92" s="36">
        <v>689.47308001377576</v>
      </c>
      <c r="BH92" s="36">
        <v>685.83023334460597</v>
      </c>
    </row>
    <row r="93" spans="1:60">
      <c r="A93" s="38" t="s">
        <v>135</v>
      </c>
      <c r="B93" s="36">
        <v>1313.3563450131232</v>
      </c>
      <c r="C93" s="36">
        <v>1344.4662190991535</v>
      </c>
      <c r="D93" s="36">
        <v>1356.2199290521685</v>
      </c>
      <c r="E93" s="36">
        <v>1421.0564722721156</v>
      </c>
      <c r="F93" s="36">
        <v>1299.8468614036731</v>
      </c>
      <c r="G93" s="36">
        <v>1292.8500997762628</v>
      </c>
      <c r="H93" s="36">
        <v>1353.9177025614235</v>
      </c>
      <c r="I93" s="36">
        <v>1372.0140759945548</v>
      </c>
      <c r="J93" s="36">
        <v>1370.3476669366169</v>
      </c>
      <c r="K93" s="36">
        <v>1360.1840404719612</v>
      </c>
      <c r="L93" s="36">
        <v>1397.7987743641245</v>
      </c>
      <c r="M93" s="36">
        <v>1386.0453273479425</v>
      </c>
      <c r="N93" s="36">
        <v>1415.6797415702706</v>
      </c>
      <c r="O93" s="36">
        <v>1416.9432991832609</v>
      </c>
      <c r="P93" s="36">
        <v>1437.6035962795938</v>
      </c>
      <c r="Q93" s="36">
        <v>1506.5523650381963</v>
      </c>
      <c r="R93" s="36">
        <v>1538.337882471483</v>
      </c>
      <c r="S93" s="36">
        <v>1568.3677578459378</v>
      </c>
      <c r="T93" s="36">
        <v>1603.172691879008</v>
      </c>
      <c r="U93" s="36">
        <v>1559.2171069242347</v>
      </c>
      <c r="V93" s="36">
        <v>1556.1462342782502</v>
      </c>
      <c r="W93" s="36">
        <v>1562.3894824786178</v>
      </c>
      <c r="X93" s="36">
        <v>1563.1608021999591</v>
      </c>
      <c r="Y93" s="36">
        <v>1580.9968467787921</v>
      </c>
      <c r="Z93" s="36">
        <v>1745.2884264521497</v>
      </c>
      <c r="AA93" s="36">
        <v>1731.909264612219</v>
      </c>
      <c r="AB93" s="36">
        <v>1850.5693200181706</v>
      </c>
      <c r="AC93" s="36">
        <v>1979.2258205997246</v>
      </c>
      <c r="AD93" s="36">
        <v>2102.9910012061737</v>
      </c>
      <c r="AE93" s="36">
        <v>2127.6790425444306</v>
      </c>
      <c r="AF93" s="36">
        <v>2061.7647577558687</v>
      </c>
      <c r="AG93" s="36">
        <v>2031.3229089244126</v>
      </c>
      <c r="AH93" s="36">
        <v>1928.9004776740262</v>
      </c>
      <c r="AI93" s="36">
        <v>1852.1909469227417</v>
      </c>
      <c r="AJ93" s="36">
        <v>1859.4772305589011</v>
      </c>
      <c r="AK93" s="36">
        <v>1874.1503156863928</v>
      </c>
      <c r="AL93" s="36">
        <v>1824.4241409884687</v>
      </c>
      <c r="AM93" s="36">
        <v>1867.9370559875649</v>
      </c>
      <c r="AN93" s="36">
        <v>1898.8759389975858</v>
      </c>
      <c r="AO93" s="36">
        <v>1910.8225517451779</v>
      </c>
      <c r="AP93" s="36">
        <v>1856.7397377986345</v>
      </c>
      <c r="AQ93" s="36">
        <v>1853.1298283938506</v>
      </c>
      <c r="AR93" s="36">
        <v>1904.1440342761684</v>
      </c>
      <c r="AS93" s="36">
        <v>1980.068142644453</v>
      </c>
      <c r="AT93" s="36">
        <v>1885.9541715735575</v>
      </c>
      <c r="AU93" s="36">
        <v>1899.323589097731</v>
      </c>
      <c r="AV93" s="36">
        <v>1912.1882772152596</v>
      </c>
      <c r="AW93" s="36">
        <v>1952.809129310252</v>
      </c>
      <c r="AX93" s="36">
        <v>1957.7578583447373</v>
      </c>
      <c r="AY93" s="36">
        <v>1871.4190928754215</v>
      </c>
      <c r="AZ93" s="36">
        <v>1911.5711653022263</v>
      </c>
      <c r="BA93" s="36">
        <v>1911.5474045331771</v>
      </c>
      <c r="BB93" s="36">
        <v>1915.2870729129975</v>
      </c>
      <c r="BC93" s="36">
        <v>1953.0856122254829</v>
      </c>
      <c r="BD93" s="36">
        <v>2025.4065583043955</v>
      </c>
      <c r="BE93" s="36">
        <v>2100.8936785129035</v>
      </c>
      <c r="BF93" s="36">
        <v>2191.088345642992</v>
      </c>
      <c r="BG93" s="36">
        <v>2280.1363431738819</v>
      </c>
      <c r="BH93" s="36">
        <v>2323.1103996464612</v>
      </c>
    </row>
    <row r="94" spans="1:60">
      <c r="A94" s="38" t="s">
        <v>249</v>
      </c>
      <c r="B94" s="36">
        <v>1326.7848759524757</v>
      </c>
      <c r="C94" s="36">
        <v>1412.1932392582605</v>
      </c>
      <c r="D94" s="36">
        <v>1504.1073701261137</v>
      </c>
      <c r="E94" s="36">
        <v>1691.0659038664294</v>
      </c>
      <c r="F94" s="36">
        <v>1858.1547235764879</v>
      </c>
      <c r="G94" s="36">
        <v>2020.4123441283443</v>
      </c>
      <c r="H94" s="36">
        <v>2190.1024851404823</v>
      </c>
      <c r="I94" s="36">
        <v>2468.2591900149177</v>
      </c>
      <c r="J94" s="36">
        <v>2458.2389965224443</v>
      </c>
      <c r="K94" s="36">
        <v>2541.4057150361295</v>
      </c>
      <c r="L94" s="36">
        <v>2653.5374779995391</v>
      </c>
      <c r="M94" s="36">
        <v>2702.1975608009625</v>
      </c>
      <c r="N94" s="36">
        <v>2722.3132395827834</v>
      </c>
      <c r="O94" s="36">
        <v>2757.021097896336</v>
      </c>
      <c r="P94" s="36">
        <v>2903.9728073136407</v>
      </c>
      <c r="Q94" s="36">
        <v>3069.6574822619823</v>
      </c>
      <c r="R94" s="36">
        <v>3128.9799031032667</v>
      </c>
      <c r="S94" s="36">
        <v>3178.234760592683</v>
      </c>
      <c r="T94" s="36">
        <v>3283.9057458844231</v>
      </c>
      <c r="U94" s="36">
        <v>3480.3853897786798</v>
      </c>
      <c r="V94" s="36">
        <v>3848.6727197990317</v>
      </c>
      <c r="W94" s="36">
        <v>3803.2304835964401</v>
      </c>
      <c r="X94" s="36">
        <v>3857.5982571224899</v>
      </c>
      <c r="Y94" s="36">
        <v>4130.3746801304478</v>
      </c>
      <c r="Z94" s="36">
        <v>3908.4642029098864</v>
      </c>
      <c r="AA94" s="36">
        <v>3844.8765938564643</v>
      </c>
      <c r="AB94" s="36">
        <v>3563.8149272424898</v>
      </c>
      <c r="AC94" s="36">
        <v>3450.9234454153211</v>
      </c>
      <c r="AD94" s="36">
        <v>3439.4140515847871</v>
      </c>
      <c r="AE94" s="36">
        <v>3335.8326782935287</v>
      </c>
      <c r="AF94" s="36">
        <v>3121.4064230889853</v>
      </c>
      <c r="AG94" s="36">
        <v>3162.4606795703803</v>
      </c>
      <c r="AH94" s="36">
        <v>3148.8368187219385</v>
      </c>
      <c r="AI94" s="36">
        <v>3210.4141412564882</v>
      </c>
      <c r="AJ94" s="36">
        <v>3174.1681587231051</v>
      </c>
      <c r="AK94" s="36">
        <v>3020.2893750334242</v>
      </c>
      <c r="AL94" s="36">
        <v>3064.3315934782554</v>
      </c>
      <c r="AM94" s="36">
        <v>3295.7879417486242</v>
      </c>
      <c r="AN94" s="36">
        <v>3385.5085300739065</v>
      </c>
      <c r="AO94" s="36">
        <v>3605.5352752514741</v>
      </c>
      <c r="AP94" s="36">
        <v>3786.3268030198615</v>
      </c>
      <c r="AQ94" s="36">
        <v>3780.5636546098749</v>
      </c>
      <c r="AR94" s="36">
        <v>3842.5674067883119</v>
      </c>
      <c r="AS94" s="36">
        <v>3864.6492178695994</v>
      </c>
      <c r="AT94" s="36">
        <v>3890.6529944609183</v>
      </c>
      <c r="AU94" s="36">
        <v>3904.6096018083826</v>
      </c>
      <c r="AV94" s="36">
        <v>3796.5569941278695</v>
      </c>
      <c r="AW94" s="36">
        <v>3695.7134070053025</v>
      </c>
      <c r="AX94" s="36">
        <v>3638.8177533063558</v>
      </c>
      <c r="AY94" s="36">
        <v>3595.5077012931929</v>
      </c>
      <c r="AZ94" s="36">
        <v>3598.2101857909124</v>
      </c>
      <c r="BA94" s="36">
        <v>3626.1182014544615</v>
      </c>
      <c r="BB94" s="36">
        <v>3629.7327350328878</v>
      </c>
      <c r="BC94" s="36">
        <v>3723.3524230615021</v>
      </c>
      <c r="BD94" s="36">
        <v>3741.6144489495023</v>
      </c>
      <c r="BE94" s="36">
        <v>3745.7069784435512</v>
      </c>
      <c r="BF94" s="36">
        <v>3814.0630663283796</v>
      </c>
      <c r="BG94" s="36">
        <v>3835.3702372393964</v>
      </c>
      <c r="BH94" s="36">
        <v>3668.330955777461</v>
      </c>
    </row>
    <row r="95" spans="1:60">
      <c r="A95" s="38" t="s">
        <v>138</v>
      </c>
      <c r="B95" s="36">
        <v>1615.7884574047562</v>
      </c>
      <c r="C95" s="36">
        <v>1674.1697876880457</v>
      </c>
      <c r="D95" s="36">
        <v>1899.999142212577</v>
      </c>
      <c r="E95" s="36">
        <v>1887.6184547162998</v>
      </c>
      <c r="F95" s="36">
        <v>2002.2121214567705</v>
      </c>
      <c r="G95" s="36">
        <v>2071.576653033615</v>
      </c>
      <c r="H95" s="36">
        <v>2007.7623355931098</v>
      </c>
      <c r="I95" s="36">
        <v>2110.6424065444635</v>
      </c>
      <c r="J95" s="36">
        <v>2052.4198150896018</v>
      </c>
      <c r="K95" s="36">
        <v>2018.898828969539</v>
      </c>
      <c r="L95" s="36">
        <v>1982.9865116721533</v>
      </c>
      <c r="M95" s="36">
        <v>2065.1354896324619</v>
      </c>
      <c r="N95" s="36">
        <v>2218.6638098776748</v>
      </c>
      <c r="O95" s="36">
        <v>2382.3399913402673</v>
      </c>
      <c r="P95" s="36">
        <v>2577.6692443359111</v>
      </c>
      <c r="Q95" s="36">
        <v>2734.246234127118</v>
      </c>
      <c r="R95" s="36">
        <v>2735.8403384827707</v>
      </c>
      <c r="S95" s="36">
        <v>2834.643980937984</v>
      </c>
      <c r="T95" s="36">
        <v>2783.3933199598901</v>
      </c>
      <c r="U95" s="36">
        <v>2875.2688648020007</v>
      </c>
      <c r="V95" s="36">
        <v>2811.632783511584</v>
      </c>
      <c r="W95" s="36">
        <v>2855.9825405367928</v>
      </c>
      <c r="X95" s="36">
        <v>2862.2369792955087</v>
      </c>
      <c r="Y95" s="36">
        <v>2921.4799970277968</v>
      </c>
      <c r="Z95" s="36">
        <v>3235.4688433619217</v>
      </c>
      <c r="AA95" s="36">
        <v>3128.8808269298383</v>
      </c>
      <c r="AB95" s="36">
        <v>3186.2818436117882</v>
      </c>
      <c r="AC95" s="36">
        <v>3349.2549512682622</v>
      </c>
      <c r="AD95" s="36">
        <v>3021.7235245622351</v>
      </c>
      <c r="AE95" s="36">
        <v>2151.3237799930234</v>
      </c>
      <c r="AF95" s="36">
        <v>2154.120687080017</v>
      </c>
      <c r="AG95" s="36">
        <v>2194.5092805649269</v>
      </c>
      <c r="AH95" s="36">
        <v>2118.5310041575167</v>
      </c>
      <c r="AI95" s="36">
        <v>2167.8803385160404</v>
      </c>
      <c r="AJ95" s="36">
        <v>2073.6707238949389</v>
      </c>
      <c r="AK95" s="36">
        <v>1944.2181134440614</v>
      </c>
      <c r="AL95" s="36">
        <v>1861.8259803921569</v>
      </c>
      <c r="AM95" s="36">
        <v>1804.1853512705529</v>
      </c>
      <c r="AN95" s="36">
        <v>1562.4454148471616</v>
      </c>
      <c r="AO95" s="36">
        <v>1499.4337485843714</v>
      </c>
      <c r="AP95" s="36">
        <v>1437.449118046133</v>
      </c>
      <c r="AQ95" s="36">
        <v>1363.5424735347276</v>
      </c>
      <c r="AR95" s="36">
        <v>1324.1293532338307</v>
      </c>
      <c r="AS95" s="36">
        <v>1280.0579430226944</v>
      </c>
      <c r="AT95" s="36">
        <v>1293.1519699812384</v>
      </c>
      <c r="AU95" s="36">
        <v>1314.025085518814</v>
      </c>
      <c r="AV95" s="36">
        <v>1340.368806931793</v>
      </c>
      <c r="AW95" s="36">
        <v>1374.6747614917608</v>
      </c>
      <c r="AX95" s="36">
        <v>1398.3050847457628</v>
      </c>
      <c r="AY95" s="36">
        <v>1634.3484565983013</v>
      </c>
      <c r="AZ95" s="36">
        <v>1519.7568389057751</v>
      </c>
      <c r="BA95" s="36">
        <v>1532.0245885385684</v>
      </c>
      <c r="BB95" s="36">
        <v>1509.7087378640776</v>
      </c>
      <c r="BC95" s="36">
        <v>1515.8835837930378</v>
      </c>
      <c r="BD95" s="36">
        <v>1923.4471693788678</v>
      </c>
      <c r="BE95" s="36">
        <v>1600.4754068385446</v>
      </c>
      <c r="BF95" s="36">
        <v>1631.2107623318386</v>
      </c>
      <c r="BG95" s="36">
        <v>1652.2887323943662</v>
      </c>
      <c r="BH95" s="36">
        <v>1673.8679571379191</v>
      </c>
    </row>
    <row r="96" spans="1:60">
      <c r="A96" s="38" t="s">
        <v>139</v>
      </c>
      <c r="B96" s="36">
        <v>1915.9620930821443</v>
      </c>
      <c r="C96" s="36">
        <v>1851.325964437066</v>
      </c>
      <c r="D96" s="36">
        <v>1900.9020508892859</v>
      </c>
      <c r="E96" s="36">
        <v>1969.4695839066794</v>
      </c>
      <c r="F96" s="36">
        <v>1992.7598759880048</v>
      </c>
      <c r="G96" s="36">
        <v>2055.1028788261083</v>
      </c>
      <c r="H96" s="36">
        <v>2107.9542713810238</v>
      </c>
      <c r="I96" s="36">
        <v>2269.8508518052549</v>
      </c>
      <c r="J96" s="36">
        <v>2240.9768890043779</v>
      </c>
      <c r="K96" s="36">
        <v>2321.6690908634387</v>
      </c>
      <c r="L96" s="36">
        <v>2391.0561950488409</v>
      </c>
      <c r="M96" s="36">
        <v>2573.7083836010752</v>
      </c>
      <c r="N96" s="36">
        <v>2710.3168890990978</v>
      </c>
      <c r="O96" s="36">
        <v>2881.8535928866327</v>
      </c>
      <c r="P96" s="36">
        <v>2920.0469257208697</v>
      </c>
      <c r="Q96" s="36">
        <v>3085.2768717358927</v>
      </c>
      <c r="R96" s="36">
        <v>3219.3816296736886</v>
      </c>
      <c r="S96" s="36">
        <v>3388.151856368544</v>
      </c>
      <c r="T96" s="36">
        <v>3531.3438736817075</v>
      </c>
      <c r="U96" s="36">
        <v>3698.9670834245699</v>
      </c>
      <c r="V96" s="36">
        <v>3813.7524999379507</v>
      </c>
      <c r="W96" s="36">
        <v>4010.1651842439646</v>
      </c>
      <c r="X96" s="36">
        <v>4109.4619666048229</v>
      </c>
      <c r="Y96" s="36">
        <v>4248.1927710843374</v>
      </c>
      <c r="Z96" s="36">
        <v>4230.2284710017566</v>
      </c>
      <c r="AA96" s="36">
        <v>4195.5403087478562</v>
      </c>
      <c r="AB96" s="36">
        <v>4161.8303571428569</v>
      </c>
      <c r="AC96" s="36">
        <v>4096.6340933767642</v>
      </c>
      <c r="AD96" s="36">
        <v>4418.666666666667</v>
      </c>
      <c r="AE96" s="36">
        <v>4510.4275286757038</v>
      </c>
      <c r="AF96" s="36">
        <v>5082.1428571428569</v>
      </c>
      <c r="AG96" s="36">
        <v>5186.0930465232614</v>
      </c>
      <c r="AH96" s="36">
        <v>5362.2549019607841</v>
      </c>
      <c r="AI96" s="36">
        <v>5292.1672272945698</v>
      </c>
      <c r="AJ96" s="36">
        <v>5163.9189825718322</v>
      </c>
      <c r="AK96" s="36">
        <v>5295.2029520295209</v>
      </c>
      <c r="AL96" s="36">
        <v>5360.3074141048828</v>
      </c>
      <c r="AM96" s="36">
        <v>5383.2521045635795</v>
      </c>
      <c r="AN96" s="36">
        <v>4455.2562988705477</v>
      </c>
      <c r="AO96" s="36">
        <v>4352.3647209203236</v>
      </c>
      <c r="AP96" s="36">
        <v>4466.3602173004592</v>
      </c>
      <c r="AQ96" s="36">
        <v>4772.6341663252761</v>
      </c>
      <c r="AR96" s="36">
        <v>5064.2828445158702</v>
      </c>
      <c r="AS96" s="36">
        <v>5229.7084318360921</v>
      </c>
      <c r="AT96" s="36">
        <v>5287.8670788253476</v>
      </c>
      <c r="AU96" s="36">
        <v>5286.2016679302496</v>
      </c>
      <c r="AV96" s="36">
        <v>5308.5501858736061</v>
      </c>
      <c r="AW96" s="36">
        <v>5432.9446064139947</v>
      </c>
      <c r="AX96" s="36">
        <v>5543.0818734358236</v>
      </c>
      <c r="AY96" s="36">
        <v>5617.9775280898884</v>
      </c>
      <c r="AZ96" s="36">
        <v>5655.1724137931033</v>
      </c>
      <c r="BA96" s="36">
        <v>5587.0596205962056</v>
      </c>
      <c r="BB96" s="36">
        <v>5614.7186147186148</v>
      </c>
      <c r="BC96" s="36">
        <v>5730.8447937131632</v>
      </c>
      <c r="BD96" s="36">
        <v>5869.5231958762888</v>
      </c>
      <c r="BE96" s="36">
        <v>5942.3137876386681</v>
      </c>
      <c r="BF96" s="36">
        <v>6099.1890205864001</v>
      </c>
      <c r="BG96" s="36">
        <v>6410.067526089626</v>
      </c>
      <c r="BH96" s="36">
        <v>6674.924471299094</v>
      </c>
    </row>
    <row r="97" spans="1:60">
      <c r="A97" s="38" t="s">
        <v>140</v>
      </c>
      <c r="B97" s="36">
        <v>1584.3661417296153</v>
      </c>
      <c r="C97" s="36">
        <v>1572.626920495559</v>
      </c>
      <c r="D97" s="36">
        <v>1505.9040694759738</v>
      </c>
      <c r="E97" s="36">
        <v>1508.6836953861196</v>
      </c>
      <c r="F97" s="36">
        <v>1495.1711824657643</v>
      </c>
      <c r="G97" s="36">
        <v>1523.0383307880061</v>
      </c>
      <c r="H97" s="36">
        <v>1547.4586813474473</v>
      </c>
      <c r="I97" s="36">
        <v>1578.2917405932117</v>
      </c>
      <c r="J97" s="36">
        <v>1625.4647331418603</v>
      </c>
      <c r="K97" s="36">
        <v>1580.840046802316</v>
      </c>
      <c r="L97" s="36">
        <v>1555.3500375483493</v>
      </c>
      <c r="M97" s="36">
        <v>1588.0275686894663</v>
      </c>
      <c r="N97" s="36">
        <v>1656.870564574913</v>
      </c>
      <c r="O97" s="36">
        <v>1659.1436956176974</v>
      </c>
      <c r="P97" s="36">
        <v>1687.1888521679359</v>
      </c>
      <c r="Q97" s="36">
        <v>1738.5630612717912</v>
      </c>
      <c r="R97" s="36">
        <v>1712.062885438535</v>
      </c>
      <c r="S97" s="36">
        <v>1773.6130263091759</v>
      </c>
      <c r="T97" s="36">
        <v>1788.6468175963344</v>
      </c>
      <c r="U97" s="36">
        <v>1809.5657000863534</v>
      </c>
      <c r="V97" s="36">
        <v>1871.7813617249783</v>
      </c>
      <c r="W97" s="36">
        <v>1901.735417080956</v>
      </c>
      <c r="X97" s="36">
        <v>1946.3647965038883</v>
      </c>
      <c r="Y97" s="36">
        <v>2037.5046416635723</v>
      </c>
      <c r="Z97" s="36">
        <v>2143.1146359048307</v>
      </c>
      <c r="AA97" s="36">
        <v>2218.7938288920054</v>
      </c>
      <c r="AB97" s="36">
        <v>2312.7994524298424</v>
      </c>
      <c r="AC97" s="36">
        <v>2503.5152326749248</v>
      </c>
      <c r="AD97" s="36">
        <v>2716.7648984937787</v>
      </c>
      <c r="AE97" s="36">
        <v>2951.6335682254967</v>
      </c>
      <c r="AF97" s="36">
        <v>3300.6883604505633</v>
      </c>
      <c r="AG97" s="36">
        <v>3494.3580359865814</v>
      </c>
      <c r="AH97" s="36">
        <v>3281.3056379821955</v>
      </c>
      <c r="AI97" s="36">
        <v>3093.1641188347276</v>
      </c>
      <c r="AJ97" s="36">
        <v>3100.0560538116592</v>
      </c>
      <c r="AK97" s="36">
        <v>3131.2278791178874</v>
      </c>
      <c r="AL97" s="36">
        <v>3037.820682359164</v>
      </c>
      <c r="AM97" s="36">
        <v>3079.3732340097613</v>
      </c>
      <c r="AN97" s="36">
        <v>3185.4255053656102</v>
      </c>
      <c r="AO97" s="36">
        <v>3275.7032007759458</v>
      </c>
      <c r="AP97" s="36">
        <v>3280.6314797360978</v>
      </c>
      <c r="AQ97" s="36">
        <v>3267.9184795053811</v>
      </c>
      <c r="AR97" s="36">
        <v>3230.3583351880707</v>
      </c>
      <c r="AS97" s="36">
        <v>3265.6858502812634</v>
      </c>
      <c r="AT97" s="36">
        <v>3270.2986958350862</v>
      </c>
      <c r="AU97" s="36">
        <v>3324.5344792306119</v>
      </c>
      <c r="AV97" s="36">
        <v>3275.875796178344</v>
      </c>
      <c r="AW97" s="36">
        <v>3271.2127082526154</v>
      </c>
      <c r="AX97" s="36">
        <v>3171.6009805770318</v>
      </c>
      <c r="AY97" s="36">
        <v>3103.1760602166328</v>
      </c>
      <c r="AZ97" s="36">
        <v>3010.5507868383406</v>
      </c>
      <c r="BA97" s="36">
        <v>2993.7282229965158</v>
      </c>
      <c r="BB97" s="36">
        <v>2915.7894736842109</v>
      </c>
      <c r="BC97" s="36">
        <v>2951.1670253269326</v>
      </c>
      <c r="BD97" s="36">
        <v>2995.8030669895079</v>
      </c>
      <c r="BE97" s="36">
        <v>3006.9280428279012</v>
      </c>
      <c r="BF97" s="36">
        <v>3060.0706713780919</v>
      </c>
      <c r="BG97" s="36">
        <v>3189.6836107362424</v>
      </c>
      <c r="BH97" s="36">
        <v>3294.6859903381642</v>
      </c>
    </row>
    <row r="98" spans="1:60">
      <c r="A98" s="38" t="s">
        <v>250</v>
      </c>
      <c r="B98" s="36">
        <v>2143.8232642019839</v>
      </c>
      <c r="C98" s="36">
        <v>2205.3691275167785</v>
      </c>
      <c r="D98" s="36">
        <v>2341.2662775033677</v>
      </c>
      <c r="E98" s="36">
        <v>2470.5081669691472</v>
      </c>
      <c r="F98" s="36">
        <v>2560.5239385727191</v>
      </c>
      <c r="G98" s="36">
        <v>2649.3333333333335</v>
      </c>
      <c r="H98" s="36">
        <v>2840.3734993330368</v>
      </c>
      <c r="I98" s="36">
        <v>2968.141592920354</v>
      </c>
      <c r="J98" s="36">
        <v>3001.7398869073509</v>
      </c>
      <c r="K98" s="36">
        <v>3239.0180878552969</v>
      </c>
      <c r="L98" s="36">
        <v>3420.6955046649705</v>
      </c>
      <c r="M98" s="36">
        <v>3677.3979256728576</v>
      </c>
      <c r="N98" s="36">
        <v>3880.6460336121136</v>
      </c>
      <c r="O98" s="36">
        <v>4200.911559356101</v>
      </c>
      <c r="P98" s="36">
        <v>4400.9417827340612</v>
      </c>
      <c r="Q98" s="36">
        <v>4718.9320287402752</v>
      </c>
      <c r="R98" s="36">
        <v>4993.2099348092843</v>
      </c>
      <c r="S98" s="36">
        <v>5263.9506583902148</v>
      </c>
      <c r="T98" s="36">
        <v>5463.1114675220524</v>
      </c>
      <c r="U98" s="36">
        <v>5840.4280017279943</v>
      </c>
      <c r="V98" s="36">
        <v>6348.8471037426598</v>
      </c>
      <c r="W98" s="36">
        <v>6642.4489905104256</v>
      </c>
      <c r="X98" s="36">
        <v>6930.4830264279981</v>
      </c>
      <c r="Y98" s="36">
        <v>7301.7580375914113</v>
      </c>
      <c r="Z98" s="36">
        <v>7246.9341093327794</v>
      </c>
      <c r="AA98" s="36">
        <v>6946.2141974240276</v>
      </c>
      <c r="AB98" s="36">
        <v>7092.8993349580742</v>
      </c>
      <c r="AC98" s="36">
        <v>7422.3552889028533</v>
      </c>
      <c r="AD98" s="36">
        <v>7819.0849948234127</v>
      </c>
      <c r="AE98" s="36">
        <v>8164.2546535430929</v>
      </c>
      <c r="AF98" s="36">
        <v>8182.5172106100099</v>
      </c>
      <c r="AG98" s="36">
        <v>8195.2029164845098</v>
      </c>
      <c r="AH98" s="36">
        <v>7848.1220347294802</v>
      </c>
      <c r="AI98" s="36">
        <v>7796.9717412171358</v>
      </c>
      <c r="AJ98" s="36">
        <v>8282.595087755748</v>
      </c>
      <c r="AK98" s="36">
        <v>8373.1852283754542</v>
      </c>
      <c r="AL98" s="36">
        <v>8973.7125593596575</v>
      </c>
      <c r="AM98" s="36">
        <v>9329.7426482115679</v>
      </c>
      <c r="AN98" s="36">
        <v>9849.806848476197</v>
      </c>
      <c r="AO98" s="36">
        <v>10246.177544500229</v>
      </c>
      <c r="AP98" s="36">
        <v>10539.42565685867</v>
      </c>
      <c r="AQ98" s="36">
        <v>10706.014132073406</v>
      </c>
      <c r="AR98" s="36">
        <v>11122.745438438727</v>
      </c>
      <c r="AS98" s="36">
        <v>11541.70505465777</v>
      </c>
      <c r="AT98" s="36">
        <v>11913.449304608059</v>
      </c>
      <c r="AU98" s="36">
        <v>12340.952723830964</v>
      </c>
      <c r="AV98" s="36">
        <v>12605.999750312443</v>
      </c>
      <c r="AW98" s="36">
        <v>12913.925781301954</v>
      </c>
      <c r="AX98" s="36">
        <v>13250.902316547481</v>
      </c>
      <c r="AY98" s="36">
        <v>13738.391365868252</v>
      </c>
      <c r="AZ98" s="36">
        <v>14112.742527530152</v>
      </c>
      <c r="BA98" s="36">
        <v>14332.985930171964</v>
      </c>
      <c r="BB98" s="36">
        <v>14329.963711767756</v>
      </c>
      <c r="BC98" s="36">
        <v>14488.006190353366</v>
      </c>
      <c r="BD98" s="36">
        <v>14655.624036979969</v>
      </c>
      <c r="BE98" s="36">
        <v>14984.791497658451</v>
      </c>
      <c r="BF98" s="36">
        <v>15297.205023034292</v>
      </c>
      <c r="BG98" s="36">
        <v>15313.922086315479</v>
      </c>
      <c r="BH98" s="36">
        <v>15074.160340384757</v>
      </c>
    </row>
    <row r="99" spans="1:60">
      <c r="A99" s="38" t="s">
        <v>251</v>
      </c>
      <c r="B99" s="36">
        <v>3674.0506329113923</v>
      </c>
      <c r="C99" s="36">
        <v>3893.9417296130719</v>
      </c>
      <c r="D99" s="36">
        <v>3940.5597043071584</v>
      </c>
      <c r="E99" s="36">
        <v>3954.0026536930568</v>
      </c>
      <c r="F99" s="36">
        <v>3913.9784946236559</v>
      </c>
      <c r="G99" s="36">
        <v>4316.0377358490568</v>
      </c>
      <c r="H99" s="36">
        <v>5058.5858585858587</v>
      </c>
      <c r="I99" s="36">
        <v>5344.4894757484644</v>
      </c>
      <c r="J99" s="36">
        <v>5608.6735987826523</v>
      </c>
      <c r="K99" s="36">
        <v>5742.6106113456954</v>
      </c>
      <c r="L99" s="36">
        <v>6250.9659394876071</v>
      </c>
      <c r="M99" s="36">
        <v>6371.1200656615438</v>
      </c>
      <c r="N99" s="36">
        <v>6513.8174959267508</v>
      </c>
      <c r="O99" s="36">
        <v>6718.4148256263961</v>
      </c>
      <c r="P99" s="36">
        <v>6800.6152267539219</v>
      </c>
      <c r="Q99" s="36">
        <v>7030.0397655588731</v>
      </c>
      <c r="R99" s="36">
        <v>7234.3798390610318</v>
      </c>
      <c r="S99" s="36">
        <v>7326.9420041555786</v>
      </c>
      <c r="T99" s="36">
        <v>7683.6336526540726</v>
      </c>
      <c r="U99" s="36">
        <v>7896.7564519428788</v>
      </c>
      <c r="V99" s="36">
        <v>8243.9790575916231</v>
      </c>
      <c r="W99" s="36">
        <v>8271.5876061376566</v>
      </c>
      <c r="X99" s="36">
        <v>8627.982596372638</v>
      </c>
      <c r="Y99" s="36">
        <v>8685.1356538374839</v>
      </c>
      <c r="Z99" s="36">
        <v>9052.9695669122048</v>
      </c>
      <c r="AA99" s="36">
        <v>9117.8044970310766</v>
      </c>
      <c r="AB99" s="36">
        <v>9847.4762109879775</v>
      </c>
      <c r="AC99" s="36">
        <v>10296.349694757217</v>
      </c>
      <c r="AD99" s="36">
        <v>11318.516721978689</v>
      </c>
      <c r="AE99" s="36">
        <v>11649.287482980391</v>
      </c>
      <c r="AF99" s="36">
        <v>12380.411787846639</v>
      </c>
      <c r="AG99" s="36">
        <v>12733.514001806685</v>
      </c>
      <c r="AH99" s="36">
        <v>11775.510204081633</v>
      </c>
      <c r="AI99" s="36">
        <v>10654.181184668989</v>
      </c>
      <c r="AJ99" s="36">
        <v>11092.386655260907</v>
      </c>
      <c r="AK99" s="36">
        <v>10459.209419680405</v>
      </c>
      <c r="AL99" s="36">
        <v>9956.9536423841055</v>
      </c>
      <c r="AM99" s="36">
        <v>9365.7142857142862</v>
      </c>
      <c r="AN99" s="36">
        <v>8907.1082390953143</v>
      </c>
      <c r="AO99" s="36">
        <v>8763.6217948717949</v>
      </c>
      <c r="AP99" s="36">
        <v>8852.5896414342624</v>
      </c>
      <c r="AQ99" s="36">
        <v>9126.1904761904771</v>
      </c>
      <c r="AR99" s="36">
        <v>8996.835443037975</v>
      </c>
      <c r="AS99" s="36">
        <v>8882.213438735178</v>
      </c>
      <c r="AT99" s="36">
        <v>9255.3359683794461</v>
      </c>
      <c r="AU99" s="36">
        <v>9642.4050632911403</v>
      </c>
      <c r="AV99" s="36">
        <v>10024.564183835182</v>
      </c>
      <c r="AW99" s="36">
        <v>10351.5873015873</v>
      </c>
      <c r="AX99" s="36">
        <v>10865.659777424484</v>
      </c>
      <c r="AY99" s="36">
        <v>11631.87250996016</v>
      </c>
      <c r="AZ99" s="36">
        <v>12219.648562300319</v>
      </c>
      <c r="BA99" s="36">
        <v>12768.61489191353</v>
      </c>
      <c r="BB99" s="36">
        <v>13209.470304975923</v>
      </c>
      <c r="BC99" s="36">
        <v>15160.225442834138</v>
      </c>
      <c r="BD99" s="36">
        <v>16412.429378531073</v>
      </c>
      <c r="BE99" s="36">
        <v>17327.40501212611</v>
      </c>
      <c r="BF99" s="36">
        <v>19854.251012145749</v>
      </c>
      <c r="BG99" s="36">
        <v>20801.297648012976</v>
      </c>
      <c r="BH99" s="36">
        <v>21314.378554021121</v>
      </c>
    </row>
    <row r="100" spans="1:60" s="41" customFormat="1" ht="12.75">
      <c r="A100" s="44" t="s">
        <v>252</v>
      </c>
      <c r="B100" s="40">
        <v>1750.0645160091092</v>
      </c>
      <c r="C100" s="40">
        <v>1793.4938695058063</v>
      </c>
      <c r="D100" s="40">
        <v>1853.0720096075252</v>
      </c>
      <c r="E100" s="40">
        <v>1800.5837685772663</v>
      </c>
      <c r="F100" s="40">
        <v>1833.7191260543536</v>
      </c>
      <c r="G100" s="40">
        <v>1874.1355658028685</v>
      </c>
      <c r="H100" s="40">
        <v>1947.2202099866024</v>
      </c>
      <c r="I100" s="40">
        <v>2028.2217413066462</v>
      </c>
      <c r="J100" s="40">
        <v>2041.8696062766699</v>
      </c>
      <c r="K100" s="40">
        <v>2006.5602467515439</v>
      </c>
      <c r="L100" s="40">
        <v>2049.4425894068904</v>
      </c>
      <c r="M100" s="40">
        <v>2066.6357456954902</v>
      </c>
      <c r="N100" s="40">
        <v>2136.7056902156396</v>
      </c>
      <c r="O100" s="40">
        <v>2186.9124509715139</v>
      </c>
      <c r="P100" s="40">
        <v>2237.2712871146468</v>
      </c>
      <c r="Q100" s="40">
        <v>2291.6404055728103</v>
      </c>
      <c r="R100" s="40">
        <v>2356.1865636573948</v>
      </c>
      <c r="S100" s="40">
        <v>2436.0006129770281</v>
      </c>
      <c r="T100" s="40">
        <v>2466.0759616128512</v>
      </c>
      <c r="U100" s="40">
        <v>2521.9842210865941</v>
      </c>
      <c r="V100" s="40">
        <v>2588.2256796373013</v>
      </c>
      <c r="W100" s="40">
        <v>2670.4251730468595</v>
      </c>
      <c r="X100" s="40">
        <v>2767.7123505124096</v>
      </c>
      <c r="Y100" s="40">
        <v>2908.2213397549162</v>
      </c>
      <c r="Z100" s="40">
        <v>2996.1437684369121</v>
      </c>
      <c r="AA100" s="40">
        <v>3009.0809278008592</v>
      </c>
      <c r="AB100" s="40">
        <v>3112.3844547314911</v>
      </c>
      <c r="AC100" s="40">
        <v>3221.6347577495453</v>
      </c>
      <c r="AD100" s="40">
        <v>3333.112515498387</v>
      </c>
      <c r="AE100" s="40">
        <v>3358.0590306555705</v>
      </c>
      <c r="AF100" s="40">
        <v>3387.7953908634031</v>
      </c>
      <c r="AG100" s="40">
        <v>3414.0575234187841</v>
      </c>
      <c r="AH100" s="40">
        <v>3301.8208720463977</v>
      </c>
      <c r="AI100" s="40">
        <v>3223.3539232919134</v>
      </c>
      <c r="AJ100" s="40">
        <v>3255.1217663957</v>
      </c>
      <c r="AK100" s="40">
        <v>3223.8962175950792</v>
      </c>
      <c r="AL100" s="40">
        <v>3215.0186501116787</v>
      </c>
      <c r="AM100" s="40">
        <v>3188.52113229628</v>
      </c>
      <c r="AN100" s="40">
        <v>3211.7395503314674</v>
      </c>
      <c r="AO100" s="40">
        <v>3244.2082141902952</v>
      </c>
      <c r="AP100" s="40">
        <v>3244.1426048877333</v>
      </c>
      <c r="AQ100" s="40">
        <v>3228.8751756665642</v>
      </c>
      <c r="AR100" s="40">
        <v>3231.7007013468137</v>
      </c>
      <c r="AS100" s="40">
        <v>3229.7634777830121</v>
      </c>
      <c r="AT100" s="40">
        <v>3278.2724277573848</v>
      </c>
      <c r="AU100" s="40">
        <v>3342.0912753468506</v>
      </c>
      <c r="AV100" s="40">
        <v>3388.04844932683</v>
      </c>
      <c r="AW100" s="40">
        <v>3460.0723623427234</v>
      </c>
      <c r="AX100" s="40">
        <v>3515.2777942570083</v>
      </c>
      <c r="AY100" s="40">
        <v>3550.4895831037147</v>
      </c>
      <c r="AZ100" s="40">
        <v>3523.1571614034992</v>
      </c>
      <c r="BA100" s="40">
        <v>3555.944530624764</v>
      </c>
      <c r="BB100" s="40">
        <v>3563.064662512108</v>
      </c>
      <c r="BC100" s="40">
        <v>3621.3856836623213</v>
      </c>
      <c r="BD100" s="40">
        <v>3739.1071663784892</v>
      </c>
      <c r="BE100" s="40">
        <v>3825.8049577757906</v>
      </c>
      <c r="BF100" s="40">
        <v>3968.649117241675</v>
      </c>
      <c r="BG100" s="40">
        <v>4096.76215715952</v>
      </c>
      <c r="BH100" s="40">
        <v>4178.1995420019084</v>
      </c>
    </row>
    <row r="101" spans="1:60">
      <c r="A101" s="38" t="s">
        <v>253</v>
      </c>
      <c r="B101" s="36">
        <v>2533.0842642919488</v>
      </c>
      <c r="C101" s="36">
        <v>2613.8490973342136</v>
      </c>
      <c r="D101" s="36">
        <v>2697.032553822256</v>
      </c>
      <c r="E101" s="36">
        <v>2785.9248570136947</v>
      </c>
      <c r="F101" s="36">
        <v>2871.0896019448619</v>
      </c>
      <c r="G101" s="36">
        <v>2961.2636930873518</v>
      </c>
      <c r="H101" s="36">
        <v>3059.3957598965058</v>
      </c>
      <c r="I101" s="36">
        <v>3159.9651248716309</v>
      </c>
      <c r="J101" s="36">
        <v>3260.9311793048355</v>
      </c>
      <c r="K101" s="36">
        <v>3365.4286654980378</v>
      </c>
      <c r="L101" s="36">
        <v>3477.9096088336937</v>
      </c>
      <c r="M101" s="36">
        <v>3613.6837382293625</v>
      </c>
      <c r="N101" s="36">
        <v>3754.6987352317797</v>
      </c>
      <c r="O101" s="36">
        <v>3864.2205498886615</v>
      </c>
      <c r="P101" s="36">
        <v>3995.9086259802243</v>
      </c>
      <c r="Q101" s="36">
        <v>4133.8025284535624</v>
      </c>
      <c r="R101" s="36">
        <v>4278.0076906435152</v>
      </c>
      <c r="S101" s="36">
        <v>4430.1889213202039</v>
      </c>
      <c r="T101" s="36">
        <v>4583.6279612197095</v>
      </c>
      <c r="U101" s="36">
        <v>4755.4294718955261</v>
      </c>
      <c r="V101" s="36">
        <v>4948.105677920872</v>
      </c>
      <c r="W101" s="36">
        <v>5134.6466222887539</v>
      </c>
      <c r="X101" s="36">
        <v>5304.3354639707395</v>
      </c>
      <c r="Y101" s="36">
        <v>5552.852608262685</v>
      </c>
      <c r="Z101" s="36">
        <v>5568.9151821953556</v>
      </c>
      <c r="AA101" s="36">
        <v>5638.5743633480088</v>
      </c>
      <c r="AB101" s="36">
        <v>5715.2818465895225</v>
      </c>
      <c r="AC101" s="36">
        <v>5767.5554026351429</v>
      </c>
      <c r="AD101" s="36">
        <v>5811.8525997581164</v>
      </c>
      <c r="AE101" s="36">
        <v>5867.9340591803393</v>
      </c>
      <c r="AF101" s="36">
        <v>5935.2772504936993</v>
      </c>
      <c r="AG101" s="36">
        <v>5974.6986833368674</v>
      </c>
      <c r="AH101" s="36">
        <v>5998.3020259363875</v>
      </c>
      <c r="AI101" s="36">
        <v>6029.2393569934529</v>
      </c>
      <c r="AJ101" s="36">
        <v>6061.0265386947112</v>
      </c>
      <c r="AK101" s="36">
        <v>6097.1872613779669</v>
      </c>
      <c r="AL101" s="36">
        <v>6139.5726653990205</v>
      </c>
      <c r="AM101" s="36">
        <v>6189.896652168708</v>
      </c>
      <c r="AN101" s="36">
        <v>6236.6557841255144</v>
      </c>
      <c r="AO101" s="36">
        <v>6282.2497147631284</v>
      </c>
      <c r="AP101" s="36">
        <v>6322.3025564548689</v>
      </c>
      <c r="AQ101" s="36">
        <v>6441.4056123069222</v>
      </c>
      <c r="AR101" s="36">
        <v>6552.8318838521145</v>
      </c>
      <c r="AS101" s="36">
        <v>6659.5767010191557</v>
      </c>
      <c r="AT101" s="36">
        <v>6767.9107609306557</v>
      </c>
      <c r="AU101" s="36">
        <v>6876.6375446801667</v>
      </c>
      <c r="AV101" s="36">
        <v>6994.6370558697254</v>
      </c>
      <c r="AW101" s="36">
        <v>7112.954928675229</v>
      </c>
      <c r="AX101" s="36">
        <v>7229.4548853862507</v>
      </c>
      <c r="AY101" s="36">
        <v>7356.4972750343222</v>
      </c>
      <c r="AZ101" s="36">
        <v>7356.3292412960345</v>
      </c>
      <c r="BA101" s="36">
        <v>7218.6046392868002</v>
      </c>
      <c r="BB101" s="36">
        <v>7214.9396455934566</v>
      </c>
      <c r="BC101" s="36">
        <v>7303.6560011596976</v>
      </c>
      <c r="BD101" s="36">
        <v>7450.145415363344</v>
      </c>
      <c r="BE101" s="36">
        <v>7997.1796088436058</v>
      </c>
      <c r="BF101" s="36">
        <v>8380.6976553282275</v>
      </c>
      <c r="BG101" s="36">
        <v>8753.3691063246952</v>
      </c>
      <c r="BH101" s="36">
        <v>9043.3836286463684</v>
      </c>
    </row>
    <row r="102" spans="1:60" s="41" customFormat="1" ht="12.75">
      <c r="A102" s="44" t="s">
        <v>254</v>
      </c>
      <c r="B102" s="40">
        <v>2509.7223599009067</v>
      </c>
      <c r="C102" s="40">
        <v>2574.8031814210203</v>
      </c>
      <c r="D102" s="40">
        <v>2595.0767654767806</v>
      </c>
      <c r="E102" s="40">
        <v>2618.8449922981345</v>
      </c>
      <c r="F102" s="40">
        <v>2702.4471912067493</v>
      </c>
      <c r="G102" s="40">
        <v>2805.110037276349</v>
      </c>
      <c r="H102" s="40">
        <v>2847.6257514818799</v>
      </c>
      <c r="I102" s="40">
        <v>2979.3145282688797</v>
      </c>
      <c r="J102" s="40">
        <v>3047.3272001793548</v>
      </c>
      <c r="K102" s="40">
        <v>3022.887705537391</v>
      </c>
      <c r="L102" s="40">
        <v>3135.5170718809804</v>
      </c>
      <c r="M102" s="40">
        <v>3196.8995594450257</v>
      </c>
      <c r="N102" s="40">
        <v>3237.5400230953742</v>
      </c>
      <c r="O102" s="40">
        <v>3244.6780504171288</v>
      </c>
      <c r="P102" s="40">
        <v>3371.5967916938066</v>
      </c>
      <c r="Q102" s="40">
        <v>3447.3344513095426</v>
      </c>
      <c r="R102" s="40">
        <v>3522.545652230564</v>
      </c>
      <c r="S102" s="40">
        <v>3585.4133872423422</v>
      </c>
      <c r="T102" s="40">
        <v>3698.8289727983147</v>
      </c>
      <c r="U102" s="40">
        <v>3834.6355858874131</v>
      </c>
      <c r="V102" s="40">
        <v>3995.8001598958094</v>
      </c>
      <c r="W102" s="40">
        <v>4127.8116757937723</v>
      </c>
      <c r="X102" s="40">
        <v>4284.1114164210985</v>
      </c>
      <c r="Y102" s="40">
        <v>4518.029747508981</v>
      </c>
      <c r="Z102" s="40">
        <v>4673.3277239347126</v>
      </c>
      <c r="AA102" s="40">
        <v>4710.4467601537626</v>
      </c>
      <c r="AB102" s="40">
        <v>4855.7883956011237</v>
      </c>
      <c r="AC102" s="40">
        <v>4970.6571115031793</v>
      </c>
      <c r="AD102" s="40">
        <v>5069.9115520245487</v>
      </c>
      <c r="AE102" s="40">
        <v>5270.7085742412164</v>
      </c>
      <c r="AF102" s="40">
        <v>5437.9243650984245</v>
      </c>
      <c r="AG102" s="40">
        <v>5355.0515971076684</v>
      </c>
      <c r="AH102" s="40">
        <v>5177.288354908037</v>
      </c>
      <c r="AI102" s="40">
        <v>4934.4335463811203</v>
      </c>
      <c r="AJ102" s="40">
        <v>5015.9757622597745</v>
      </c>
      <c r="AK102" s="40">
        <v>5063.8532023599764</v>
      </c>
      <c r="AL102" s="40">
        <v>5165.5150144218114</v>
      </c>
      <c r="AM102" s="40">
        <v>5222.8421803752299</v>
      </c>
      <c r="AN102" s="40">
        <v>5166.3857007530905</v>
      </c>
      <c r="AO102" s="40">
        <v>5130.9892866156579</v>
      </c>
      <c r="AP102" s="40">
        <v>5064.8546660468874</v>
      </c>
      <c r="AQ102" s="40">
        <v>5160.881944960749</v>
      </c>
      <c r="AR102" s="40">
        <v>5234.4820002433353</v>
      </c>
      <c r="AS102" s="40">
        <v>5323.0831948852519</v>
      </c>
      <c r="AT102" s="40">
        <v>5505.5794118714111</v>
      </c>
      <c r="AU102" s="40">
        <v>5492.515541164481</v>
      </c>
      <c r="AV102" s="40">
        <v>5592.006123196069</v>
      </c>
      <c r="AW102" s="40">
        <v>5791.107553773727</v>
      </c>
      <c r="AX102" s="40">
        <v>5835.0994795591068</v>
      </c>
      <c r="AY102" s="40">
        <v>5765.5850934424061</v>
      </c>
      <c r="AZ102" s="40">
        <v>5889.2373514249148</v>
      </c>
      <c r="BA102" s="40">
        <v>5846.2951931083271</v>
      </c>
      <c r="BB102" s="40">
        <v>5746.6096719225598</v>
      </c>
      <c r="BC102" s="40">
        <v>5785.8412372654402</v>
      </c>
      <c r="BD102" s="40">
        <v>6063.0689689304518</v>
      </c>
      <c r="BE102" s="40">
        <v>6265.5257016243013</v>
      </c>
      <c r="BF102" s="40">
        <v>6530.5335829272726</v>
      </c>
      <c r="BG102" s="40">
        <v>6783.8699862425492</v>
      </c>
      <c r="BH102" s="40">
        <v>6973.134655934944</v>
      </c>
    </row>
    <row r="103" spans="1:60">
      <c r="A103" s="35" t="s">
        <v>255</v>
      </c>
      <c r="B103" s="46" t="s">
        <v>178</v>
      </c>
      <c r="C103" s="46" t="s">
        <v>178</v>
      </c>
      <c r="D103" s="46" t="s">
        <v>178</v>
      </c>
      <c r="E103" s="46" t="s">
        <v>178</v>
      </c>
      <c r="F103" s="46" t="s">
        <v>178</v>
      </c>
      <c r="G103" s="46" t="s">
        <v>178</v>
      </c>
      <c r="H103" s="46" t="s">
        <v>178</v>
      </c>
      <c r="I103" s="46" t="s">
        <v>178</v>
      </c>
      <c r="J103" s="46" t="s">
        <v>178</v>
      </c>
      <c r="K103" s="46" t="s">
        <v>178</v>
      </c>
      <c r="L103" s="46" t="s">
        <v>178</v>
      </c>
      <c r="M103" s="46" t="s">
        <v>178</v>
      </c>
      <c r="N103" s="46" t="s">
        <v>178</v>
      </c>
      <c r="O103" s="46" t="s">
        <v>178</v>
      </c>
      <c r="P103" s="46" t="s">
        <v>178</v>
      </c>
      <c r="Q103" s="46" t="s">
        <v>178</v>
      </c>
      <c r="R103" s="46" t="s">
        <v>178</v>
      </c>
      <c r="S103" s="46" t="s">
        <v>178</v>
      </c>
      <c r="T103" s="46" t="s">
        <v>178</v>
      </c>
      <c r="U103" s="46" t="s">
        <v>178</v>
      </c>
      <c r="V103" s="46" t="s">
        <v>178</v>
      </c>
      <c r="W103" s="46" t="s">
        <v>178</v>
      </c>
      <c r="X103" s="46" t="s">
        <v>178</v>
      </c>
      <c r="Y103" s="46" t="s">
        <v>178</v>
      </c>
      <c r="Z103" s="46" t="s">
        <v>178</v>
      </c>
      <c r="AA103" s="46" t="s">
        <v>178</v>
      </c>
      <c r="AB103" s="46" t="s">
        <v>178</v>
      </c>
      <c r="AC103" s="46" t="s">
        <v>178</v>
      </c>
      <c r="AD103" s="46" t="s">
        <v>178</v>
      </c>
      <c r="AE103" s="46" t="s">
        <v>178</v>
      </c>
      <c r="AF103" s="46" t="s">
        <v>178</v>
      </c>
      <c r="AG103" s="46" t="s">
        <v>178</v>
      </c>
      <c r="AH103" s="46" t="s">
        <v>178</v>
      </c>
      <c r="AI103" s="46" t="s">
        <v>178</v>
      </c>
      <c r="AJ103" s="46" t="s">
        <v>178</v>
      </c>
      <c r="AK103" s="46" t="s">
        <v>178</v>
      </c>
      <c r="AL103" s="46" t="s">
        <v>178</v>
      </c>
      <c r="AM103" s="46" t="s">
        <v>178</v>
      </c>
      <c r="AN103" s="46" t="s">
        <v>178</v>
      </c>
      <c r="AO103" s="46" t="s">
        <v>178</v>
      </c>
      <c r="AP103" s="46" t="s">
        <v>178</v>
      </c>
      <c r="AQ103" s="46" t="s">
        <v>178</v>
      </c>
      <c r="AR103" s="46" t="s">
        <v>178</v>
      </c>
      <c r="AS103" s="46" t="s">
        <v>178</v>
      </c>
      <c r="AT103" s="46" t="s">
        <v>178</v>
      </c>
      <c r="AU103" s="46" t="s">
        <v>178</v>
      </c>
      <c r="AV103" s="46" t="s">
        <v>178</v>
      </c>
      <c r="AW103" s="46" t="s">
        <v>178</v>
      </c>
      <c r="AX103" s="46" t="s">
        <v>178</v>
      </c>
      <c r="AY103" s="46" t="s">
        <v>178</v>
      </c>
      <c r="AZ103" s="46" t="s">
        <v>178</v>
      </c>
      <c r="BA103" s="46" t="s">
        <v>178</v>
      </c>
      <c r="BB103" s="46" t="s">
        <v>178</v>
      </c>
      <c r="BC103" s="46" t="s">
        <v>178</v>
      </c>
      <c r="BD103" s="46" t="s">
        <v>178</v>
      </c>
      <c r="BE103" s="46" t="s">
        <v>178</v>
      </c>
      <c r="BF103" s="46" t="s">
        <v>178</v>
      </c>
      <c r="BG103" s="46" t="s">
        <v>178</v>
      </c>
      <c r="BH103" s="46" t="s">
        <v>178</v>
      </c>
    </row>
    <row r="104" spans="1:60">
      <c r="A104" s="38" t="s">
        <v>256</v>
      </c>
      <c r="B104" s="47">
        <v>448.02172581220339</v>
      </c>
      <c r="C104" s="47">
        <v>491.01851187486545</v>
      </c>
      <c r="D104" s="47">
        <v>537.61403385421249</v>
      </c>
      <c r="E104" s="47">
        <v>552.17668002545633</v>
      </c>
      <c r="F104" s="47">
        <v>556.93672204397706</v>
      </c>
      <c r="G104" s="47">
        <v>576.5302182681487</v>
      </c>
      <c r="H104" s="47">
        <v>616.11192907082454</v>
      </c>
      <c r="I104" s="47">
        <v>635.99139013002662</v>
      </c>
      <c r="J104" s="47">
        <v>690.374826823425</v>
      </c>
      <c r="K104" s="47">
        <v>686.38974181875517</v>
      </c>
      <c r="L104" s="47">
        <v>662.14040505494177</v>
      </c>
      <c r="M104" s="47">
        <v>552.89325034452474</v>
      </c>
      <c r="N104" s="47">
        <v>550.43783889331155</v>
      </c>
      <c r="O104" s="47">
        <v>590.29069298804836</v>
      </c>
      <c r="P104" s="47">
        <v>644.81817986554108</v>
      </c>
      <c r="Q104" s="47">
        <v>701.59329404280015</v>
      </c>
      <c r="R104" s="47">
        <v>746.31629045417458</v>
      </c>
      <c r="S104" s="47">
        <v>706.92068120071565</v>
      </c>
      <c r="T104" s="47">
        <v>674.91446204697161</v>
      </c>
      <c r="U104" s="47">
        <v>712.97383876134541</v>
      </c>
      <c r="V104" s="47">
        <v>778.35185716991623</v>
      </c>
      <c r="W104" s="47">
        <v>794.96139007614988</v>
      </c>
      <c r="X104" s="47">
        <v>798.33184459937593</v>
      </c>
      <c r="Y104" s="47">
        <v>838.39490214753846</v>
      </c>
      <c r="Z104" s="47">
        <v>835.14633198200704</v>
      </c>
      <c r="AA104" s="47">
        <v>871.18109548829921</v>
      </c>
      <c r="AB104" s="47">
        <v>852.67088219967013</v>
      </c>
      <c r="AC104" s="47">
        <v>893.62714702874018</v>
      </c>
      <c r="AD104" s="47">
        <v>977.95150418599292</v>
      </c>
      <c r="AE104" s="47">
        <v>1039.4094973710146</v>
      </c>
      <c r="AF104" s="47">
        <v>1061.0526530341865</v>
      </c>
      <c r="AG104" s="47">
        <v>1110.1934777599686</v>
      </c>
      <c r="AH104" s="47">
        <v>1186.0537189049878</v>
      </c>
      <c r="AI104" s="47">
        <v>1257.7436655174301</v>
      </c>
      <c r="AJ104" s="47">
        <v>1395.8594748390519</v>
      </c>
      <c r="AK104" s="47">
        <v>1519.1534099558532</v>
      </c>
      <c r="AL104" s="47">
        <v>1597.0059711845818</v>
      </c>
      <c r="AM104" s="47">
        <v>1737.0536929158191</v>
      </c>
      <c r="AN104" s="47">
        <v>1830.037308352169</v>
      </c>
      <c r="AO104" s="47">
        <v>1834.1867429490903</v>
      </c>
      <c r="AP104" s="47">
        <v>1870.9302888956424</v>
      </c>
      <c r="AQ104" s="47">
        <v>1967.1822589895548</v>
      </c>
      <c r="AR104" s="47">
        <v>2132.1759358610093</v>
      </c>
      <c r="AS104" s="47">
        <v>2311.8224092868541</v>
      </c>
      <c r="AT104" s="47">
        <v>2514.6601668855169</v>
      </c>
      <c r="AU104" s="47">
        <v>2863.4848176751557</v>
      </c>
      <c r="AV104" s="47">
        <v>2891.9888300275143</v>
      </c>
      <c r="AW104" s="47">
        <v>3013.3504054630812</v>
      </c>
      <c r="AX104" s="47">
        <v>2993.1936856598777</v>
      </c>
      <c r="AY104" s="47">
        <v>3162.233832374764</v>
      </c>
      <c r="AZ104" s="47">
        <v>3420.8657223526802</v>
      </c>
      <c r="BA104" s="47">
        <v>3758.9314777686045</v>
      </c>
      <c r="BB104" s="47">
        <v>4197.1454233052173</v>
      </c>
      <c r="BC104" s="47">
        <v>4802.8430611611293</v>
      </c>
      <c r="BD104" s="47">
        <v>5168.7086009683089</v>
      </c>
      <c r="BE104" s="47">
        <v>5575.3727794311662</v>
      </c>
      <c r="BF104" s="47">
        <v>6047.5622034751568</v>
      </c>
      <c r="BG104" s="47">
        <v>6303.0241637168647</v>
      </c>
      <c r="BH104" s="47">
        <v>6724.779700268572</v>
      </c>
    </row>
    <row r="105" spans="1:60">
      <c r="A105" s="38" t="s">
        <v>257</v>
      </c>
      <c r="B105" s="47">
        <v>619.00278551532028</v>
      </c>
      <c r="C105" s="47">
        <v>622.90958904109596</v>
      </c>
      <c r="D105" s="47">
        <v>629.43010752688167</v>
      </c>
      <c r="E105" s="47">
        <v>656.89445910290237</v>
      </c>
      <c r="F105" s="47">
        <v>671.66321243523316</v>
      </c>
      <c r="G105" s="47">
        <v>675.64122137404581</v>
      </c>
      <c r="H105" s="47">
        <v>700.69326683291763</v>
      </c>
      <c r="I105" s="47">
        <v>679.52078239608807</v>
      </c>
      <c r="J105" s="47">
        <v>715.63875598086122</v>
      </c>
      <c r="K105" s="47">
        <v>717.13380281690138</v>
      </c>
      <c r="L105" s="47">
        <v>753.24884792626722</v>
      </c>
      <c r="M105" s="47">
        <v>758.43243243243239</v>
      </c>
      <c r="N105" s="47">
        <v>758.15859030837009</v>
      </c>
      <c r="O105" s="47">
        <v>778.96982758620697</v>
      </c>
      <c r="P105" s="47">
        <v>821.22784810126586</v>
      </c>
      <c r="Q105" s="47">
        <v>770.75051546391751</v>
      </c>
      <c r="R105" s="47">
        <v>762.03434343434344</v>
      </c>
      <c r="S105" s="47">
        <v>807.01383399209476</v>
      </c>
      <c r="T105" s="47">
        <v>808.70077220077224</v>
      </c>
      <c r="U105" s="47">
        <v>844.74858223062381</v>
      </c>
      <c r="V105" s="47">
        <v>867.992606284658</v>
      </c>
      <c r="W105" s="47">
        <v>856.20577617328524</v>
      </c>
      <c r="X105" s="47">
        <v>833.80246913580243</v>
      </c>
      <c r="Y105" s="47">
        <v>853.15862068965521</v>
      </c>
      <c r="Z105" s="47">
        <v>843.41652613827989</v>
      </c>
      <c r="AA105" s="47">
        <v>897.33607907742999</v>
      </c>
      <c r="AB105" s="47">
        <v>889.35806451612905</v>
      </c>
      <c r="AC105" s="47">
        <v>936.64668769716081</v>
      </c>
      <c r="AD105" s="47">
        <v>965.5787037037037</v>
      </c>
      <c r="AE105" s="47">
        <v>895.34638554216872</v>
      </c>
      <c r="AF105" s="47">
        <v>938.44182621502216</v>
      </c>
      <c r="AG105" s="47">
        <v>976.70809248554917</v>
      </c>
      <c r="AH105" s="47">
        <v>985.45903954802259</v>
      </c>
      <c r="AI105" s="47">
        <v>1042.7966804979253</v>
      </c>
      <c r="AJ105" s="47">
        <v>1059.5967523680649</v>
      </c>
      <c r="AK105" s="47">
        <v>1078.6013245033112</v>
      </c>
      <c r="AL105" s="47">
        <v>1101.1543450064851</v>
      </c>
      <c r="AM105" s="47">
        <v>1124.560913705584</v>
      </c>
      <c r="AN105" s="47">
        <v>1215.927950310559</v>
      </c>
      <c r="AO105" s="47">
        <v>1269.9659367396594</v>
      </c>
      <c r="AP105" s="47">
        <v>1308.8200238379022</v>
      </c>
      <c r="AQ105" s="47">
        <v>1302.9269412597046</v>
      </c>
      <c r="AR105" s="47">
        <v>1345.4314282755527</v>
      </c>
      <c r="AS105" s="47">
        <v>1399.267523445013</v>
      </c>
      <c r="AT105" s="47">
        <v>1473.6821664136639</v>
      </c>
      <c r="AU105" s="47">
        <v>1553.3520307876029</v>
      </c>
      <c r="AV105" s="47">
        <v>1644.8017100820377</v>
      </c>
      <c r="AW105" s="47">
        <v>1692.5874681282246</v>
      </c>
      <c r="AX105" s="47">
        <v>1770.5594472699358</v>
      </c>
      <c r="AY105" s="47">
        <v>1844.8853850621961</v>
      </c>
      <c r="AZ105" s="47">
        <v>1891.7245280463369</v>
      </c>
      <c r="BA105" s="47">
        <v>1966.2552704735083</v>
      </c>
      <c r="BB105" s="47">
        <v>2000.9185421437717</v>
      </c>
      <c r="BC105" s="47">
        <v>2134.4278603201501</v>
      </c>
      <c r="BD105" s="47">
        <v>2278.2085845318984</v>
      </c>
      <c r="BE105" s="47">
        <v>2422.9852326752093</v>
      </c>
      <c r="BF105" s="47">
        <v>2617.0004155745096</v>
      </c>
      <c r="BG105" s="47">
        <v>2817.0021931804304</v>
      </c>
      <c r="BH105" s="47">
        <v>2974.9084491583594</v>
      </c>
    </row>
    <row r="106" spans="1:60">
      <c r="A106" s="38" t="s">
        <v>258</v>
      </c>
      <c r="B106" s="47">
        <v>803.25352238578807</v>
      </c>
      <c r="C106" s="47">
        <v>851.1601026848723</v>
      </c>
      <c r="D106" s="47">
        <v>879.13863221874863</v>
      </c>
      <c r="E106" s="47">
        <v>909.79661108878952</v>
      </c>
      <c r="F106" s="47">
        <v>952.44419819479413</v>
      </c>
      <c r="G106" s="47">
        <v>964.00726847409783</v>
      </c>
      <c r="H106" s="47">
        <v>961.87496329293197</v>
      </c>
      <c r="I106" s="47">
        <v>1011.7040201150231</v>
      </c>
      <c r="J106" s="47">
        <v>959.99143251308737</v>
      </c>
      <c r="K106" s="47">
        <v>985.43384744183288</v>
      </c>
      <c r="L106" s="47">
        <v>1011.6851079222802</v>
      </c>
      <c r="M106" s="47">
        <v>1059.7851994090875</v>
      </c>
      <c r="N106" s="47">
        <v>1037.256392328836</v>
      </c>
      <c r="O106" s="47">
        <v>977.34666547159009</v>
      </c>
      <c r="P106" s="47">
        <v>992.97910587251647</v>
      </c>
      <c r="Q106" s="47">
        <v>982.59535988171126</v>
      </c>
      <c r="R106" s="47">
        <v>962.87151774936672</v>
      </c>
      <c r="S106" s="47">
        <v>922.0543115859</v>
      </c>
      <c r="T106" s="47">
        <v>991.46879877282959</v>
      </c>
      <c r="U106" s="47">
        <v>1090.9245730564101</v>
      </c>
      <c r="V106" s="47">
        <v>1181.3028211697058</v>
      </c>
      <c r="W106" s="47">
        <v>1220.7082415624304</v>
      </c>
      <c r="X106" s="47">
        <v>1327.8551466100225</v>
      </c>
      <c r="Y106" s="47">
        <v>1490.051723795576</v>
      </c>
      <c r="Z106" s="47">
        <v>1529.7580950251613</v>
      </c>
      <c r="AA106" s="47">
        <v>1496.5391978846917</v>
      </c>
      <c r="AB106" s="47">
        <v>1590.8602062086889</v>
      </c>
      <c r="AC106" s="47">
        <v>1675.3383501549131</v>
      </c>
      <c r="AD106" s="47">
        <v>1711.3478320062079</v>
      </c>
      <c r="AE106" s="47">
        <v>1762.7217983378046</v>
      </c>
      <c r="AF106" s="47">
        <v>1869.9918451391684</v>
      </c>
      <c r="AG106" s="47">
        <v>1956.5528175781994</v>
      </c>
      <c r="AH106" s="47">
        <v>1844.9051538480351</v>
      </c>
      <c r="AI106" s="47">
        <v>1878.3803645980252</v>
      </c>
      <c r="AJ106" s="47">
        <v>1965.666715323531</v>
      </c>
      <c r="AK106" s="47">
        <v>1971.5311417573625</v>
      </c>
      <c r="AL106" s="47">
        <v>2050.6437600644749</v>
      </c>
      <c r="AM106" s="47">
        <v>2113.7864601103338</v>
      </c>
      <c r="AN106" s="47">
        <v>2195.5355468536427</v>
      </c>
      <c r="AO106" s="47">
        <v>2350.7537566219717</v>
      </c>
      <c r="AP106" s="47">
        <v>2514.4569802682208</v>
      </c>
      <c r="AQ106" s="47">
        <v>2602.4515161717827</v>
      </c>
      <c r="AR106" s="47">
        <v>2839.9548930366705</v>
      </c>
      <c r="AS106" s="47">
        <v>2993.7045838458657</v>
      </c>
      <c r="AT106" s="47">
        <v>3168.5483943188524</v>
      </c>
      <c r="AU106" s="47">
        <v>3368.8516349885986</v>
      </c>
      <c r="AV106" s="47">
        <v>3583.9183959730444</v>
      </c>
      <c r="AW106" s="47">
        <v>3703.6514143933614</v>
      </c>
      <c r="AX106" s="47">
        <v>3171.9868745275107</v>
      </c>
      <c r="AY106" s="47">
        <v>3147.346961303489</v>
      </c>
      <c r="AZ106" s="47">
        <v>3276.4878193971622</v>
      </c>
      <c r="BA106" s="47">
        <v>3358.2580071070502</v>
      </c>
      <c r="BB106" s="47">
        <v>3456.1187883794346</v>
      </c>
      <c r="BC106" s="47">
        <v>3582.0965137318403</v>
      </c>
      <c r="BD106" s="47">
        <v>3708.8539240594614</v>
      </c>
      <c r="BE106" s="47">
        <v>3869.6151979018327</v>
      </c>
      <c r="BF106" s="47">
        <v>4029.6285662491373</v>
      </c>
      <c r="BG106" s="47">
        <v>4227.9939231046465</v>
      </c>
      <c r="BH106" s="47">
        <v>4427.6859976412334</v>
      </c>
    </row>
    <row r="107" spans="1:60">
      <c r="A107" s="38" t="s">
        <v>259</v>
      </c>
      <c r="B107" s="47">
        <v>1920.7207207207207</v>
      </c>
      <c r="C107" s="47">
        <v>2125.6085093759507</v>
      </c>
      <c r="D107" s="47">
        <v>2336.4246820965195</v>
      </c>
      <c r="E107" s="47">
        <v>2474.3436961037883</v>
      </c>
      <c r="F107" s="47">
        <v>2581.8698745064607</v>
      </c>
      <c r="G107" s="47">
        <v>2770.7491371714273</v>
      </c>
      <c r="H107" s="47">
        <v>2947.8701055396045</v>
      </c>
      <c r="I107" s="47">
        <v>3135.873352523834</v>
      </c>
      <c r="J107" s="47">
        <v>3288.895321608994</v>
      </c>
      <c r="K107" s="47">
        <v>3553.9357364985972</v>
      </c>
      <c r="L107" s="47">
        <v>3986.4328857788614</v>
      </c>
      <c r="M107" s="47">
        <v>4426.2842242052848</v>
      </c>
      <c r="N107" s="47">
        <v>4776.5168283411522</v>
      </c>
      <c r="O107" s="47">
        <v>5128.6442560700671</v>
      </c>
      <c r="P107" s="47">
        <v>5667.6904578194726</v>
      </c>
      <c r="Q107" s="47">
        <v>5933.7476120909278</v>
      </c>
      <c r="R107" s="47">
        <v>6505.5315792792226</v>
      </c>
      <c r="S107" s="47">
        <v>7152.2936227134069</v>
      </c>
      <c r="T107" s="47">
        <v>7983.3134093113858</v>
      </c>
      <c r="U107" s="47">
        <v>8874.0888973851779</v>
      </c>
      <c r="V107" s="47">
        <v>9713.9514330029106</v>
      </c>
      <c r="W107" s="47">
        <v>10040.324215724026</v>
      </c>
      <c r="X107" s="47">
        <v>10733.599560840017</v>
      </c>
      <c r="Y107" s="47">
        <v>11433.802064833166</v>
      </c>
      <c r="Z107" s="47">
        <v>11144.520200748892</v>
      </c>
      <c r="AA107" s="47">
        <v>11343.781059229359</v>
      </c>
      <c r="AB107" s="47">
        <v>11668.967903931694</v>
      </c>
      <c r="AC107" s="47">
        <v>12063.854975732371</v>
      </c>
      <c r="AD107" s="47">
        <v>12584.878299706463</v>
      </c>
      <c r="AE107" s="47">
        <v>13163.097132670082</v>
      </c>
      <c r="AF107" s="47">
        <v>13427.729937687376</v>
      </c>
      <c r="AG107" s="47">
        <v>13754.451708405097</v>
      </c>
      <c r="AH107" s="47">
        <v>14078.37040258014</v>
      </c>
      <c r="AI107" s="47">
        <v>14306.872890504885</v>
      </c>
      <c r="AJ107" s="47">
        <v>14772.586962917898</v>
      </c>
      <c r="AK107" s="47">
        <v>15331.250840808323</v>
      </c>
      <c r="AL107" s="47">
        <v>15679.381063001287</v>
      </c>
      <c r="AM107" s="47">
        <v>16251.293857282653</v>
      </c>
      <c r="AN107" s="47">
        <v>17184.637844274261</v>
      </c>
      <c r="AO107" s="47">
        <v>17942.5136567634</v>
      </c>
      <c r="AP107" s="47">
        <v>18789.07131596643</v>
      </c>
      <c r="AQ107" s="47">
        <v>19354.578465298484</v>
      </c>
      <c r="AR107" s="47">
        <v>19482.498448268896</v>
      </c>
      <c r="AS107" s="47">
        <v>19477.665653177362</v>
      </c>
      <c r="AT107" s="47">
        <v>19637.148299110933</v>
      </c>
      <c r="AU107" s="47">
        <v>19979.411246403939</v>
      </c>
      <c r="AV107" s="47">
        <v>20615.693127615799</v>
      </c>
      <c r="AW107" s="47">
        <v>20929.031406352686</v>
      </c>
      <c r="AX107" s="47">
        <v>20266.725713245025</v>
      </c>
      <c r="AY107" s="47">
        <v>20197.676256079092</v>
      </c>
      <c r="AZ107" s="47">
        <v>20737.60544153272</v>
      </c>
      <c r="BA107" s="47">
        <v>20736.122924739313</v>
      </c>
      <c r="BB107" s="47">
        <v>20755.27373080582</v>
      </c>
      <c r="BC107" s="47">
        <v>21091.914131817397</v>
      </c>
      <c r="BD107" s="47">
        <v>21576.270787574522</v>
      </c>
      <c r="BE107" s="47">
        <v>21976.391164916848</v>
      </c>
      <c r="BF107" s="47">
        <v>22419.785907540292</v>
      </c>
      <c r="BG107" s="47">
        <v>22950.201282242433</v>
      </c>
      <c r="BH107" s="47">
        <v>22815.512852743384</v>
      </c>
    </row>
    <row r="108" spans="1:60">
      <c r="A108" s="38" t="s">
        <v>159</v>
      </c>
      <c r="B108" s="47">
        <v>1070.2625266524522</v>
      </c>
      <c r="C108" s="47">
        <v>1150.5767096987131</v>
      </c>
      <c r="D108" s="47">
        <v>1185.8534885123202</v>
      </c>
      <c r="E108" s="47">
        <v>1253.6743539779898</v>
      </c>
      <c r="F108" s="47">
        <v>1308.0953635431122</v>
      </c>
      <c r="G108" s="47">
        <v>1357.509279395171</v>
      </c>
      <c r="H108" s="47">
        <v>1409.8131054993146</v>
      </c>
      <c r="I108" s="47">
        <v>1442.1110858564491</v>
      </c>
      <c r="J108" s="47">
        <v>1447.8915014873085</v>
      </c>
      <c r="K108" s="47">
        <v>1500.7229100876696</v>
      </c>
      <c r="L108" s="47">
        <v>1476.185286806495</v>
      </c>
      <c r="M108" s="47">
        <v>1512.3872437616321</v>
      </c>
      <c r="N108" s="47">
        <v>1536.7714523441578</v>
      </c>
      <c r="O108" s="47">
        <v>1595.3916833193714</v>
      </c>
      <c r="P108" s="47">
        <v>1600.1872615631692</v>
      </c>
      <c r="Q108" s="47">
        <v>1633.1520947623192</v>
      </c>
      <c r="R108" s="47">
        <v>1653.9047000382518</v>
      </c>
      <c r="S108" s="47">
        <v>1690.0946357964283</v>
      </c>
      <c r="T108" s="47">
        <v>1721.7012380534188</v>
      </c>
      <c r="U108" s="47">
        <v>1749.8731360639676</v>
      </c>
      <c r="V108" s="47">
        <v>1764.1316002488466</v>
      </c>
      <c r="W108" s="47">
        <v>1807.7151436320182</v>
      </c>
      <c r="X108" s="47">
        <v>1853.3595759192115</v>
      </c>
      <c r="Y108" s="47">
        <v>1963.5166024229134</v>
      </c>
      <c r="Z108" s="47">
        <v>1978.5414508812803</v>
      </c>
      <c r="AA108" s="47">
        <v>2033.2977256251136</v>
      </c>
      <c r="AB108" s="47">
        <v>2152.3071640078247</v>
      </c>
      <c r="AC108" s="47">
        <v>2210.9471306053438</v>
      </c>
      <c r="AD108" s="47">
        <v>2261.5315439869564</v>
      </c>
      <c r="AE108" s="47">
        <v>2323.2157394868614</v>
      </c>
      <c r="AF108" s="47">
        <v>2375.5706251697334</v>
      </c>
      <c r="AG108" s="47">
        <v>2396.3192793204848</v>
      </c>
      <c r="AH108" s="47">
        <v>2420.7399878451397</v>
      </c>
      <c r="AI108" s="47">
        <v>2407.1059173246258</v>
      </c>
      <c r="AJ108" s="47">
        <v>2176.4062594681182</v>
      </c>
      <c r="AK108" s="47">
        <v>1966.7559617392985</v>
      </c>
      <c r="AL108" s="47">
        <v>1983.0889253799073</v>
      </c>
      <c r="AM108" s="47">
        <v>2018.7273100933462</v>
      </c>
      <c r="AN108" s="47">
        <v>2105.3077517960087</v>
      </c>
      <c r="AO108" s="47">
        <v>2184.0880557136697</v>
      </c>
      <c r="AP108" s="47">
        <v>2197.4191137744569</v>
      </c>
      <c r="AQ108" s="47">
        <v>2135.8907241587508</v>
      </c>
      <c r="AR108" s="47">
        <v>2098.7453910474092</v>
      </c>
      <c r="AS108" s="47">
        <v>2098.9681398636753</v>
      </c>
      <c r="AT108" s="47">
        <v>2144.1392709055376</v>
      </c>
      <c r="AU108" s="47">
        <v>2193.7966070204793</v>
      </c>
      <c r="AV108" s="47">
        <v>2266.8345426695919</v>
      </c>
      <c r="AW108" s="47">
        <v>2330.671270508517</v>
      </c>
      <c r="AX108" s="47">
        <v>2266.5135093531048</v>
      </c>
      <c r="AY108" s="47">
        <v>2293.219372527994</v>
      </c>
      <c r="AZ108" s="47">
        <v>2377.0136796050119</v>
      </c>
      <c r="BA108" s="47">
        <v>2364.0211858485973</v>
      </c>
      <c r="BB108" s="47">
        <v>2413.2290221933808</v>
      </c>
      <c r="BC108" s="47">
        <v>2478.5107075662486</v>
      </c>
      <c r="BD108" s="47">
        <v>2581.4871300382056</v>
      </c>
      <c r="BE108" s="47">
        <v>2656.1941160791603</v>
      </c>
      <c r="BF108" s="47">
        <v>2741.4586119203841</v>
      </c>
      <c r="BG108" s="47">
        <v>2877.1484024129154</v>
      </c>
      <c r="BH108" s="47">
        <v>2926.4529958318549</v>
      </c>
    </row>
    <row r="109" spans="1:60">
      <c r="A109" s="38" t="s">
        <v>260</v>
      </c>
      <c r="B109" s="47">
        <v>853.8902207071161</v>
      </c>
      <c r="C109" s="47">
        <v>787.02104105303908</v>
      </c>
      <c r="D109" s="47">
        <v>835.27584176704784</v>
      </c>
      <c r="E109" s="47">
        <v>1071.676293551747</v>
      </c>
      <c r="F109" s="47">
        <v>1123.9561752110981</v>
      </c>
      <c r="G109" s="47">
        <v>1168.8564416374031</v>
      </c>
      <c r="H109" s="47">
        <v>1148.8692323460136</v>
      </c>
      <c r="I109" s="47">
        <v>1205.6669086668619</v>
      </c>
      <c r="J109" s="47">
        <v>1233.8292933462151</v>
      </c>
      <c r="K109" s="47">
        <v>1242.7593101345203</v>
      </c>
      <c r="L109" s="47">
        <v>1226.3891343415587</v>
      </c>
      <c r="M109" s="47">
        <v>1246.5915890322115</v>
      </c>
      <c r="N109" s="47">
        <v>1245.1785666230146</v>
      </c>
      <c r="O109" s="47">
        <v>1315.5188819239761</v>
      </c>
      <c r="P109" s="47">
        <v>1389.6512292738707</v>
      </c>
      <c r="Q109" s="47">
        <v>1436.3351332520467</v>
      </c>
      <c r="R109" s="47">
        <v>1569.3368664220682</v>
      </c>
      <c r="S109" s="47">
        <v>1644.6516876306794</v>
      </c>
      <c r="T109" s="47">
        <v>1812.0500680978014</v>
      </c>
      <c r="U109" s="47">
        <v>2040.0076084199848</v>
      </c>
      <c r="V109" s="47">
        <v>2167.3335194317797</v>
      </c>
      <c r="W109" s="47">
        <v>2332.3601861144057</v>
      </c>
      <c r="X109" s="47">
        <v>2456.469183703925</v>
      </c>
      <c r="Y109" s="47">
        <v>2824.2596777507115</v>
      </c>
      <c r="Z109" s="47">
        <v>3015.2484722702638</v>
      </c>
      <c r="AA109" s="47">
        <v>3161.7017658229638</v>
      </c>
      <c r="AB109" s="47">
        <v>3476.4082543223649</v>
      </c>
      <c r="AC109" s="47">
        <v>3774.5910637830716</v>
      </c>
      <c r="AD109" s="47">
        <v>4063.9131256922124</v>
      </c>
      <c r="AE109" s="47">
        <v>4294.0267490808337</v>
      </c>
      <c r="AF109" s="47">
        <v>4114.1013534781241</v>
      </c>
      <c r="AG109" s="47">
        <v>4301.8619425147845</v>
      </c>
      <c r="AH109" s="47">
        <v>4557.2903422672025</v>
      </c>
      <c r="AI109" s="47">
        <v>5006.9656727637184</v>
      </c>
      <c r="AJ109" s="47">
        <v>5374.6225808048312</v>
      </c>
      <c r="AK109" s="47">
        <v>5670.3916090770963</v>
      </c>
      <c r="AL109" s="47">
        <v>6262.9688940651231</v>
      </c>
      <c r="AM109" s="47">
        <v>6915.909855364951</v>
      </c>
      <c r="AN109" s="47">
        <v>7620.5895648449959</v>
      </c>
      <c r="AO109" s="47">
        <v>8027.3033522580035</v>
      </c>
      <c r="AP109" s="47">
        <v>8704.4251090531616</v>
      </c>
      <c r="AQ109" s="47">
        <v>9404.3049207266449</v>
      </c>
      <c r="AR109" s="47">
        <v>9803.2065972655128</v>
      </c>
      <c r="AS109" s="47">
        <v>10231.867043115019</v>
      </c>
      <c r="AT109" s="47">
        <v>10973.993008059004</v>
      </c>
      <c r="AU109" s="47">
        <v>11850.489017883328</v>
      </c>
      <c r="AV109" s="47">
        <v>12578.661886621183</v>
      </c>
      <c r="AW109" s="47">
        <v>13066.023315022296</v>
      </c>
      <c r="AX109" s="47">
        <v>12281.612788764103</v>
      </c>
      <c r="AY109" s="47">
        <v>13350.03477004038</v>
      </c>
      <c r="AZ109" s="47">
        <v>14374.586801270621</v>
      </c>
      <c r="BA109" s="47">
        <v>14947.259846371422</v>
      </c>
      <c r="BB109" s="47">
        <v>15763.573776875384</v>
      </c>
      <c r="BC109" s="47">
        <v>16177.350010327</v>
      </c>
      <c r="BD109" s="47">
        <v>16873.43966306408</v>
      </c>
      <c r="BE109" s="47">
        <v>17493.058089571503</v>
      </c>
      <c r="BF109" s="47">
        <v>18357.432027941573</v>
      </c>
      <c r="BG109" s="47">
        <v>19243.029057651802</v>
      </c>
      <c r="BH109" s="47">
        <v>19613.847152109724</v>
      </c>
    </row>
    <row r="110" spans="1:60">
      <c r="A110" s="38" t="s">
        <v>261</v>
      </c>
      <c r="B110" s="47">
        <v>817.04939339259261</v>
      </c>
      <c r="C110" s="47">
        <v>848.87021146319535</v>
      </c>
      <c r="D110" s="47">
        <v>869.11788316083278</v>
      </c>
      <c r="E110" s="47">
        <v>935.25096659749045</v>
      </c>
      <c r="F110" s="47">
        <v>898.43611899224572</v>
      </c>
      <c r="G110" s="47">
        <v>945.02159281807474</v>
      </c>
      <c r="H110" s="47">
        <v>929.69635349909629</v>
      </c>
      <c r="I110" s="47">
        <v>910.15396305322781</v>
      </c>
      <c r="J110" s="47">
        <v>913.73941626769556</v>
      </c>
      <c r="K110" s="47">
        <v>992.11605789169892</v>
      </c>
      <c r="L110" s="47">
        <v>1078.2273673115192</v>
      </c>
      <c r="M110" s="47">
        <v>1099.8694112114647</v>
      </c>
      <c r="N110" s="47">
        <v>1149.4222629040639</v>
      </c>
      <c r="O110" s="47">
        <v>1205.0203613974047</v>
      </c>
      <c r="P110" s="47">
        <v>1248.6411652312538</v>
      </c>
      <c r="Q110" s="47">
        <v>1307.8731449444574</v>
      </c>
      <c r="R110" s="47">
        <v>1412.2257815265466</v>
      </c>
      <c r="S110" s="47">
        <v>1485.7638738771279</v>
      </c>
      <c r="T110" s="47">
        <v>1561.4455888669656</v>
      </c>
      <c r="U110" s="47">
        <v>1636.0628870618132</v>
      </c>
      <c r="V110" s="47">
        <v>1694.2713477933696</v>
      </c>
      <c r="W110" s="47">
        <v>1724.6785703151265</v>
      </c>
      <c r="X110" s="47">
        <v>1748.2873131693932</v>
      </c>
      <c r="Y110" s="47">
        <v>1873.6186401619266</v>
      </c>
      <c r="Z110" s="47">
        <v>1910.0050014948317</v>
      </c>
      <c r="AA110" s="47">
        <v>1958.7197199091597</v>
      </c>
      <c r="AB110" s="47">
        <v>2091.3665576903759</v>
      </c>
      <c r="AC110" s="47">
        <v>2249.3285979285492</v>
      </c>
      <c r="AD110" s="47">
        <v>2421.6460068530596</v>
      </c>
      <c r="AE110" s="47">
        <v>2496.0559759268458</v>
      </c>
      <c r="AF110" s="47">
        <v>2554.2594055462873</v>
      </c>
      <c r="AG110" s="47">
        <v>2653.7396218964986</v>
      </c>
      <c r="AH110" s="47">
        <v>2744.7838457120993</v>
      </c>
      <c r="AI110" s="47">
        <v>2847.4927026258274</v>
      </c>
      <c r="AJ110" s="47">
        <v>2961.2668184041181</v>
      </c>
      <c r="AK110" s="47">
        <v>3050.1067852907167</v>
      </c>
      <c r="AL110" s="47">
        <v>3170.2601422657694</v>
      </c>
      <c r="AM110" s="47">
        <v>3420.8057094017649</v>
      </c>
      <c r="AN110" s="47">
        <v>3819.5586880099881</v>
      </c>
      <c r="AO110" s="47">
        <v>4225.1830076023107</v>
      </c>
      <c r="AP110" s="47">
        <v>4633.101219307915</v>
      </c>
      <c r="AQ110" s="47">
        <v>4963.6633694416432</v>
      </c>
      <c r="AR110" s="47">
        <v>5295.1187986608456</v>
      </c>
      <c r="AS110" s="47">
        <v>5665.6988385121385</v>
      </c>
      <c r="AT110" s="47">
        <v>6098.2572854067466</v>
      </c>
      <c r="AU110" s="47">
        <v>6577.041058894486</v>
      </c>
      <c r="AV110" s="47">
        <v>6882.8200623150296</v>
      </c>
      <c r="AW110" s="47">
        <v>6712.3763737411145</v>
      </c>
      <c r="AX110" s="47">
        <v>5945.4319148647337</v>
      </c>
      <c r="AY110" s="47">
        <v>6154.3764929224171</v>
      </c>
      <c r="AZ110" s="47">
        <v>6397.8704661376523</v>
      </c>
      <c r="BA110" s="47">
        <v>6487.0948012232411</v>
      </c>
      <c r="BB110" s="47">
        <v>6781.8349709811437</v>
      </c>
      <c r="BC110" s="47">
        <v>7194.5101059772687</v>
      </c>
      <c r="BD110" s="47">
        <v>7592.5167041188797</v>
      </c>
      <c r="BE110" s="47">
        <v>7885.5969686113858</v>
      </c>
      <c r="BF110" s="47">
        <v>8238.3855759710095</v>
      </c>
      <c r="BG110" s="47">
        <v>8584.0769805823111</v>
      </c>
      <c r="BH110" s="47">
        <v>8750.1014225913623</v>
      </c>
    </row>
    <row r="111" spans="1:60">
      <c r="A111" s="38" t="s">
        <v>262</v>
      </c>
      <c r="B111" s="47">
        <v>915.7725321888413</v>
      </c>
      <c r="C111" s="47">
        <v>949.04130742504174</v>
      </c>
      <c r="D111" s="47">
        <v>1028.2654712987173</v>
      </c>
      <c r="E111" s="47">
        <v>1084.4343021859236</v>
      </c>
      <c r="F111" s="47">
        <v>1145.3387376954256</v>
      </c>
      <c r="G111" s="47">
        <v>1189.0569395017794</v>
      </c>
      <c r="H111" s="47">
        <v>1207.5794882774865</v>
      </c>
      <c r="I111" s="47">
        <v>1253.363692817222</v>
      </c>
      <c r="J111" s="47">
        <v>1289.7205588822355</v>
      </c>
      <c r="K111" s="47">
        <v>1329.0026748184944</v>
      </c>
      <c r="L111" s="47">
        <v>1353.1903139674064</v>
      </c>
      <c r="M111" s="47">
        <v>1398.1308411214955</v>
      </c>
      <c r="N111" s="47">
        <v>1459.2337494619028</v>
      </c>
      <c r="O111" s="47">
        <v>1544.6287190599217</v>
      </c>
      <c r="P111" s="47">
        <v>1679.1279773920064</v>
      </c>
      <c r="Q111" s="47">
        <v>1810.3556321478929</v>
      </c>
      <c r="R111" s="47">
        <v>1915.6012176560123</v>
      </c>
      <c r="S111" s="47">
        <v>2070.35661218425</v>
      </c>
      <c r="T111" s="47">
        <v>2185.8744072424197</v>
      </c>
      <c r="U111" s="47">
        <v>2334.1549295774648</v>
      </c>
      <c r="V111" s="47">
        <v>2537.0217451142307</v>
      </c>
      <c r="W111" s="47">
        <v>2804.0640559816984</v>
      </c>
      <c r="X111" s="47">
        <v>3113.3966244725739</v>
      </c>
      <c r="Y111" s="47">
        <v>3447.9099262326909</v>
      </c>
      <c r="Z111" s="47">
        <v>3421.9781615033012</v>
      </c>
      <c r="AA111" s="47">
        <v>3521.5739991283231</v>
      </c>
      <c r="AB111" s="47">
        <v>3918.4058411925766</v>
      </c>
      <c r="AC111" s="47">
        <v>4235.7786665074909</v>
      </c>
      <c r="AD111" s="47">
        <v>4716.6764189584555</v>
      </c>
      <c r="AE111" s="47">
        <v>4997.5355341586428</v>
      </c>
      <c r="AF111" s="47">
        <v>5259.8943107713067</v>
      </c>
      <c r="AG111" s="47">
        <v>5488.6997844946682</v>
      </c>
      <c r="AH111" s="47">
        <v>5590.358171639763</v>
      </c>
      <c r="AI111" s="47">
        <v>5978.7211234389242</v>
      </c>
      <c r="AJ111" s="47">
        <v>6521.1967438418442</v>
      </c>
      <c r="AK111" s="47">
        <v>6761.959473574263</v>
      </c>
      <c r="AL111" s="47">
        <v>7477.343265052762</v>
      </c>
      <c r="AM111" s="47">
        <v>8597.9729729729734</v>
      </c>
      <c r="AN111" s="47">
        <v>8897.6812474686121</v>
      </c>
      <c r="AO111" s="47">
        <v>9538.0333951762532</v>
      </c>
      <c r="AP111" s="47">
        <v>9938.3799325798136</v>
      </c>
      <c r="AQ111" s="47">
        <v>10576.852909555892</v>
      </c>
      <c r="AR111" s="47">
        <v>11255.718139709194</v>
      </c>
      <c r="AS111" s="47">
        <v>11928.753904103532</v>
      </c>
      <c r="AT111" s="47">
        <v>12659.649919470201</v>
      </c>
      <c r="AU111" s="47">
        <v>13353.878356551124</v>
      </c>
      <c r="AV111" s="47">
        <v>14051.967463787827</v>
      </c>
      <c r="AW111" s="47">
        <v>14834.614477225874</v>
      </c>
      <c r="AX111" s="47">
        <v>15371.480595592475</v>
      </c>
      <c r="AY111" s="47">
        <v>16078.18886239799</v>
      </c>
      <c r="AZ111" s="47">
        <v>16872.474055240593</v>
      </c>
      <c r="BA111" s="47">
        <v>16354.059674569897</v>
      </c>
      <c r="BB111" s="47">
        <v>16854.594011505593</v>
      </c>
      <c r="BC111" s="47">
        <v>17355.84705264305</v>
      </c>
      <c r="BD111" s="47">
        <v>18350.316582391013</v>
      </c>
      <c r="BE111" s="47">
        <v>19054.733037138896</v>
      </c>
      <c r="BF111" s="47">
        <v>19898.544750524619</v>
      </c>
      <c r="BG111" s="47">
        <v>20961.92673024286</v>
      </c>
      <c r="BH111" s="47">
        <v>20926.056018804808</v>
      </c>
    </row>
    <row r="112" spans="1:60">
      <c r="A112" s="38" t="s">
        <v>147</v>
      </c>
      <c r="B112" s="47">
        <v>539.54386854443464</v>
      </c>
      <c r="C112" s="47">
        <v>541.15030517982302</v>
      </c>
      <c r="D112" s="47">
        <v>548.31396654815546</v>
      </c>
      <c r="E112" s="47">
        <v>547.12276318819886</v>
      </c>
      <c r="F112" s="47">
        <v>547.01307933564419</v>
      </c>
      <c r="G112" s="47">
        <v>507.71951659745929</v>
      </c>
      <c r="H112" s="47">
        <v>551.3288201696023</v>
      </c>
      <c r="I112" s="47">
        <v>530.33850382375988</v>
      </c>
      <c r="J112" s="47">
        <v>509.80380476839724</v>
      </c>
      <c r="K112" s="47">
        <v>526.12133701861455</v>
      </c>
      <c r="L112" s="47">
        <v>544.63373569029022</v>
      </c>
      <c r="M112" s="47">
        <v>564.02131020816648</v>
      </c>
      <c r="N112" s="47">
        <v>550.28570563429321</v>
      </c>
      <c r="O112" s="47">
        <v>594.17990360959345</v>
      </c>
      <c r="P112" s="47">
        <v>588.60919324707447</v>
      </c>
      <c r="Q112" s="47">
        <v>607.90324984310996</v>
      </c>
      <c r="R112" s="47">
        <v>603.534737826884</v>
      </c>
      <c r="S112" s="47">
        <v>578.37584599735385</v>
      </c>
      <c r="T112" s="47">
        <v>619.27240720649047</v>
      </c>
      <c r="U112" s="47">
        <v>614.93394768333303</v>
      </c>
      <c r="V112" s="47">
        <v>629.76608414603425</v>
      </c>
      <c r="W112" s="47">
        <v>586.43823688367945</v>
      </c>
      <c r="X112" s="47">
        <v>505.56761071169467</v>
      </c>
      <c r="Y112" s="47">
        <v>497.3150073690266</v>
      </c>
      <c r="Z112" s="47">
        <v>547.25729731479248</v>
      </c>
      <c r="AA112" s="47">
        <v>529.30608285068899</v>
      </c>
      <c r="AB112" s="47">
        <v>540.95678135932167</v>
      </c>
      <c r="AC112" s="47">
        <v>529.48746509865168</v>
      </c>
      <c r="AD112" s="47">
        <v>551.32807370110504</v>
      </c>
      <c r="AE112" s="47">
        <v>560.51250003441271</v>
      </c>
      <c r="AF112" s="47">
        <v>548.56109861780783</v>
      </c>
      <c r="AG112" s="47">
        <v>551.02086787847065</v>
      </c>
      <c r="AH112" s="47">
        <v>545.06001079734222</v>
      </c>
      <c r="AI112" s="47">
        <v>558.73047355100482</v>
      </c>
      <c r="AJ112" s="47">
        <v>575.86630371539331</v>
      </c>
      <c r="AK112" s="47">
        <v>580.09662548638516</v>
      </c>
      <c r="AL112" s="47">
        <v>591.6024724765997</v>
      </c>
      <c r="AM112" s="47">
        <v>602.23088683196329</v>
      </c>
      <c r="AN112" s="47">
        <v>605.25763196764399</v>
      </c>
      <c r="AO112" s="47">
        <v>605.90360395961886</v>
      </c>
      <c r="AP112" s="47">
        <v>631.03116765416792</v>
      </c>
      <c r="AQ112" s="47">
        <v>637.38784810749701</v>
      </c>
      <c r="AR112" s="47">
        <v>654.85313748259625</v>
      </c>
      <c r="AS112" s="47">
        <v>670.23020743659958</v>
      </c>
      <c r="AT112" s="47">
        <v>683.15638164707036</v>
      </c>
      <c r="AU112" s="47">
        <v>702.27952328492609</v>
      </c>
      <c r="AV112" s="47">
        <v>719.96333588430355</v>
      </c>
      <c r="AW112" s="47">
        <v>743.71345560949419</v>
      </c>
      <c r="AX112" s="47">
        <v>767.56072482632533</v>
      </c>
      <c r="AY112" s="47">
        <v>790.06755050481809</v>
      </c>
      <c r="AZ112" s="47">
        <v>822.14059417501369</v>
      </c>
      <c r="BA112" s="47">
        <v>850.64899330867877</v>
      </c>
      <c r="BB112" s="47">
        <v>873.46691590242654</v>
      </c>
      <c r="BC112" s="47">
        <v>904.73498915184985</v>
      </c>
      <c r="BD112" s="47">
        <v>948.06773387706903</v>
      </c>
      <c r="BE112" s="47">
        <v>993.39488301547897</v>
      </c>
      <c r="BF112" s="47">
        <v>1043.6825187356842</v>
      </c>
      <c r="BG112" s="47">
        <v>1094.9271360016305</v>
      </c>
      <c r="BH112" s="47">
        <v>1145.5232621903665</v>
      </c>
    </row>
    <row r="113" spans="1:60">
      <c r="A113" s="38" t="s">
        <v>263</v>
      </c>
      <c r="B113" s="47">
        <v>395.68635675391869</v>
      </c>
      <c r="C113" s="47">
        <v>446.42640564181096</v>
      </c>
      <c r="D113" s="47">
        <v>449.29972596598566</v>
      </c>
      <c r="E113" s="47">
        <v>454.09020588935147</v>
      </c>
      <c r="F113" s="47">
        <v>419.35782756237768</v>
      </c>
      <c r="G113" s="47">
        <v>466.6049435705882</v>
      </c>
      <c r="H113" s="47">
        <v>489.64266886114359</v>
      </c>
      <c r="I113" s="47">
        <v>510.22105422648133</v>
      </c>
      <c r="J113" s="47">
        <v>488.22347045267935</v>
      </c>
      <c r="K113" s="47">
        <v>554.66473172963674</v>
      </c>
      <c r="L113" s="47">
        <v>563.55248494639261</v>
      </c>
      <c r="M113" s="47">
        <v>567.449726915626</v>
      </c>
      <c r="N113" s="47">
        <v>606.3137175136502</v>
      </c>
      <c r="O113" s="47">
        <v>612.58053447100872</v>
      </c>
      <c r="P113" s="47">
        <v>612.44898623339293</v>
      </c>
      <c r="Q113" s="47">
        <v>616.70749177496111</v>
      </c>
      <c r="R113" s="47">
        <v>580.22136131971251</v>
      </c>
      <c r="S113" s="47">
        <v>585.5303474647842</v>
      </c>
      <c r="T113" s="47">
        <v>612.40728512849603</v>
      </c>
      <c r="U113" s="47">
        <v>625.70447570151191</v>
      </c>
      <c r="V113" s="47">
        <v>641.58789920320066</v>
      </c>
      <c r="W113" s="47">
        <v>649.8891260289314</v>
      </c>
      <c r="X113" s="47">
        <v>642.12736190942917</v>
      </c>
      <c r="Y113" s="47">
        <v>627.74211743586909</v>
      </c>
      <c r="Z113" s="47">
        <v>648.45278253293782</v>
      </c>
      <c r="AA113" s="47">
        <v>663.4244523056168</v>
      </c>
      <c r="AB113" s="47">
        <v>691.57437927798276</v>
      </c>
      <c r="AC113" s="47">
        <v>720.35988893499189</v>
      </c>
      <c r="AD113" s="47">
        <v>755.91400080085577</v>
      </c>
      <c r="AE113" s="47">
        <v>778.32848603568164</v>
      </c>
      <c r="AF113" s="47">
        <v>828.18564279800626</v>
      </c>
      <c r="AG113" s="47">
        <v>859.236685967168</v>
      </c>
      <c r="AH113" s="47">
        <v>889.01639324192467</v>
      </c>
      <c r="AI113" s="47">
        <v>909.85593790418329</v>
      </c>
      <c r="AJ113" s="47">
        <v>936.26005360990814</v>
      </c>
      <c r="AK113" s="47">
        <v>945.06568081294631</v>
      </c>
      <c r="AL113" s="47">
        <v>918.60077095865802</v>
      </c>
      <c r="AM113" s="47">
        <v>867.07432236097873</v>
      </c>
      <c r="AN113" s="47">
        <v>757.16633020793108</v>
      </c>
      <c r="AO113" s="47">
        <v>774.48291469616515</v>
      </c>
      <c r="AP113" s="47">
        <v>785.71982628441515</v>
      </c>
      <c r="AQ113" s="47">
        <v>770.8176932670433</v>
      </c>
      <c r="AR113" s="47">
        <v>837.04078154935382</v>
      </c>
      <c r="AS113" s="47">
        <v>878.07287796807191</v>
      </c>
      <c r="AT113" s="47">
        <v>930.20491178413624</v>
      </c>
      <c r="AU113" s="47">
        <v>980.67785018111374</v>
      </c>
      <c r="AV113" s="47">
        <v>1030.1506814783988</v>
      </c>
      <c r="AW113" s="47">
        <v>1076.0284304882182</v>
      </c>
      <c r="AX113" s="47">
        <v>1124.8350859460068</v>
      </c>
      <c r="AY113" s="47">
        <v>1233.9796716305648</v>
      </c>
      <c r="AZ113" s="47">
        <v>1388.6372977462245</v>
      </c>
      <c r="BA113" s="47">
        <v>1529.9486888764072</v>
      </c>
      <c r="BB113" s="47">
        <v>1696.672218377113</v>
      </c>
      <c r="BC113" s="47">
        <v>1912.5807687289002</v>
      </c>
      <c r="BD113" s="47">
        <v>2149.6637174220659</v>
      </c>
      <c r="BE113" s="47">
        <v>2416.9625185170084</v>
      </c>
      <c r="BF113" s="47">
        <v>2710.880663340201</v>
      </c>
      <c r="BG113" s="47">
        <v>3008.6572036054072</v>
      </c>
      <c r="BH113" s="47">
        <v>3103.8242432223287</v>
      </c>
    </row>
    <row r="114" spans="1:60">
      <c r="A114" s="38" t="s">
        <v>264</v>
      </c>
      <c r="B114" s="47">
        <v>2218.1493071077334</v>
      </c>
      <c r="C114" s="47">
        <v>2295.4398848806632</v>
      </c>
      <c r="D114" s="47">
        <v>2377.3460651959167</v>
      </c>
      <c r="E114" s="47">
        <v>2459.6378556774598</v>
      </c>
      <c r="F114" s="47">
        <v>2545.9850310795382</v>
      </c>
      <c r="G114" s="47">
        <v>2635.7211692900737</v>
      </c>
      <c r="H114" s="47">
        <v>2729.2893750478083</v>
      </c>
      <c r="I114" s="47">
        <v>2824.6171837883271</v>
      </c>
      <c r="J114" s="47">
        <v>2923.8639150695494</v>
      </c>
      <c r="K114" s="47">
        <v>3026.5552335377774</v>
      </c>
      <c r="L114" s="47">
        <v>3133.6780151529929</v>
      </c>
      <c r="M114" s="47">
        <v>3243.5844828130425</v>
      </c>
      <c r="N114" s="47">
        <v>3652.4264794868695</v>
      </c>
      <c r="O114" s="47">
        <v>4083.1360168376741</v>
      </c>
      <c r="P114" s="47">
        <v>4327.1700051361076</v>
      </c>
      <c r="Q114" s="47">
        <v>4825.036827037994</v>
      </c>
      <c r="R114" s="47">
        <v>4864.8723105319705</v>
      </c>
      <c r="S114" s="47">
        <v>4824.0571612764588</v>
      </c>
      <c r="T114" s="47">
        <v>4879.9537170957474</v>
      </c>
      <c r="U114" s="47">
        <v>5344.8588213980693</v>
      </c>
      <c r="V114" s="47">
        <v>5695.3776206112652</v>
      </c>
      <c r="W114" s="47">
        <v>5968.407781870319</v>
      </c>
      <c r="X114" s="47">
        <v>6472.5320115654686</v>
      </c>
      <c r="Y114" s="47">
        <v>7105.1132317333704</v>
      </c>
      <c r="Z114" s="47">
        <v>7090.7028428558187</v>
      </c>
      <c r="AA114" s="47">
        <v>6990.536421129259</v>
      </c>
      <c r="AB114" s="47">
        <v>7905.7104913678622</v>
      </c>
      <c r="AC114" s="47">
        <v>8706.5034797216213</v>
      </c>
      <c r="AD114" s="47">
        <v>9276.9148366363152</v>
      </c>
      <c r="AE114" s="47">
        <v>9795.5250826622323</v>
      </c>
      <c r="AF114" s="47">
        <v>10502.853982737848</v>
      </c>
      <c r="AG114" s="47">
        <v>11202.299648879114</v>
      </c>
      <c r="AH114" s="47">
        <v>11332.89011302118</v>
      </c>
      <c r="AI114" s="47">
        <v>11796.785841237768</v>
      </c>
      <c r="AJ114" s="47">
        <v>12845.736304859298</v>
      </c>
      <c r="AK114" s="47">
        <v>12763.278472196767</v>
      </c>
      <c r="AL114" s="47">
        <v>13959.743691850992</v>
      </c>
      <c r="AM114" s="47">
        <v>15596.533984181244</v>
      </c>
      <c r="AN114" s="47">
        <v>16715.742127390575</v>
      </c>
      <c r="AO114" s="47">
        <v>17043.411961126509</v>
      </c>
      <c r="AP114" s="47">
        <v>17540.56244076302</v>
      </c>
      <c r="AQ114" s="47">
        <v>18323.260818840783</v>
      </c>
      <c r="AR114" s="47">
        <v>19269.572224723659</v>
      </c>
      <c r="AS114" s="47">
        <v>20130.764216717795</v>
      </c>
      <c r="AT114" s="47">
        <v>20769.751102720438</v>
      </c>
      <c r="AU114" s="47">
        <v>21028.945209353282</v>
      </c>
      <c r="AV114" s="47">
        <v>21364.16324168225</v>
      </c>
      <c r="AW114" s="47">
        <v>22087.14764320723</v>
      </c>
      <c r="AX114" s="47">
        <v>20833.646469228202</v>
      </c>
      <c r="AY114" s="47">
        <v>21366.719771094078</v>
      </c>
      <c r="AZ114" s="47">
        <v>23328.385264871456</v>
      </c>
      <c r="BA114" s="47">
        <v>23245.645383124833</v>
      </c>
      <c r="BB114" s="47">
        <v>23512.566997805538</v>
      </c>
      <c r="BC114" s="47">
        <v>24098.212243095164</v>
      </c>
      <c r="BD114" s="47">
        <v>25997.483634507033</v>
      </c>
      <c r="BE114" s="47">
        <v>27667.442756490149</v>
      </c>
      <c r="BF114" s="47">
        <v>29426.12217798546</v>
      </c>
      <c r="BG114" s="47">
        <v>31130.110944740794</v>
      </c>
      <c r="BH114" s="47">
        <v>31703.595969359289</v>
      </c>
    </row>
    <row r="115" spans="1:60">
      <c r="A115" s="38" t="s">
        <v>265</v>
      </c>
      <c r="B115" s="47">
        <v>1559.2653733820407</v>
      </c>
      <c r="C115" s="47">
        <v>1440.0230695402911</v>
      </c>
      <c r="D115" s="47">
        <v>1471.4646986283224</v>
      </c>
      <c r="E115" s="47">
        <v>1439.9023689330925</v>
      </c>
      <c r="F115" s="47">
        <v>1490.257059859244</v>
      </c>
      <c r="G115" s="47">
        <v>1460.2583249905629</v>
      </c>
      <c r="H115" s="47">
        <v>1505.386611075523</v>
      </c>
      <c r="I115" s="47">
        <v>1454.5365271890569</v>
      </c>
      <c r="J115" s="47">
        <v>1413.0176890833839</v>
      </c>
      <c r="K115" s="47">
        <v>1467.3528629791851</v>
      </c>
      <c r="L115" s="47">
        <v>1530.4040710480508</v>
      </c>
      <c r="M115" s="47">
        <v>1592.2153436046653</v>
      </c>
      <c r="N115" s="47">
        <v>1636.8032596839232</v>
      </c>
      <c r="O115" s="47">
        <v>1669.2443343687364</v>
      </c>
      <c r="P115" s="47">
        <v>1727.5937423117555</v>
      </c>
      <c r="Q115" s="47">
        <v>1804.0655272255824</v>
      </c>
      <c r="R115" s="47">
        <v>1846.299365755056</v>
      </c>
      <c r="S115" s="47">
        <v>1830.3518762116098</v>
      </c>
      <c r="T115" s="47">
        <v>1942.1982510128646</v>
      </c>
      <c r="U115" s="47">
        <v>2005.3828896064952</v>
      </c>
      <c r="V115" s="47">
        <v>2079.1522367659818</v>
      </c>
      <c r="W115" s="47">
        <v>2180.4917998595156</v>
      </c>
      <c r="X115" s="47">
        <v>2289.4801381152165</v>
      </c>
      <c r="Y115" s="47">
        <v>2559.9678138394002</v>
      </c>
      <c r="Z115" s="47">
        <v>2688.2447068560168</v>
      </c>
      <c r="AA115" s="47">
        <v>2648.422395696919</v>
      </c>
      <c r="AB115" s="47">
        <v>2910.3160492029492</v>
      </c>
      <c r="AC115" s="47">
        <v>3076.0473356142575</v>
      </c>
      <c r="AD115" s="47">
        <v>3270.5333092819365</v>
      </c>
      <c r="AE115" s="47">
        <v>3456.5262732890983</v>
      </c>
      <c r="AF115" s="47">
        <v>3656.7649534100842</v>
      </c>
      <c r="AG115" s="47">
        <v>3823.8263234698416</v>
      </c>
      <c r="AH115" s="47">
        <v>3954.1117513331674</v>
      </c>
      <c r="AI115" s="47">
        <v>4095.8485896166981</v>
      </c>
      <c r="AJ115" s="47">
        <v>4307.5343321174278</v>
      </c>
      <c r="AK115" s="47">
        <v>4156.6880401026447</v>
      </c>
      <c r="AL115" s="47">
        <v>4104.50717341571</v>
      </c>
      <c r="AM115" s="47">
        <v>4218.2628040543523</v>
      </c>
      <c r="AN115" s="47">
        <v>4481.5105861955944</v>
      </c>
      <c r="AO115" s="47">
        <v>4789.2554704142749</v>
      </c>
      <c r="AP115" s="47">
        <v>5130.6058864967617</v>
      </c>
      <c r="AQ115" s="47">
        <v>5493.7093001900357</v>
      </c>
      <c r="AR115" s="47">
        <v>5846.7544346528794</v>
      </c>
      <c r="AS115" s="47">
        <v>6278.2338520103731</v>
      </c>
      <c r="AT115" s="47">
        <v>6701.7806113174656</v>
      </c>
      <c r="AU115" s="47">
        <v>7198.634094533325</v>
      </c>
      <c r="AV115" s="47">
        <v>7747.2842436517421</v>
      </c>
      <c r="AW115" s="47">
        <v>8139.1646932568019</v>
      </c>
      <c r="AX115" s="47">
        <v>7382.8187382696442</v>
      </c>
      <c r="AY115" s="47">
        <v>7673.4128093427189</v>
      </c>
      <c r="AZ115" s="47">
        <v>8161.6143442394286</v>
      </c>
      <c r="BA115" s="47">
        <v>8027.4740899375029</v>
      </c>
      <c r="BB115" s="47">
        <v>8197.9257176683059</v>
      </c>
      <c r="BC115" s="47">
        <v>8511.5854961173918</v>
      </c>
      <c r="BD115" s="47">
        <v>8930.9648918595285</v>
      </c>
      <c r="BE115" s="47">
        <v>9235.1712185413926</v>
      </c>
      <c r="BF115" s="47">
        <v>9597.3544076647686</v>
      </c>
      <c r="BG115" s="47">
        <v>10013.47158149409</v>
      </c>
      <c r="BH115" s="47">
        <v>10292.182920775165</v>
      </c>
    </row>
    <row r="116" spans="1:60">
      <c r="A116" s="38" t="s">
        <v>266</v>
      </c>
      <c r="B116" s="47">
        <v>496.33394754010465</v>
      </c>
      <c r="C116" s="47">
        <v>505.29870241362408</v>
      </c>
      <c r="D116" s="47">
        <v>517.0684873982525</v>
      </c>
      <c r="E116" s="47">
        <v>542.8651751559122</v>
      </c>
      <c r="F116" s="47">
        <v>548.54933489592599</v>
      </c>
      <c r="G116" s="47">
        <v>553.63129063290251</v>
      </c>
      <c r="H116" s="47">
        <v>572.42782988789327</v>
      </c>
      <c r="I116" s="47">
        <v>566.39212553827394</v>
      </c>
      <c r="J116" s="47">
        <v>591.68919808644921</v>
      </c>
      <c r="K116" s="47">
        <v>601.34622006404732</v>
      </c>
      <c r="L116" s="47">
        <v>606.99234049609538</v>
      </c>
      <c r="M116" s="47">
        <v>612.99907883081676</v>
      </c>
      <c r="N116" s="47">
        <v>617.97955624906058</v>
      </c>
      <c r="O116" s="47">
        <v>622.55186265574514</v>
      </c>
      <c r="P116" s="47">
        <v>626.47757015490458</v>
      </c>
      <c r="Q116" s="47">
        <v>630.52398946309631</v>
      </c>
      <c r="R116" s="47">
        <v>662.99036054882686</v>
      </c>
      <c r="S116" s="47">
        <v>640.7564051221442</v>
      </c>
      <c r="T116" s="47">
        <v>633.21932189662823</v>
      </c>
      <c r="U116" s="47">
        <v>649.16059856883601</v>
      </c>
      <c r="V116" s="47">
        <v>653.34427190666622</v>
      </c>
      <c r="W116" s="47">
        <v>632.92555584405932</v>
      </c>
      <c r="X116" s="47">
        <v>640.40004097139672</v>
      </c>
      <c r="Y116" s="47">
        <v>624.83946636144992</v>
      </c>
      <c r="Z116" s="47">
        <v>651.17360212198957</v>
      </c>
      <c r="AA116" s="47">
        <v>647.48067458699165</v>
      </c>
      <c r="AB116" s="47">
        <v>662.00181069740734</v>
      </c>
      <c r="AC116" s="47">
        <v>667.57060628542399</v>
      </c>
      <c r="AD116" s="47">
        <v>681.89987587753694</v>
      </c>
      <c r="AE116" s="47">
        <v>682.83423776901941</v>
      </c>
      <c r="AF116" s="47">
        <v>652.08593514803192</v>
      </c>
      <c r="AG116" s="47">
        <v>637.07213557865009</v>
      </c>
      <c r="AH116" s="47">
        <v>699.11895012353114</v>
      </c>
      <c r="AI116" s="47">
        <v>662.124600642019</v>
      </c>
      <c r="AJ116" s="47">
        <v>708.19907716850605</v>
      </c>
      <c r="AK116" s="47">
        <v>733.01239548945716</v>
      </c>
      <c r="AL116" s="47">
        <v>744.84425908817047</v>
      </c>
      <c r="AM116" s="47">
        <v>754.26768022579904</v>
      </c>
      <c r="AN116" s="47">
        <v>792.26295162168674</v>
      </c>
      <c r="AO116" s="47">
        <v>788.93344454262285</v>
      </c>
      <c r="AP116" s="47">
        <v>825.07605352205826</v>
      </c>
      <c r="AQ116" s="47">
        <v>853.69819765969555</v>
      </c>
      <c r="AR116" s="47">
        <v>862.81022857158268</v>
      </c>
      <c r="AS116" s="47">
        <v>869.61298976046442</v>
      </c>
      <c r="AT116" s="47">
        <v>914.25812012998699</v>
      </c>
      <c r="AU116" s="47">
        <v>918.74133123283059</v>
      </c>
      <c r="AV116" s="47">
        <v>940.78147255097849</v>
      </c>
      <c r="AW116" s="47">
        <v>953.07776396229713</v>
      </c>
      <c r="AX116" s="47">
        <v>946.6130892518803</v>
      </c>
      <c r="AY116" s="47">
        <v>954.887528464301</v>
      </c>
      <c r="AZ116" s="47">
        <v>994.47332159408097</v>
      </c>
      <c r="BA116" s="47">
        <v>1025.789230922132</v>
      </c>
      <c r="BB116" s="47">
        <v>1003.71682410067</v>
      </c>
      <c r="BC116" s="47">
        <v>1016.6932707875791</v>
      </c>
      <c r="BD116" s="47">
        <v>1036.2315617353038</v>
      </c>
      <c r="BE116" s="47">
        <v>1053.153390532744</v>
      </c>
      <c r="BF116" s="47">
        <v>1076.5159181415256</v>
      </c>
      <c r="BG116" s="47">
        <v>1097.3522930645374</v>
      </c>
      <c r="BH116" s="47">
        <v>1133.8810992390668</v>
      </c>
    </row>
    <row r="117" spans="1:60">
      <c r="A117" s="38" t="s">
        <v>158</v>
      </c>
      <c r="B117" s="47">
        <v>643.01994573546403</v>
      </c>
      <c r="C117" s="47">
        <v>607.54481813103519</v>
      </c>
      <c r="D117" s="47">
        <v>595.57554485790354</v>
      </c>
      <c r="E117" s="47">
        <v>637.25703675076431</v>
      </c>
      <c r="F117" s="47">
        <v>636.42349684865121</v>
      </c>
      <c r="G117" s="47">
        <v>635.49797910157315</v>
      </c>
      <c r="H117" s="47">
        <v>638.3780852790461</v>
      </c>
      <c r="I117" s="47">
        <v>649.93651234885795</v>
      </c>
      <c r="J117" s="47">
        <v>642.62975409603871</v>
      </c>
      <c r="K117" s="47">
        <v>633.24635623183656</v>
      </c>
      <c r="L117" s="47">
        <v>647.41036449594492</v>
      </c>
      <c r="M117" s="47">
        <v>669.04387805999556</v>
      </c>
      <c r="N117" s="47">
        <v>698.88005746669376</v>
      </c>
      <c r="O117" s="47">
        <v>723.32659586921989</v>
      </c>
      <c r="P117" s="47">
        <v>757.6035636677143</v>
      </c>
      <c r="Q117" s="47">
        <v>770.62433668075835</v>
      </c>
      <c r="R117" s="47">
        <v>811.55091378187353</v>
      </c>
      <c r="S117" s="47">
        <v>819.86218802283884</v>
      </c>
      <c r="T117" s="47">
        <v>854.09229585147011</v>
      </c>
      <c r="U117" s="47">
        <v>885.44648289517386</v>
      </c>
      <c r="V117" s="47">
        <v>951.54223747482024</v>
      </c>
      <c r="W117" s="47">
        <v>930.84494996686158</v>
      </c>
      <c r="X117" s="47">
        <v>913.41015144970083</v>
      </c>
      <c r="Y117" s="47">
        <v>953.69748647675988</v>
      </c>
      <c r="Z117" s="47">
        <v>961.99818465548367</v>
      </c>
      <c r="AA117" s="47">
        <v>977.66689084889845</v>
      </c>
      <c r="AB117" s="47">
        <v>1005.7795111002297</v>
      </c>
      <c r="AC117" s="47">
        <v>1023.0102648039506</v>
      </c>
      <c r="AD117" s="47">
        <v>1079.3828457501627</v>
      </c>
      <c r="AE117" s="47">
        <v>1087.4750720194265</v>
      </c>
      <c r="AF117" s="47">
        <v>1160.6198642025356</v>
      </c>
      <c r="AG117" s="47">
        <v>1207.3798547450319</v>
      </c>
      <c r="AH117" s="47">
        <v>1255.6905653602123</v>
      </c>
      <c r="AI117" s="47">
        <v>1302.6324765460784</v>
      </c>
      <c r="AJ117" s="47">
        <v>1321.4053216786431</v>
      </c>
      <c r="AK117" s="47">
        <v>1399.2453046221988</v>
      </c>
      <c r="AL117" s="47">
        <v>1444.3734335458989</v>
      </c>
      <c r="AM117" s="47">
        <v>1482.7138710965094</v>
      </c>
      <c r="AN117" s="47">
        <v>1531.5412861581733</v>
      </c>
      <c r="AO117" s="47">
        <v>1560.1499675674481</v>
      </c>
      <c r="AP117" s="47">
        <v>1588.1620872219589</v>
      </c>
      <c r="AQ117" s="47">
        <v>1630.9911297561814</v>
      </c>
      <c r="AR117" s="47">
        <v>1714.948480286419</v>
      </c>
      <c r="AS117" s="47">
        <v>1710.5570116934925</v>
      </c>
      <c r="AT117" s="47">
        <v>1731.9699999214863</v>
      </c>
      <c r="AU117" s="47">
        <v>1772.7006941620773</v>
      </c>
      <c r="AV117" s="47">
        <v>1809.9629033653139</v>
      </c>
      <c r="AW117" s="47">
        <v>1782.1864749876477</v>
      </c>
      <c r="AX117" s="47">
        <v>1782.3384259502459</v>
      </c>
      <c r="AY117" s="47">
        <v>1802.7574249695167</v>
      </c>
      <c r="AZ117" s="47">
        <v>1814.37716230308</v>
      </c>
      <c r="BA117" s="47">
        <v>1799.0379451201602</v>
      </c>
      <c r="BB117" s="47">
        <v>1819.7887202097058</v>
      </c>
      <c r="BC117" s="47">
        <v>1871.9370950261057</v>
      </c>
      <c r="BD117" s="47">
        <v>1973.7249359119241</v>
      </c>
      <c r="BE117" s="47">
        <v>2083.5263575749423</v>
      </c>
      <c r="BF117" s="47">
        <v>2165.530197126579</v>
      </c>
      <c r="BG117" s="47">
        <v>2239.9834350355022</v>
      </c>
      <c r="BH117" s="47">
        <v>2239.0386910244601</v>
      </c>
    </row>
    <row r="118" spans="1:60">
      <c r="A118" s="38" t="s">
        <v>267</v>
      </c>
      <c r="B118" s="47">
        <v>2218.9609627238037</v>
      </c>
      <c r="C118" s="47">
        <v>2252.5980713416347</v>
      </c>
      <c r="D118" s="47">
        <v>2279.5031055900622</v>
      </c>
      <c r="E118" s="47">
        <v>2314.1466689041786</v>
      </c>
      <c r="F118" s="47">
        <v>2320.141003044384</v>
      </c>
      <c r="G118" s="47">
        <v>2357.7173496744545</v>
      </c>
      <c r="H118" s="47">
        <v>2333.0417031204433</v>
      </c>
      <c r="I118" s="47">
        <v>2318.2327762981445</v>
      </c>
      <c r="J118" s="47">
        <v>2294.574664208586</v>
      </c>
      <c r="K118" s="47">
        <v>2186.2399193548385</v>
      </c>
      <c r="L118" s="47">
        <v>2309.8882410106899</v>
      </c>
      <c r="M118" s="47">
        <v>2421.875</v>
      </c>
      <c r="N118" s="47">
        <v>2520.2833961832935</v>
      </c>
      <c r="O118" s="47">
        <v>2700.8356545961001</v>
      </c>
      <c r="P118" s="47">
        <v>2541.2684622067768</v>
      </c>
      <c r="Q118" s="47">
        <v>2667.3379617361807</v>
      </c>
      <c r="R118" s="47">
        <v>2891.3358147229114</v>
      </c>
      <c r="S118" s="47">
        <v>3162.9247572815539</v>
      </c>
      <c r="T118" s="47">
        <v>3540.258449304175</v>
      </c>
      <c r="U118" s="47">
        <v>3964.749082007344</v>
      </c>
      <c r="V118" s="47">
        <v>4439.1269829410066</v>
      </c>
      <c r="W118" s="47">
        <v>4904.160159023143</v>
      </c>
      <c r="X118" s="47">
        <v>5459.9516818435231</v>
      </c>
      <c r="Y118" s="47">
        <v>5977.2001823985402</v>
      </c>
      <c r="Z118" s="47">
        <v>6275.8991837832991</v>
      </c>
      <c r="AA118" s="47">
        <v>6430.2130292583752</v>
      </c>
      <c r="AB118" s="47">
        <v>6797.1918196485412</v>
      </c>
      <c r="AC118" s="47">
        <v>7223.5840536704936</v>
      </c>
      <c r="AD118" s="47">
        <v>7751.9544527532289</v>
      </c>
      <c r="AE118" s="47">
        <v>8362.4921334172432</v>
      </c>
      <c r="AF118" s="47">
        <v>9057.9560048055009</v>
      </c>
      <c r="AG118" s="47">
        <v>9450.3046500547443</v>
      </c>
      <c r="AH118" s="47">
        <v>9653.9459528355274</v>
      </c>
      <c r="AI118" s="47">
        <v>10298.360554545985</v>
      </c>
      <c r="AJ118" s="47">
        <v>10937.933442860907</v>
      </c>
      <c r="AK118" s="47">
        <v>10709.855678230857</v>
      </c>
      <c r="AL118" s="47">
        <v>10899.726515952872</v>
      </c>
      <c r="AM118" s="47">
        <v>11743.206066661131</v>
      </c>
      <c r="AN118" s="47">
        <v>12717.886734795587</v>
      </c>
      <c r="AO118" s="47">
        <v>13475.436750613304</v>
      </c>
      <c r="AP118" s="47">
        <v>14220.078107052608</v>
      </c>
      <c r="AQ118" s="47">
        <v>14710.796288197034</v>
      </c>
      <c r="AR118" s="47">
        <v>15252.464994026803</v>
      </c>
      <c r="AS118" s="47">
        <v>16647.031034976946</v>
      </c>
      <c r="AT118" s="47">
        <v>18005.352104704521</v>
      </c>
      <c r="AU118" s="47">
        <v>18822.246693691301</v>
      </c>
      <c r="AV118" s="47">
        <v>19638.080349188298</v>
      </c>
      <c r="AW118" s="47">
        <v>20588.355476200846</v>
      </c>
      <c r="AX118" s="47">
        <v>19861.420278358972</v>
      </c>
      <c r="AY118" s="47">
        <v>20885.566021850664</v>
      </c>
      <c r="AZ118" s="47">
        <v>22518.170028759319</v>
      </c>
      <c r="BA118" s="47">
        <v>21641.661394077088</v>
      </c>
      <c r="BB118" s="47">
        <v>21698.579640279397</v>
      </c>
      <c r="BC118" s="47">
        <v>21958.067596523375</v>
      </c>
      <c r="BD118" s="47">
        <v>23467.274000532394</v>
      </c>
      <c r="BE118" s="47">
        <v>24771.788545140676</v>
      </c>
      <c r="BF118" s="47">
        <v>26455.483454470577</v>
      </c>
      <c r="BG118" s="47">
        <v>28137.87541381974</v>
      </c>
      <c r="BH118" s="47">
        <v>28106.837273909558</v>
      </c>
    </row>
    <row r="119" spans="1:60">
      <c r="A119" s="38" t="s">
        <v>161</v>
      </c>
      <c r="B119" s="47">
        <v>1252.871163082063</v>
      </c>
      <c r="C119" s="47">
        <v>1292.7040428561372</v>
      </c>
      <c r="D119" s="47">
        <v>1312.6137739442474</v>
      </c>
      <c r="E119" s="47">
        <v>1298.6875697689156</v>
      </c>
      <c r="F119" s="47">
        <v>1296.3811377075817</v>
      </c>
      <c r="G119" s="47">
        <v>1336.7029458650834</v>
      </c>
      <c r="H119" s="47">
        <v>1311.8747203378712</v>
      </c>
      <c r="I119" s="47">
        <v>1297.0552725422503</v>
      </c>
      <c r="J119" s="47">
        <v>1301.0562586994956</v>
      </c>
      <c r="K119" s="47">
        <v>1284.8059481380326</v>
      </c>
      <c r="L119" s="47">
        <v>1295.3058201809674</v>
      </c>
      <c r="M119" s="47">
        <v>1285.8921809237738</v>
      </c>
      <c r="N119" s="47">
        <v>1297.1331112743369</v>
      </c>
      <c r="O119" s="47">
        <v>1290.7031183484216</v>
      </c>
      <c r="P119" s="47">
        <v>1320.0715630665893</v>
      </c>
      <c r="Q119" s="47">
        <v>1329.4940134583405</v>
      </c>
      <c r="R119" s="47">
        <v>1283.5672696242125</v>
      </c>
      <c r="S119" s="47">
        <v>1368.450892753918</v>
      </c>
      <c r="T119" s="47">
        <v>1436.6236085036003</v>
      </c>
      <c r="U119" s="47">
        <v>1461.0171521617035</v>
      </c>
      <c r="V119" s="47">
        <v>1498.7257027654152</v>
      </c>
      <c r="W119" s="47">
        <v>1457.0978623196374</v>
      </c>
      <c r="X119" s="47">
        <v>1459.7756594626314</v>
      </c>
      <c r="Y119" s="47">
        <v>1492.0988862659945</v>
      </c>
      <c r="Z119" s="47">
        <v>1516.7374969067992</v>
      </c>
      <c r="AA119" s="47">
        <v>1527.4479427060787</v>
      </c>
      <c r="AB119" s="47">
        <v>1546.338120899107</v>
      </c>
      <c r="AC119" s="47">
        <v>1619.8342606806111</v>
      </c>
      <c r="AD119" s="47">
        <v>1689.9490927213728</v>
      </c>
      <c r="AE119" s="47">
        <v>1765.602826478379</v>
      </c>
      <c r="AF119" s="47">
        <v>1829.838927681179</v>
      </c>
      <c r="AG119" s="47">
        <v>1913.2262883377359</v>
      </c>
      <c r="AH119" s="47">
        <v>1976.6984820871492</v>
      </c>
      <c r="AI119" s="47">
        <v>2050.4972484336495</v>
      </c>
      <c r="AJ119" s="47">
        <v>2125.0032155765721</v>
      </c>
      <c r="AK119" s="47">
        <v>2185.6164802438329</v>
      </c>
      <c r="AL119" s="47">
        <v>2262.7543498032028</v>
      </c>
      <c r="AM119" s="47">
        <v>2252.2198129089415</v>
      </c>
      <c r="AN119" s="47">
        <v>2278.8747541202401</v>
      </c>
      <c r="AO119" s="47">
        <v>2306.7509113279066</v>
      </c>
      <c r="AP119" s="47">
        <v>2423.7723062606101</v>
      </c>
      <c r="AQ119" s="47">
        <v>2507.2602127737223</v>
      </c>
      <c r="AR119" s="47">
        <v>2586.1107239479088</v>
      </c>
      <c r="AS119" s="47">
        <v>2727.4557314003187</v>
      </c>
      <c r="AT119" s="47">
        <v>2840.7516290393055</v>
      </c>
      <c r="AU119" s="47">
        <v>2959.8810755338382</v>
      </c>
      <c r="AV119" s="47">
        <v>3038.8415597400322</v>
      </c>
      <c r="AW119" s="47">
        <v>3201.0192676030106</v>
      </c>
      <c r="AX119" s="47">
        <v>3318.4987481446065</v>
      </c>
      <c r="AY119" s="47">
        <v>3427.8472646173814</v>
      </c>
      <c r="AZ119" s="47">
        <v>3597.0949732534759</v>
      </c>
      <c r="BA119" s="47">
        <v>3503.5941602121366</v>
      </c>
      <c r="BB119" s="47">
        <v>3601.4737117933123</v>
      </c>
      <c r="BC119" s="47">
        <v>3770.9345935797483</v>
      </c>
      <c r="BD119" s="47">
        <v>3934.1451796895544</v>
      </c>
      <c r="BE119" s="47">
        <v>4137.0907046456286</v>
      </c>
      <c r="BF119" s="47">
        <v>4409.7065286245752</v>
      </c>
      <c r="BG119" s="47">
        <v>4662.6938378782888</v>
      </c>
      <c r="BH119" s="47">
        <v>4895.0783843434729</v>
      </c>
    </row>
    <row r="120" spans="1:60" s="41" customFormat="1" ht="12.75">
      <c r="A120" s="44" t="s">
        <v>268</v>
      </c>
      <c r="B120" s="48">
        <v>665.63015178138892</v>
      </c>
      <c r="C120" s="48">
        <v>701.97634337845886</v>
      </c>
      <c r="D120" s="48">
        <v>741.90601054101955</v>
      </c>
      <c r="E120" s="48">
        <v>774.11621084246212</v>
      </c>
      <c r="F120" s="48">
        <v>790.51704841878768</v>
      </c>
      <c r="G120" s="48">
        <v>814.36204105587865</v>
      </c>
      <c r="H120" s="48">
        <v>851.54770304151771</v>
      </c>
      <c r="I120" s="48">
        <v>868.63167609392883</v>
      </c>
      <c r="J120" s="48">
        <v>906.62018828472674</v>
      </c>
      <c r="K120" s="48">
        <v>926.35760663321093</v>
      </c>
      <c r="L120" s="48">
        <v>957.51632841050912</v>
      </c>
      <c r="M120" s="48">
        <v>948.27885001632751</v>
      </c>
      <c r="N120" s="48">
        <v>971.16253914221431</v>
      </c>
      <c r="O120" s="48">
        <v>1016.1138982777131</v>
      </c>
      <c r="P120" s="48">
        <v>1086.4039288578811</v>
      </c>
      <c r="Q120" s="48">
        <v>1114.2007651772572</v>
      </c>
      <c r="R120" s="48">
        <v>1164.7106713904266</v>
      </c>
      <c r="S120" s="48">
        <v>1195.6173120685066</v>
      </c>
      <c r="T120" s="48">
        <v>1239.413436381253</v>
      </c>
      <c r="U120" s="48">
        <v>1326.7928988047997</v>
      </c>
      <c r="V120" s="48">
        <v>1417.0758478458708</v>
      </c>
      <c r="W120" s="48">
        <v>1440.3895573511948</v>
      </c>
      <c r="X120" s="48">
        <v>1479.0997270448593</v>
      </c>
      <c r="Y120" s="48">
        <v>1562.3356815968284</v>
      </c>
      <c r="Z120" s="48">
        <v>1548.55081672387</v>
      </c>
      <c r="AA120" s="48">
        <v>1589.2141852851034</v>
      </c>
      <c r="AB120" s="48">
        <v>1617.3134771960029</v>
      </c>
      <c r="AC120" s="48">
        <v>1685.4912599521206</v>
      </c>
      <c r="AD120" s="48">
        <v>1773.6120942419764</v>
      </c>
      <c r="AE120" s="48">
        <v>1819.3303138819911</v>
      </c>
      <c r="AF120" s="48">
        <v>1862.9797150994586</v>
      </c>
      <c r="AG120" s="48">
        <v>1923.8391055343727</v>
      </c>
      <c r="AH120" s="48">
        <v>1973.5780964987721</v>
      </c>
      <c r="AI120" s="48">
        <v>2040.9100213987138</v>
      </c>
      <c r="AJ120" s="48">
        <v>2137.3453244300485</v>
      </c>
      <c r="AK120" s="48">
        <v>2218.1960889160805</v>
      </c>
      <c r="AL120" s="48">
        <v>2291.3955218710857</v>
      </c>
      <c r="AM120" s="48">
        <v>2406.125821399914</v>
      </c>
      <c r="AN120" s="48">
        <v>2536.8544890207309</v>
      </c>
      <c r="AO120" s="48">
        <v>2612.7869889169738</v>
      </c>
      <c r="AP120" s="48">
        <v>2704.3340643068022</v>
      </c>
      <c r="AQ120" s="48">
        <v>2788.7657585108586</v>
      </c>
      <c r="AR120" s="48">
        <v>2905.9618063894477</v>
      </c>
      <c r="AS120" s="48">
        <v>3020.6360541151407</v>
      </c>
      <c r="AT120" s="48">
        <v>3166.7871722984605</v>
      </c>
      <c r="AU120" s="48">
        <v>3384.4362927441807</v>
      </c>
      <c r="AV120" s="48">
        <v>3484.5454700897731</v>
      </c>
      <c r="AW120" s="48">
        <v>3573.5284354777878</v>
      </c>
      <c r="AX120" s="48">
        <v>3485.4789779551593</v>
      </c>
      <c r="AY120" s="48">
        <v>3592.3758567281338</v>
      </c>
      <c r="AZ120" s="48">
        <v>3767.8307780768191</v>
      </c>
      <c r="BA120" s="48">
        <v>3921.6645373656925</v>
      </c>
      <c r="BB120" s="48">
        <v>4125.1812514183703</v>
      </c>
      <c r="BC120" s="48">
        <v>4439.0339677329466</v>
      </c>
      <c r="BD120" s="48">
        <v>4690.4605859495714</v>
      </c>
      <c r="BE120" s="48">
        <v>4934.051703371344</v>
      </c>
      <c r="BF120" s="48">
        <v>5232.1582838241657</v>
      </c>
      <c r="BG120" s="48">
        <v>5456.7566904194764</v>
      </c>
      <c r="BH120" s="48">
        <v>5673.3544093315159</v>
      </c>
    </row>
    <row r="121" spans="1:60">
      <c r="A121" s="35" t="s">
        <v>269</v>
      </c>
      <c r="B121" s="47" t="s">
        <v>178</v>
      </c>
      <c r="C121" s="47" t="s">
        <v>178</v>
      </c>
      <c r="D121" s="47" t="s">
        <v>178</v>
      </c>
      <c r="E121" s="47" t="s">
        <v>178</v>
      </c>
      <c r="F121" s="47" t="s">
        <v>178</v>
      </c>
      <c r="G121" s="47" t="s">
        <v>178</v>
      </c>
      <c r="H121" s="47" t="s">
        <v>178</v>
      </c>
      <c r="I121" s="47" t="s">
        <v>178</v>
      </c>
      <c r="J121" s="47" t="s">
        <v>178</v>
      </c>
      <c r="K121" s="47" t="s">
        <v>178</v>
      </c>
      <c r="L121" s="47" t="s">
        <v>178</v>
      </c>
      <c r="M121" s="47" t="s">
        <v>178</v>
      </c>
      <c r="N121" s="47" t="s">
        <v>178</v>
      </c>
      <c r="O121" s="47" t="s">
        <v>178</v>
      </c>
      <c r="P121" s="47" t="s">
        <v>178</v>
      </c>
      <c r="Q121" s="47" t="s">
        <v>178</v>
      </c>
      <c r="R121" s="47" t="s">
        <v>178</v>
      </c>
      <c r="S121" s="47" t="s">
        <v>178</v>
      </c>
      <c r="T121" s="47" t="s">
        <v>178</v>
      </c>
      <c r="U121" s="47" t="s">
        <v>178</v>
      </c>
      <c r="V121" s="47" t="s">
        <v>178</v>
      </c>
      <c r="W121" s="47" t="s">
        <v>178</v>
      </c>
      <c r="X121" s="47" t="s">
        <v>178</v>
      </c>
      <c r="Y121" s="47" t="s">
        <v>178</v>
      </c>
      <c r="Z121" s="47" t="s">
        <v>178</v>
      </c>
      <c r="AA121" s="47" t="s">
        <v>178</v>
      </c>
      <c r="AB121" s="47" t="s">
        <v>178</v>
      </c>
      <c r="AC121" s="47" t="s">
        <v>178</v>
      </c>
      <c r="AD121" s="47" t="s">
        <v>178</v>
      </c>
      <c r="AE121" s="47" t="s">
        <v>178</v>
      </c>
      <c r="AF121" s="47" t="s">
        <v>178</v>
      </c>
      <c r="AG121" s="47" t="s">
        <v>178</v>
      </c>
      <c r="AH121" s="47" t="s">
        <v>178</v>
      </c>
      <c r="AI121" s="47" t="s">
        <v>178</v>
      </c>
      <c r="AJ121" s="47" t="s">
        <v>178</v>
      </c>
      <c r="AK121" s="47" t="s">
        <v>178</v>
      </c>
      <c r="AL121" s="47" t="s">
        <v>178</v>
      </c>
      <c r="AM121" s="47" t="s">
        <v>178</v>
      </c>
      <c r="AN121" s="47" t="s">
        <v>178</v>
      </c>
      <c r="AO121" s="47" t="s">
        <v>178</v>
      </c>
      <c r="AP121" s="47" t="s">
        <v>178</v>
      </c>
      <c r="AQ121" s="47" t="s">
        <v>178</v>
      </c>
      <c r="AR121" s="47" t="s">
        <v>178</v>
      </c>
      <c r="AS121" s="47" t="s">
        <v>178</v>
      </c>
      <c r="AT121" s="47" t="s">
        <v>178</v>
      </c>
      <c r="AU121" s="47" t="s">
        <v>178</v>
      </c>
      <c r="AV121" s="47"/>
      <c r="AW121" s="47" t="s">
        <v>178</v>
      </c>
      <c r="AX121" s="47" t="s">
        <v>178</v>
      </c>
      <c r="AY121" s="47" t="s">
        <v>178</v>
      </c>
      <c r="AZ121" s="47" t="s">
        <v>178</v>
      </c>
      <c r="BA121" s="47" t="s">
        <v>178</v>
      </c>
      <c r="BB121" s="47" t="s">
        <v>178</v>
      </c>
      <c r="BC121" s="47" t="s">
        <v>178</v>
      </c>
      <c r="BD121" s="47" t="s">
        <v>178</v>
      </c>
      <c r="BE121" s="47" t="s">
        <v>178</v>
      </c>
      <c r="BF121" s="47" t="s">
        <v>178</v>
      </c>
      <c r="BG121" s="47" t="s">
        <v>178</v>
      </c>
      <c r="BH121" s="47" t="s">
        <v>178</v>
      </c>
    </row>
    <row r="122" spans="1:60">
      <c r="A122" s="38" t="s">
        <v>270</v>
      </c>
      <c r="B122" s="47">
        <v>644.75616315729542</v>
      </c>
      <c r="C122" s="47">
        <v>652.78744948532028</v>
      </c>
      <c r="D122" s="47">
        <v>663.5939493430111</v>
      </c>
      <c r="E122" s="47">
        <v>692.03893940862577</v>
      </c>
      <c r="F122" s="47">
        <v>694.1701167039854</v>
      </c>
      <c r="G122" s="47">
        <v>695.06857841267697</v>
      </c>
      <c r="H122" s="47">
        <v>712.6510907490208</v>
      </c>
      <c r="I122" s="47">
        <v>698.8471078789222</v>
      </c>
      <c r="J122" s="47">
        <v>723.44057775124838</v>
      </c>
      <c r="K122" s="47">
        <v>728.96490516079302</v>
      </c>
      <c r="L122" s="47">
        <v>739.41064861207894</v>
      </c>
      <c r="M122" s="47">
        <v>729.92678926901078</v>
      </c>
      <c r="N122" s="47">
        <v>726.30171588171629</v>
      </c>
      <c r="O122" s="47">
        <v>723.1891250030593</v>
      </c>
      <c r="P122" s="47">
        <v>720.48396120425161</v>
      </c>
      <c r="Q122" s="47">
        <v>719.5929035446361</v>
      </c>
      <c r="R122" s="47">
        <v>709.71142368129347</v>
      </c>
      <c r="S122" s="47">
        <v>711.91057418612604</v>
      </c>
      <c r="T122" s="47">
        <v>719.47313053684798</v>
      </c>
      <c r="U122" s="47">
        <v>713.12261089489675</v>
      </c>
      <c r="V122" s="47">
        <v>709.45760321103774</v>
      </c>
      <c r="W122" s="47">
        <v>658.69843917961532</v>
      </c>
      <c r="X122" s="47">
        <v>629.99542794580213</v>
      </c>
      <c r="Y122" s="47">
        <v>684.06185063579164</v>
      </c>
      <c r="Z122" s="47">
        <v>702.87152060444635</v>
      </c>
      <c r="AA122" s="47">
        <v>720.6330532105851</v>
      </c>
      <c r="AB122" s="47">
        <v>737.44761615265418</v>
      </c>
      <c r="AC122" s="47">
        <v>669.27090263603623</v>
      </c>
      <c r="AD122" s="47">
        <v>704.15889261583436</v>
      </c>
      <c r="AE122" s="47">
        <v>688.81892914274295</v>
      </c>
      <c r="AF122" s="47">
        <v>689.97466872514292</v>
      </c>
      <c r="AG122" s="47">
        <v>763.55756287947577</v>
      </c>
      <c r="AH122" s="47">
        <v>832.64657715961789</v>
      </c>
      <c r="AI122" s="47">
        <v>862.54768770810404</v>
      </c>
      <c r="AJ122" s="47">
        <v>846.74504735191624</v>
      </c>
      <c r="AK122" s="47">
        <v>818.95042142714669</v>
      </c>
      <c r="AL122" s="47">
        <v>877.66398914557487</v>
      </c>
      <c r="AM122" s="47">
        <v>725.70170213247695</v>
      </c>
      <c r="AN122" s="47">
        <v>655.56171081999344</v>
      </c>
      <c r="AO122" s="47">
        <v>639.75223589409711</v>
      </c>
      <c r="AP122" s="47">
        <v>604.04903043006914</v>
      </c>
      <c r="AQ122" s="47">
        <v>600.59321019020831</v>
      </c>
      <c r="AR122" s="47">
        <v>552.82777750915693</v>
      </c>
      <c r="AS122" s="47">
        <v>475.78915763546348</v>
      </c>
      <c r="AT122" s="47">
        <v>426.06609989172216</v>
      </c>
      <c r="AU122" s="47">
        <v>512.41578662048857</v>
      </c>
      <c r="AV122" s="47">
        <v>526.06866916918023</v>
      </c>
      <c r="AW122" s="47">
        <v>540.90860318215141</v>
      </c>
      <c r="AX122" s="47">
        <v>556.19532371711307</v>
      </c>
      <c r="AY122" s="47">
        <v>571.25631731334613</v>
      </c>
      <c r="AZ122" s="47">
        <v>565.23090150981261</v>
      </c>
      <c r="BA122" s="47">
        <v>506.59629463377132</v>
      </c>
      <c r="BB122" s="47">
        <v>618.7173270335029</v>
      </c>
      <c r="BC122" s="47">
        <v>668.43163462835059</v>
      </c>
      <c r="BD122" s="47">
        <v>685.10981589642051</v>
      </c>
      <c r="BE122" s="47">
        <v>757.79377364158699</v>
      </c>
      <c r="BF122" s="47">
        <v>790.16010466176112</v>
      </c>
      <c r="BG122" s="47">
        <v>862.62359429340745</v>
      </c>
      <c r="BH122" s="47">
        <v>868.85800321921886</v>
      </c>
    </row>
    <row r="123" spans="1:60">
      <c r="A123" s="38" t="s">
        <v>271</v>
      </c>
      <c r="B123" s="47">
        <v>481.97675328828922</v>
      </c>
      <c r="C123" s="47">
        <v>486.34076596487785</v>
      </c>
      <c r="D123" s="47">
        <v>504.4914223675475</v>
      </c>
      <c r="E123" s="47">
        <v>497.37040350837435</v>
      </c>
      <c r="F123" s="47">
        <v>541.84702866918713</v>
      </c>
      <c r="G123" s="47">
        <v>517.74709896238653</v>
      </c>
      <c r="H123" s="47">
        <v>571.58179426141908</v>
      </c>
      <c r="I123" s="47">
        <v>594.26559068834865</v>
      </c>
      <c r="J123" s="47">
        <v>607.87692852706778</v>
      </c>
      <c r="K123" s="47">
        <v>649.78149626892468</v>
      </c>
      <c r="L123" s="47">
        <v>670.51735369382504</v>
      </c>
      <c r="M123" s="47">
        <v>646.50872617846778</v>
      </c>
      <c r="N123" s="47">
        <v>680.35161307767635</v>
      </c>
      <c r="O123" s="47">
        <v>711.70564711488191</v>
      </c>
      <c r="P123" s="47">
        <v>673.87887700131216</v>
      </c>
      <c r="Q123" s="47">
        <v>687.32561270882934</v>
      </c>
      <c r="R123" s="47">
        <v>699.67477806637567</v>
      </c>
      <c r="S123" s="47">
        <v>716.61271478986339</v>
      </c>
      <c r="T123" s="47">
        <v>729.92455486361587</v>
      </c>
      <c r="U123" s="47">
        <v>722.09387575155006</v>
      </c>
      <c r="V123" s="47">
        <v>646.99836702209438</v>
      </c>
      <c r="W123" s="47">
        <v>615.29624294375265</v>
      </c>
      <c r="X123" s="47">
        <v>577.14190632615157</v>
      </c>
      <c r="Y123" s="47">
        <v>777.36918786152205</v>
      </c>
      <c r="Z123" s="47">
        <v>657.92966210246311</v>
      </c>
      <c r="AA123" s="47">
        <v>579.60815178418386</v>
      </c>
      <c r="AB123" s="47">
        <v>643.40679609151823</v>
      </c>
      <c r="AC123" s="47">
        <v>717.44527691871554</v>
      </c>
      <c r="AD123" s="47">
        <v>810.38402804602572</v>
      </c>
      <c r="AE123" s="47">
        <v>830.60598149172858</v>
      </c>
      <c r="AF123" s="47">
        <v>828.2495073693882</v>
      </c>
      <c r="AG123" s="47">
        <v>815.52405259240322</v>
      </c>
      <c r="AH123" s="47">
        <v>852.49995818390369</v>
      </c>
      <c r="AI123" s="47">
        <v>885.56587459935133</v>
      </c>
      <c r="AJ123" s="47">
        <v>925.68613586352478</v>
      </c>
      <c r="AK123" s="47">
        <v>965.72284751448456</v>
      </c>
      <c r="AL123" s="47">
        <v>989.95783210374589</v>
      </c>
      <c r="AM123" s="47">
        <v>935.44029954137284</v>
      </c>
      <c r="AN123" s="47">
        <v>924.42920667061662</v>
      </c>
      <c r="AO123" s="47">
        <v>913.35770950787287</v>
      </c>
      <c r="AP123" s="47">
        <v>881.26083116112613</v>
      </c>
      <c r="AQ123" s="47">
        <v>914.75259504263977</v>
      </c>
      <c r="AR123" s="47">
        <v>936.71243965381746</v>
      </c>
      <c r="AS123" s="47">
        <v>930.52740822755925</v>
      </c>
      <c r="AT123" s="47">
        <v>935.69304087194405</v>
      </c>
      <c r="AU123" s="47">
        <v>974.33500077617271</v>
      </c>
      <c r="AV123" s="47">
        <v>1005.4116107925619</v>
      </c>
      <c r="AW123" s="47">
        <v>1010.9137035044553</v>
      </c>
      <c r="AX123" s="47">
        <v>1004.3874772520636</v>
      </c>
      <c r="AY123" s="47">
        <v>1092.3074571881043</v>
      </c>
      <c r="AZ123" s="47">
        <v>1147.5058044883742</v>
      </c>
      <c r="BA123" s="47">
        <v>1191.2201961223027</v>
      </c>
      <c r="BB123" s="47">
        <v>1234.5886567283135</v>
      </c>
      <c r="BC123" s="47">
        <v>1276.3171088522499</v>
      </c>
      <c r="BD123" s="47">
        <v>1800.2585202512541</v>
      </c>
      <c r="BE123" s="47">
        <v>2005.5704128648074</v>
      </c>
      <c r="BF123" s="47">
        <v>2184.8189030955987</v>
      </c>
      <c r="BG123" s="47">
        <v>2366.6924265842349</v>
      </c>
      <c r="BH123" s="47">
        <v>2481.7366539246882</v>
      </c>
    </row>
    <row r="124" spans="1:60">
      <c r="A124" s="38" t="s">
        <v>272</v>
      </c>
      <c r="B124" s="47">
        <v>612.94263365967049</v>
      </c>
      <c r="C124" s="47">
        <v>620.56991433323867</v>
      </c>
      <c r="D124" s="47">
        <v>627.91605441871013</v>
      </c>
      <c r="E124" s="47">
        <v>634.94068040383638</v>
      </c>
      <c r="F124" s="47">
        <v>641.65237770036902</v>
      </c>
      <c r="G124" s="47">
        <v>648.51186507101613</v>
      </c>
      <c r="H124" s="47">
        <v>654.52679787382544</v>
      </c>
      <c r="I124" s="47">
        <v>660.63004994196979</v>
      </c>
      <c r="J124" s="47">
        <v>666.96008090280009</v>
      </c>
      <c r="K124" s="47">
        <v>672.7787354148337</v>
      </c>
      <c r="L124" s="47">
        <v>678.97452329969497</v>
      </c>
      <c r="M124" s="47">
        <v>685.51428197148311</v>
      </c>
      <c r="N124" s="47">
        <v>691.95161070727659</v>
      </c>
      <c r="O124" s="47">
        <v>698.28286634142455</v>
      </c>
      <c r="P124" s="47">
        <v>705.30142282223267</v>
      </c>
      <c r="Q124" s="47">
        <v>711.78538851943961</v>
      </c>
      <c r="R124" s="47">
        <v>718.90341839911707</v>
      </c>
      <c r="S124" s="47">
        <v>725.85901731179365</v>
      </c>
      <c r="T124" s="47">
        <v>732.99764165976171</v>
      </c>
      <c r="U124" s="47">
        <v>740.2742567205097</v>
      </c>
      <c r="V124" s="47">
        <v>747.66657375025966</v>
      </c>
      <c r="W124" s="47">
        <v>755.15436760212151</v>
      </c>
      <c r="X124" s="47">
        <v>762.71681009633312</v>
      </c>
      <c r="Y124" s="47">
        <v>770.10804639017226</v>
      </c>
      <c r="Z124" s="47">
        <v>777.07314091799401</v>
      </c>
      <c r="AA124" s="47">
        <v>783.58352962464551</v>
      </c>
      <c r="AB124" s="47">
        <v>804.27671149706316</v>
      </c>
      <c r="AC124" s="47">
        <v>820.67208461930227</v>
      </c>
      <c r="AD124" s="47">
        <v>835.65905603164788</v>
      </c>
      <c r="AE124" s="47">
        <v>856.17564881009025</v>
      </c>
      <c r="AF124" s="47">
        <v>876.05852010182321</v>
      </c>
      <c r="AG124" s="47">
        <v>891.22553400112315</v>
      </c>
      <c r="AH124" s="47">
        <v>898.81553350242564</v>
      </c>
      <c r="AI124" s="47">
        <v>904.44448195875032</v>
      </c>
      <c r="AJ124" s="47">
        <v>910.89399016860762</v>
      </c>
      <c r="AK124" s="47">
        <v>918.46999687463176</v>
      </c>
      <c r="AL124" s="47">
        <v>920.57752615857066</v>
      </c>
      <c r="AM124" s="47">
        <v>922.64440741806095</v>
      </c>
      <c r="AN124" s="47">
        <v>924.90132878244685</v>
      </c>
      <c r="AO124" s="47">
        <v>927.06411619399012</v>
      </c>
      <c r="AP124" s="47">
        <v>929.11639890444064</v>
      </c>
      <c r="AQ124" s="47">
        <v>930.81231212300486</v>
      </c>
      <c r="AR124" s="47">
        <v>953.03672974370375</v>
      </c>
      <c r="AS124" s="47">
        <v>1020.2526926245379</v>
      </c>
      <c r="AT124" s="47">
        <v>1053.5187079157583</v>
      </c>
      <c r="AU124" s="47">
        <v>1079.2147773598485</v>
      </c>
      <c r="AV124" s="47">
        <v>1077.2389370276896</v>
      </c>
      <c r="AW124" s="47">
        <v>1105.3988811072504</v>
      </c>
      <c r="AX124" s="47">
        <v>1110.3656824713687</v>
      </c>
      <c r="AY124" s="47">
        <v>1166.9264291771519</v>
      </c>
      <c r="AZ124" s="47">
        <v>1203.223219461549</v>
      </c>
      <c r="BA124" s="47">
        <v>1240.5360776527325</v>
      </c>
      <c r="BB124" s="47">
        <v>1280.9897043113672</v>
      </c>
      <c r="BC124" s="47">
        <v>1322.2900442367659</v>
      </c>
      <c r="BD124" s="47">
        <v>1372.9135413835957</v>
      </c>
      <c r="BE124" s="47">
        <v>1435.2256125444155</v>
      </c>
      <c r="BF124" s="47">
        <v>1518.7295055131672</v>
      </c>
      <c r="BG124" s="47">
        <v>1594.1433898017144</v>
      </c>
      <c r="BH124" s="47">
        <v>1669.1790711960434</v>
      </c>
    </row>
    <row r="125" spans="1:60">
      <c r="A125" s="38" t="s">
        <v>273</v>
      </c>
      <c r="B125" s="47">
        <v>435.42203184103892</v>
      </c>
      <c r="C125" s="47">
        <v>447.43750134674889</v>
      </c>
      <c r="D125" s="47">
        <v>462.1170205192447</v>
      </c>
      <c r="E125" s="47">
        <v>475.58889456919269</v>
      </c>
      <c r="F125" s="47">
        <v>490.29375358512209</v>
      </c>
      <c r="G125" s="47">
        <v>504.71182850223795</v>
      </c>
      <c r="H125" s="47">
        <v>519.6835962104858</v>
      </c>
      <c r="I125" s="47">
        <v>536.199715689453</v>
      </c>
      <c r="J125" s="47">
        <v>551.81046913842374</v>
      </c>
      <c r="K125" s="47">
        <v>568.57829581578062</v>
      </c>
      <c r="L125" s="47">
        <v>585.55368867398795</v>
      </c>
      <c r="M125" s="47">
        <v>602.94403721957246</v>
      </c>
      <c r="N125" s="47">
        <v>620.62002613136963</v>
      </c>
      <c r="O125" s="47">
        <v>640.03103180760274</v>
      </c>
      <c r="P125" s="47">
        <v>659.06090891947952</v>
      </c>
      <c r="Q125" s="47">
        <v>678.77453678224174</v>
      </c>
      <c r="R125" s="47">
        <v>698.58852956941212</v>
      </c>
      <c r="S125" s="47">
        <v>720.31317964332322</v>
      </c>
      <c r="T125" s="47">
        <v>741.74428450465712</v>
      </c>
      <c r="U125" s="47">
        <v>763.5285396590067</v>
      </c>
      <c r="V125" s="47">
        <v>787.1112536069254</v>
      </c>
      <c r="W125" s="47">
        <v>811.12669471715753</v>
      </c>
      <c r="X125" s="47">
        <v>835.28966300643697</v>
      </c>
      <c r="Y125" s="47">
        <v>860.2308653775458</v>
      </c>
      <c r="Z125" s="47">
        <v>886.21132183088559</v>
      </c>
      <c r="AA125" s="47">
        <v>912.42390702822365</v>
      </c>
      <c r="AB125" s="47">
        <v>938.70826749151058</v>
      </c>
      <c r="AC125" s="47">
        <v>967.93193717277484</v>
      </c>
      <c r="AD125" s="47">
        <v>997.00960743144367</v>
      </c>
      <c r="AE125" s="47">
        <v>1027.0838486272569</v>
      </c>
      <c r="AF125" s="47">
        <v>1057.5199412889954</v>
      </c>
      <c r="AG125" s="47">
        <v>1114.7965393906481</v>
      </c>
      <c r="AH125" s="47">
        <v>1175.3772140826591</v>
      </c>
      <c r="AI125" s="47">
        <v>1209.969617795861</v>
      </c>
      <c r="AJ125" s="47">
        <v>1246.9735026213925</v>
      </c>
      <c r="AK125" s="47">
        <v>1282.1715772020875</v>
      </c>
      <c r="AL125" s="47">
        <v>1364.24186911846</v>
      </c>
      <c r="AM125" s="47">
        <v>1373.6066056185869</v>
      </c>
      <c r="AN125" s="47">
        <v>1404.8233394809447</v>
      </c>
      <c r="AO125" s="47">
        <v>1402.8530077566522</v>
      </c>
      <c r="AP125" s="47">
        <v>1332.1073496339859</v>
      </c>
      <c r="AQ125" s="47">
        <v>1180.8585515565221</v>
      </c>
      <c r="AR125" s="47">
        <v>1046.6126592676126</v>
      </c>
      <c r="AS125" s="47">
        <v>997.5895118337678</v>
      </c>
      <c r="AT125" s="47">
        <v>1003.0625064565899</v>
      </c>
      <c r="AU125" s="47">
        <v>1046.1610385109859</v>
      </c>
      <c r="AV125" s="47">
        <v>1050.1620736772868</v>
      </c>
      <c r="AW125" s="47">
        <v>1073.5567533847955</v>
      </c>
      <c r="AX125" s="47">
        <v>1092.7678985775035</v>
      </c>
      <c r="AY125" s="47">
        <v>1075.4659939635135</v>
      </c>
      <c r="AZ125" s="47">
        <v>1059.0305346921659</v>
      </c>
      <c r="BA125" s="47">
        <v>1043.0879248059694</v>
      </c>
      <c r="BB125" s="47">
        <v>1027.854080427669</v>
      </c>
      <c r="BC125" s="47">
        <v>1013.2596573953947</v>
      </c>
      <c r="BD125" s="47">
        <v>1062.1096968137063</v>
      </c>
      <c r="BE125" s="47">
        <v>1046.757250713016</v>
      </c>
      <c r="BF125" s="47">
        <v>1031.4939160769675</v>
      </c>
      <c r="BG125" s="47">
        <v>1016.3338399192896</v>
      </c>
      <c r="BH125" s="47">
        <v>1001.3080420722937</v>
      </c>
    </row>
    <row r="126" spans="1:60">
      <c r="A126" s="38" t="s">
        <v>274</v>
      </c>
      <c r="B126" s="47">
        <v>853.85708584183112</v>
      </c>
      <c r="C126" s="47">
        <v>708.9837717369121</v>
      </c>
      <c r="D126" s="47">
        <v>752.91963623435061</v>
      </c>
      <c r="E126" s="47">
        <v>965.98166429736193</v>
      </c>
      <c r="F126" s="47">
        <v>1012.9721803050816</v>
      </c>
      <c r="G126" s="47">
        <v>1053.9144675327939</v>
      </c>
      <c r="H126" s="47">
        <v>1036.0102416260227</v>
      </c>
      <c r="I126" s="47">
        <v>1086.9818148898657</v>
      </c>
      <c r="J126" s="47">
        <v>1111.9066845473653</v>
      </c>
      <c r="K126" s="47">
        <v>1119.9351034408264</v>
      </c>
      <c r="L126" s="47">
        <v>1104.9942796843197</v>
      </c>
      <c r="M126" s="47">
        <v>1123.9908773851007</v>
      </c>
      <c r="N126" s="47">
        <v>1121.9607723164308</v>
      </c>
      <c r="O126" s="47">
        <v>1186.0469141102203</v>
      </c>
      <c r="P126" s="47">
        <v>1253.0483687079861</v>
      </c>
      <c r="Q126" s="47">
        <v>1294.9972579254547</v>
      </c>
      <c r="R126" s="47">
        <v>1414.9933043707169</v>
      </c>
      <c r="S126" s="47">
        <v>1482.99807030335</v>
      </c>
      <c r="T126" s="47">
        <v>1632.9653223674559</v>
      </c>
      <c r="U126" s="47">
        <v>1838.9759290589188</v>
      </c>
      <c r="V126" s="47">
        <v>1954.0103143337267</v>
      </c>
      <c r="W126" s="47">
        <v>2522.1066346601597</v>
      </c>
      <c r="X126" s="47">
        <v>2560.9487051865267</v>
      </c>
      <c r="Y126" s="47">
        <v>2824.3107732559097</v>
      </c>
      <c r="Z126" s="47">
        <v>2840.892963400102</v>
      </c>
      <c r="AA126" s="47">
        <v>2840.9673427035277</v>
      </c>
      <c r="AB126" s="47">
        <v>2840.9216429727171</v>
      </c>
      <c r="AC126" s="47">
        <v>2840.9244045445971</v>
      </c>
      <c r="AD126" s="47">
        <v>2841.0295475155017</v>
      </c>
      <c r="AE126" s="47">
        <v>2840.9249484420993</v>
      </c>
      <c r="AF126" s="47">
        <v>2841.0694495719376</v>
      </c>
      <c r="AG126" s="47">
        <v>2841.0019139429755</v>
      </c>
      <c r="AH126" s="47">
        <v>2841.0794084471254</v>
      </c>
      <c r="AI126" s="47">
        <v>2840.999464783717</v>
      </c>
      <c r="AJ126" s="47">
        <v>2841.0090129698833</v>
      </c>
      <c r="AK126" s="47">
        <v>2840.9613547010999</v>
      </c>
      <c r="AL126" s="47">
        <v>2840.9174142734755</v>
      </c>
      <c r="AM126" s="47">
        <v>2841.0565927858393</v>
      </c>
      <c r="AN126" s="47">
        <v>2840.9787528777988</v>
      </c>
      <c r="AO126" s="47">
        <v>2841.0328978545717</v>
      </c>
      <c r="AP126" s="47">
        <v>2841.0654799804147</v>
      </c>
      <c r="AQ126" s="47">
        <v>2841.0075965496144</v>
      </c>
      <c r="AR126" s="47">
        <v>2577.8587853293179</v>
      </c>
      <c r="AS126" s="47">
        <v>2541.3034174010663</v>
      </c>
      <c r="AT126" s="47">
        <v>1850.4411465196065</v>
      </c>
      <c r="AU126" s="47">
        <v>1521.2237366814559</v>
      </c>
      <c r="AV126" s="47">
        <v>1253.8668144530286</v>
      </c>
      <c r="AW126" s="47">
        <v>1175.9882290327082</v>
      </c>
      <c r="AX126" s="47">
        <v>1185.1053432735673</v>
      </c>
      <c r="AY126" s="47">
        <v>1199.4073761800255</v>
      </c>
      <c r="AZ126" s="47">
        <v>1190.3054302100552</v>
      </c>
      <c r="BA126" s="47">
        <v>1177.4978714551021</v>
      </c>
      <c r="BB126" s="47">
        <v>1165.7075103066784</v>
      </c>
      <c r="BC126" s="47">
        <v>1155.7985376020401</v>
      </c>
      <c r="BD126" s="47">
        <v>1147.61269128144</v>
      </c>
      <c r="BE126" s="47">
        <v>1140.1636357804703</v>
      </c>
      <c r="BF126" s="47">
        <v>1133.3736768388483</v>
      </c>
      <c r="BG126" s="47">
        <v>1127.1824295996414</v>
      </c>
      <c r="BH126" s="47">
        <v>1121.6313225761608</v>
      </c>
    </row>
    <row r="127" spans="1:60">
      <c r="A127" s="43" t="s">
        <v>163</v>
      </c>
      <c r="B127" s="47">
        <v>658.07579442502777</v>
      </c>
      <c r="C127" s="47">
        <v>676.33116570067034</v>
      </c>
      <c r="D127" s="47">
        <v>693.75973236243806</v>
      </c>
      <c r="E127" s="47">
        <v>712.24117083258272</v>
      </c>
      <c r="F127" s="47">
        <v>732.08306629023195</v>
      </c>
      <c r="G127" s="47">
        <v>750.08842542465925</v>
      </c>
      <c r="H127" s="47">
        <v>763.61001320034643</v>
      </c>
      <c r="I127" s="47">
        <v>775.41826842817591</v>
      </c>
      <c r="J127" s="47">
        <v>784.94875868474662</v>
      </c>
      <c r="K127" s="47">
        <v>791.61351817373736</v>
      </c>
      <c r="L127" s="47">
        <v>799.1146907271044</v>
      </c>
      <c r="M127" s="47">
        <v>812.01523227308269</v>
      </c>
      <c r="N127" s="47">
        <v>885.21943630248904</v>
      </c>
      <c r="O127" s="47">
        <v>882.30249088641449</v>
      </c>
      <c r="P127" s="47">
        <v>895.36977314528917</v>
      </c>
      <c r="Q127" s="47">
        <v>876.74261855101611</v>
      </c>
      <c r="R127" s="47">
        <v>859.20574005194783</v>
      </c>
      <c r="S127" s="47">
        <v>730.51555205756347</v>
      </c>
      <c r="T127" s="47">
        <v>699.28243634750083</v>
      </c>
      <c r="U127" s="47">
        <v>739.05805555948734</v>
      </c>
      <c r="V127" s="47">
        <v>735.02684897242796</v>
      </c>
      <c r="W127" s="47">
        <v>754.08639437748559</v>
      </c>
      <c r="X127" s="47">
        <v>802.03759425537294</v>
      </c>
      <c r="Y127" s="47">
        <v>836.05005508073907</v>
      </c>
      <c r="Z127" s="47">
        <v>783.41582218951123</v>
      </c>
      <c r="AA127" s="47">
        <v>709.92934050185147</v>
      </c>
      <c r="AB127" s="47">
        <v>809.34765592591282</v>
      </c>
      <c r="AC127" s="47">
        <v>818.13044992366054</v>
      </c>
      <c r="AD127" s="47">
        <v>805.64851317955959</v>
      </c>
      <c r="AE127" s="47">
        <v>795.03008698927454</v>
      </c>
      <c r="AF127" s="47">
        <v>757.1599563192558</v>
      </c>
      <c r="AG127" s="47">
        <v>766.86606738684156</v>
      </c>
      <c r="AH127" s="47">
        <v>810.90544024287203</v>
      </c>
      <c r="AI127" s="47">
        <v>836.43898871214776</v>
      </c>
      <c r="AJ127" s="47">
        <v>890.96634493969236</v>
      </c>
      <c r="AK127" s="47">
        <v>923.25124754821979</v>
      </c>
      <c r="AL127" s="47">
        <v>928.64846329480167</v>
      </c>
      <c r="AM127" s="47">
        <v>941.11574685907578</v>
      </c>
      <c r="AN127" s="47">
        <v>976.22932594763984</v>
      </c>
      <c r="AO127" s="47">
        <v>996.1517102542565</v>
      </c>
      <c r="AP127" s="47">
        <v>1024.9142186675494</v>
      </c>
      <c r="AQ127" s="47">
        <v>1063.0145699268087</v>
      </c>
      <c r="AR127" s="47">
        <v>1133.9984024024486</v>
      </c>
      <c r="AS127" s="47">
        <v>1203.1837723578826</v>
      </c>
      <c r="AT127" s="47">
        <v>1286.0922708340695</v>
      </c>
      <c r="AU127" s="47">
        <v>1385.2378585341462</v>
      </c>
      <c r="AV127" s="47">
        <v>1490.9962493053761</v>
      </c>
      <c r="AW127" s="47">
        <v>1589.0474592199625</v>
      </c>
      <c r="AX127" s="47">
        <v>1657.9071337062751</v>
      </c>
      <c r="AY127" s="47">
        <v>1714.8646872706076</v>
      </c>
      <c r="AZ127" s="47">
        <v>1808.7731487298413</v>
      </c>
      <c r="BA127" s="47">
        <v>1910.7907786632841</v>
      </c>
      <c r="BB127" s="47">
        <v>2023.0983021788913</v>
      </c>
      <c r="BC127" s="47">
        <v>2146.5593821565803</v>
      </c>
      <c r="BD127" s="47">
        <v>2289.5788673986362</v>
      </c>
      <c r="BE127" s="47">
        <v>2455.971573117542</v>
      </c>
      <c r="BF127" s="47">
        <v>2630.0497544126592</v>
      </c>
      <c r="BG127" s="47">
        <v>2824.8457033019358</v>
      </c>
      <c r="BH127" s="47">
        <v>2970.2301505103105</v>
      </c>
    </row>
    <row r="128" spans="1:60">
      <c r="A128" s="38" t="s">
        <v>275</v>
      </c>
      <c r="B128" s="47">
        <v>1385.3117114553086</v>
      </c>
      <c r="C128" s="47">
        <v>1410.1783536691744</v>
      </c>
      <c r="D128" s="47">
        <v>1467.1938229185905</v>
      </c>
      <c r="E128" s="47">
        <v>1467.6101346251901</v>
      </c>
      <c r="F128" s="47">
        <v>1489.4541763802092</v>
      </c>
      <c r="G128" s="47">
        <v>1510.3693555631926</v>
      </c>
      <c r="H128" s="47">
        <v>1534.6324757560565</v>
      </c>
      <c r="I128" s="47">
        <v>1561.3190782348968</v>
      </c>
      <c r="J128" s="47">
        <v>1580.5648448156232</v>
      </c>
      <c r="K128" s="47">
        <v>1602.5187776993403</v>
      </c>
      <c r="L128" s="47">
        <v>1632.248016389113</v>
      </c>
      <c r="M128" s="47">
        <v>1675.2480490531038</v>
      </c>
      <c r="N128" s="47">
        <v>1681.2475328824012</v>
      </c>
      <c r="O128" s="47">
        <v>1728.6127082060718</v>
      </c>
      <c r="P128" s="47">
        <v>1758.3908743360878</v>
      </c>
      <c r="Q128" s="47">
        <v>1802.6402999647678</v>
      </c>
      <c r="R128" s="47">
        <v>1844.1438049248397</v>
      </c>
      <c r="S128" s="47">
        <v>1862.775021992142</v>
      </c>
      <c r="T128" s="47">
        <v>1923.1411406848531</v>
      </c>
      <c r="U128" s="47">
        <v>1960.5466591397653</v>
      </c>
      <c r="V128" s="47">
        <v>2082.4706296977747</v>
      </c>
      <c r="W128" s="47">
        <v>2187.7477847736009</v>
      </c>
      <c r="X128" s="47">
        <v>2247.4986941807861</v>
      </c>
      <c r="Y128" s="47">
        <v>2396.0935205226815</v>
      </c>
      <c r="Z128" s="47">
        <v>2471.3935751718927</v>
      </c>
      <c r="AA128" s="47">
        <v>2446.0637584855453</v>
      </c>
      <c r="AB128" s="47">
        <v>2468.2870859913069</v>
      </c>
      <c r="AC128" s="47">
        <v>2450.5909826100551</v>
      </c>
      <c r="AD128" s="47">
        <v>2515.5635802216889</v>
      </c>
      <c r="AE128" s="47">
        <v>2639.3863676147307</v>
      </c>
      <c r="AF128" s="47">
        <v>2521.5105430243384</v>
      </c>
      <c r="AG128" s="47">
        <v>2473.1327396406732</v>
      </c>
      <c r="AH128" s="47">
        <v>2453.3770548260391</v>
      </c>
      <c r="AI128" s="47">
        <v>2457.4192400046104</v>
      </c>
      <c r="AJ128" s="47">
        <v>2429.4316435139785</v>
      </c>
      <c r="AK128" s="47">
        <v>2467.9592430973494</v>
      </c>
      <c r="AL128" s="47">
        <v>2522.3437606497087</v>
      </c>
      <c r="AM128" s="47">
        <v>2546.9298200226799</v>
      </c>
      <c r="AN128" s="47">
        <v>2574.7222641954022</v>
      </c>
      <c r="AO128" s="47">
        <v>2601.8125122655956</v>
      </c>
      <c r="AP128" s="47">
        <v>2543.4572800740684</v>
      </c>
      <c r="AQ128" s="47">
        <v>2592.8118592740789</v>
      </c>
      <c r="AR128" s="47">
        <v>2654.3967562392245</v>
      </c>
      <c r="AS128" s="47">
        <v>2718.8831621693175</v>
      </c>
      <c r="AT128" s="47">
        <v>2779.4037450341734</v>
      </c>
      <c r="AU128" s="47">
        <v>2842.5951357382773</v>
      </c>
      <c r="AV128" s="47">
        <v>2904.6260310069865</v>
      </c>
      <c r="AW128" s="47">
        <v>2965.9415532852126</v>
      </c>
      <c r="AX128" s="47">
        <v>2950.5288030537617</v>
      </c>
      <c r="AY128" s="47">
        <v>3115.2885066135295</v>
      </c>
      <c r="AZ128" s="47">
        <v>3049.6221172101023</v>
      </c>
      <c r="BA128" s="47">
        <v>3008.5142421918376</v>
      </c>
      <c r="BB128" s="47">
        <v>3259.3480890472692</v>
      </c>
      <c r="BC128" s="47">
        <v>3406.9597163339818</v>
      </c>
      <c r="BD128" s="47">
        <v>3559.8792545088554</v>
      </c>
      <c r="BE128" s="47">
        <v>3718.0863302709249</v>
      </c>
      <c r="BF128" s="47">
        <v>3901.295378672271</v>
      </c>
      <c r="BG128" s="47">
        <v>4024.2426368050701</v>
      </c>
      <c r="BH128" s="47">
        <v>4140.386271506105</v>
      </c>
    </row>
    <row r="129" spans="1:60" s="41" customFormat="1" ht="12.75">
      <c r="A129" s="44" t="s">
        <v>276</v>
      </c>
      <c r="B129" s="48">
        <v>709.7165273485698</v>
      </c>
      <c r="C129" s="48">
        <v>695.72507468996639</v>
      </c>
      <c r="D129" s="48">
        <v>718.06879620968016</v>
      </c>
      <c r="E129" s="48">
        <v>764.76476594458427</v>
      </c>
      <c r="F129" s="48">
        <v>787.10600968986375</v>
      </c>
      <c r="G129" s="48">
        <v>802.36263789773386</v>
      </c>
      <c r="H129" s="48">
        <v>815.86784691632363</v>
      </c>
      <c r="I129" s="48">
        <v>831.8028473511107</v>
      </c>
      <c r="J129" s="48">
        <v>847.35977164514156</v>
      </c>
      <c r="K129" s="48">
        <v>858.41249121313194</v>
      </c>
      <c r="L129" s="48">
        <v>865.39865887683868</v>
      </c>
      <c r="M129" s="48">
        <v>873.85694871493172</v>
      </c>
      <c r="N129" s="48">
        <v>913.03570153788826</v>
      </c>
      <c r="O129" s="48">
        <v>927.41671639227252</v>
      </c>
      <c r="P129" s="48">
        <v>943.09830161300522</v>
      </c>
      <c r="Q129" s="48">
        <v>944.68373502690179</v>
      </c>
      <c r="R129" s="48">
        <v>957.87206071833418</v>
      </c>
      <c r="S129" s="48">
        <v>908.05620679010053</v>
      </c>
      <c r="T129" s="48">
        <v>923.41055688477718</v>
      </c>
      <c r="U129" s="48">
        <v>978.74219222964871</v>
      </c>
      <c r="V129" s="48">
        <v>997.59701244806013</v>
      </c>
      <c r="W129" s="48">
        <v>1099.4561014382755</v>
      </c>
      <c r="X129" s="48">
        <v>1128.2088606580176</v>
      </c>
      <c r="Y129" s="48">
        <v>1223.1043492936349</v>
      </c>
      <c r="Z129" s="48">
        <v>1196.7097609630164</v>
      </c>
      <c r="AA129" s="48">
        <v>1155.4671957657572</v>
      </c>
      <c r="AB129" s="48">
        <v>1215.9916178858571</v>
      </c>
      <c r="AC129" s="48">
        <v>1215.3949530009859</v>
      </c>
      <c r="AD129" s="48">
        <v>1225.190148850613</v>
      </c>
      <c r="AE129" s="48">
        <v>1227.136557016526</v>
      </c>
      <c r="AF129" s="48">
        <v>1205.4275255416603</v>
      </c>
      <c r="AG129" s="48">
        <v>1224.5554039434901</v>
      </c>
      <c r="AH129" s="48">
        <v>1262.57716164929</v>
      </c>
      <c r="AI129" s="48">
        <v>1282.1132020323687</v>
      </c>
      <c r="AJ129" s="48">
        <v>1309.0694379649208</v>
      </c>
      <c r="AK129" s="48">
        <v>1326.954192258987</v>
      </c>
      <c r="AL129" s="48">
        <v>1342.7472307912071</v>
      </c>
      <c r="AM129" s="48">
        <v>1328.5948981262684</v>
      </c>
      <c r="AN129" s="48">
        <v>1339.3994748651276</v>
      </c>
      <c r="AO129" s="48">
        <v>1346.060559682576</v>
      </c>
      <c r="AP129" s="48">
        <v>1349.705697878911</v>
      </c>
      <c r="AQ129" s="48">
        <v>1372.0995081908484</v>
      </c>
      <c r="AR129" s="48">
        <v>1358.1442775296625</v>
      </c>
      <c r="AS129" s="48">
        <v>1371.4948708733687</v>
      </c>
      <c r="AT129" s="48">
        <v>1298.2015841893922</v>
      </c>
      <c r="AU129" s="48">
        <v>1316.2249226495935</v>
      </c>
      <c r="AV129" s="48">
        <v>1337.0879970937754</v>
      </c>
      <c r="AW129" s="48">
        <v>1382.6528207788292</v>
      </c>
      <c r="AX129" s="48">
        <v>1419.8429565885715</v>
      </c>
      <c r="AY129" s="48">
        <v>1470.739363680593</v>
      </c>
      <c r="AZ129" s="48">
        <v>1519.1124633569286</v>
      </c>
      <c r="BA129" s="48">
        <v>1564.3507240983099</v>
      </c>
      <c r="BB129" s="48">
        <v>1651.7686382344139</v>
      </c>
      <c r="BC129" s="48">
        <v>1725.5833542112553</v>
      </c>
      <c r="BD129" s="48">
        <v>1846.3470462503137</v>
      </c>
      <c r="BE129" s="48">
        <v>1962.4735734429389</v>
      </c>
      <c r="BF129" s="48">
        <v>2077.4177782943825</v>
      </c>
      <c r="BG129" s="48">
        <v>2208.0354981989381</v>
      </c>
      <c r="BH129" s="48">
        <v>2296.2553238319661</v>
      </c>
    </row>
    <row r="130" spans="1:60">
      <c r="A130" s="35" t="s">
        <v>277</v>
      </c>
      <c r="B130" s="47" t="s">
        <v>178</v>
      </c>
      <c r="C130" s="47" t="s">
        <v>178</v>
      </c>
      <c r="D130" s="47" t="s">
        <v>178</v>
      </c>
      <c r="E130" s="47" t="s">
        <v>178</v>
      </c>
      <c r="F130" s="47" t="s">
        <v>178</v>
      </c>
      <c r="G130" s="47" t="s">
        <v>178</v>
      </c>
      <c r="H130" s="47" t="s">
        <v>178</v>
      </c>
      <c r="I130" s="47" t="s">
        <v>178</v>
      </c>
      <c r="J130" s="47" t="s">
        <v>178</v>
      </c>
      <c r="K130" s="47" t="s">
        <v>178</v>
      </c>
      <c r="L130" s="47" t="s">
        <v>178</v>
      </c>
      <c r="M130" s="47" t="s">
        <v>178</v>
      </c>
      <c r="N130" s="47" t="s">
        <v>178</v>
      </c>
      <c r="O130" s="47" t="s">
        <v>178</v>
      </c>
      <c r="P130" s="47" t="s">
        <v>178</v>
      </c>
      <c r="Q130" s="47" t="s">
        <v>178</v>
      </c>
      <c r="R130" s="47" t="s">
        <v>178</v>
      </c>
      <c r="S130" s="47" t="s">
        <v>178</v>
      </c>
      <c r="T130" s="47" t="s">
        <v>178</v>
      </c>
      <c r="U130" s="47" t="s">
        <v>178</v>
      </c>
      <c r="V130" s="47" t="s">
        <v>178</v>
      </c>
      <c r="W130" s="47" t="s">
        <v>178</v>
      </c>
      <c r="X130" s="47" t="s">
        <v>178</v>
      </c>
      <c r="Y130" s="47" t="s">
        <v>178</v>
      </c>
      <c r="Z130" s="47" t="s">
        <v>178</v>
      </c>
      <c r="AA130" s="47" t="s">
        <v>178</v>
      </c>
      <c r="AB130" s="47" t="s">
        <v>178</v>
      </c>
      <c r="AC130" s="47" t="s">
        <v>178</v>
      </c>
      <c r="AD130" s="47" t="s">
        <v>178</v>
      </c>
      <c r="AE130" s="47" t="s">
        <v>178</v>
      </c>
      <c r="AF130" s="47" t="s">
        <v>178</v>
      </c>
      <c r="AG130" s="47" t="s">
        <v>178</v>
      </c>
      <c r="AH130" s="47" t="s">
        <v>178</v>
      </c>
      <c r="AI130" s="47" t="s">
        <v>178</v>
      </c>
      <c r="AJ130" s="47" t="s">
        <v>178</v>
      </c>
      <c r="AK130" s="47" t="s">
        <v>178</v>
      </c>
      <c r="AL130" s="47" t="s">
        <v>178</v>
      </c>
      <c r="AM130" s="47" t="s">
        <v>178</v>
      </c>
      <c r="AN130" s="47" t="s">
        <v>178</v>
      </c>
      <c r="AO130" s="47" t="s">
        <v>178</v>
      </c>
      <c r="AP130" s="47" t="s">
        <v>178</v>
      </c>
      <c r="AQ130" s="47" t="s">
        <v>178</v>
      </c>
      <c r="AR130" s="47" t="s">
        <v>178</v>
      </c>
      <c r="AS130" s="47" t="s">
        <v>178</v>
      </c>
      <c r="AT130" s="47" t="s">
        <v>178</v>
      </c>
      <c r="AU130" s="47" t="s">
        <v>178</v>
      </c>
      <c r="AV130" s="47" t="s">
        <v>178</v>
      </c>
      <c r="AW130" s="47" t="s">
        <v>178</v>
      </c>
      <c r="AX130" s="47" t="s">
        <v>178</v>
      </c>
      <c r="AY130" s="47" t="s">
        <v>178</v>
      </c>
      <c r="AZ130" s="47" t="s">
        <v>178</v>
      </c>
      <c r="BA130" s="47" t="s">
        <v>178</v>
      </c>
      <c r="BB130" s="47" t="s">
        <v>178</v>
      </c>
      <c r="BC130" s="47" t="s">
        <v>178</v>
      </c>
      <c r="BD130" s="47" t="s">
        <v>178</v>
      </c>
      <c r="BE130" s="47" t="s">
        <v>178</v>
      </c>
      <c r="BF130" s="47" t="s">
        <v>178</v>
      </c>
      <c r="BG130" s="47" t="s">
        <v>178</v>
      </c>
      <c r="BH130" s="47" t="s">
        <v>178</v>
      </c>
    </row>
    <row r="131" spans="1:60">
      <c r="A131" s="38" t="s">
        <v>278</v>
      </c>
      <c r="B131" s="47">
        <v>2104.4539466585061</v>
      </c>
      <c r="C131" s="47">
        <v>2184.9042964961855</v>
      </c>
      <c r="D131" s="47">
        <v>2267.3317317551873</v>
      </c>
      <c r="E131" s="47">
        <v>2350.8108510828602</v>
      </c>
      <c r="F131" s="47">
        <v>2435.6757450686118</v>
      </c>
      <c r="G131" s="47">
        <v>2517.8202544654996</v>
      </c>
      <c r="H131" s="47">
        <v>2598.5062914083569</v>
      </c>
      <c r="I131" s="47">
        <v>2673.7600775547885</v>
      </c>
      <c r="J131" s="47">
        <v>2739.4751715034176</v>
      </c>
      <c r="K131" s="47">
        <v>2796.4640633841286</v>
      </c>
      <c r="L131" s="47">
        <v>2843.3681269135036</v>
      </c>
      <c r="M131" s="47">
        <v>2882.4464981023721</v>
      </c>
      <c r="N131" s="47">
        <v>2930.5419068223168</v>
      </c>
      <c r="O131" s="47">
        <v>2994.1594738863109</v>
      </c>
      <c r="P131" s="47">
        <v>3072.8243953885467</v>
      </c>
      <c r="Q131" s="47">
        <v>3173.460426337942</v>
      </c>
      <c r="R131" s="47">
        <v>3282.8531543417607</v>
      </c>
      <c r="S131" s="47">
        <v>3401.9272143549488</v>
      </c>
      <c r="T131" s="47">
        <v>3520.2742490345245</v>
      </c>
      <c r="U131" s="47">
        <v>3645.5665497331174</v>
      </c>
      <c r="V131" s="47">
        <v>3787.8928744578443</v>
      </c>
      <c r="W131" s="47">
        <v>3982.6190768454894</v>
      </c>
      <c r="X131" s="47">
        <v>4197.9074712225292</v>
      </c>
      <c r="Y131" s="47">
        <v>4375.8598131646777</v>
      </c>
      <c r="Z131" s="47">
        <v>4573.8144775614192</v>
      </c>
      <c r="AA131" s="47">
        <v>3922.2573725463762</v>
      </c>
      <c r="AB131" s="47">
        <v>4313.1578821539779</v>
      </c>
      <c r="AC131" s="47">
        <v>4444.1117029023353</v>
      </c>
      <c r="AD131" s="47">
        <v>4414.8758874301293</v>
      </c>
      <c r="AE131" s="47">
        <v>4221.9680692604443</v>
      </c>
      <c r="AF131" s="47">
        <v>4388.2464012205755</v>
      </c>
      <c r="AG131" s="47">
        <v>4313.1281829512636</v>
      </c>
      <c r="AH131" s="47">
        <v>4414.4795484297592</v>
      </c>
      <c r="AI131" s="47">
        <v>4541.7691077249256</v>
      </c>
      <c r="AJ131" s="47">
        <v>4556.6983886660573</v>
      </c>
      <c r="AK131" s="47">
        <v>4374.0442133282195</v>
      </c>
      <c r="AL131" s="47">
        <v>4316.0657713441833</v>
      </c>
      <c r="AM131" s="47">
        <v>4256.5872839096701</v>
      </c>
      <c r="AN131" s="47">
        <v>4267.4293955322</v>
      </c>
      <c r="AO131" s="47">
        <v>4235.3817903515073</v>
      </c>
      <c r="AP131" s="47">
        <v>4104.0929035558147</v>
      </c>
      <c r="AQ131" s="47">
        <v>4169.9189106308968</v>
      </c>
      <c r="AR131" s="47">
        <v>4374.1362025039143</v>
      </c>
      <c r="AS131" s="47">
        <v>4610.8610866510535</v>
      </c>
      <c r="AT131" s="47">
        <v>4480.6830982258143</v>
      </c>
      <c r="AU131" s="47">
        <v>4540.3823351186356</v>
      </c>
      <c r="AV131" s="47">
        <v>4619.0834523510912</v>
      </c>
      <c r="AW131" s="47">
        <v>4662.8497346135146</v>
      </c>
      <c r="AX131" s="47">
        <v>4787.4230271118122</v>
      </c>
      <c r="AY131" s="47">
        <v>4898.5439278934336</v>
      </c>
      <c r="AZ131" s="47">
        <v>5058.8437514291081</v>
      </c>
      <c r="BA131" s="47">
        <v>5200.1902810984857</v>
      </c>
      <c r="BB131" s="47">
        <v>5377.8429822196022</v>
      </c>
      <c r="BC131" s="47">
        <v>5672.638548763709</v>
      </c>
      <c r="BD131" s="47">
        <v>5896.2716444947973</v>
      </c>
      <c r="BE131" s="47">
        <v>6265.7533649550733</v>
      </c>
      <c r="BF131" s="47">
        <v>6587.6020813501573</v>
      </c>
      <c r="BG131" s="47">
        <v>7019.7424965388182</v>
      </c>
      <c r="BH131" s="47">
        <v>7347.8433982174729</v>
      </c>
    </row>
    <row r="132" spans="1:60">
      <c r="A132" s="38" t="s">
        <v>279</v>
      </c>
      <c r="B132" s="47">
        <v>1719.6105642844041</v>
      </c>
      <c r="C132" s="47">
        <v>1673.6174627416624</v>
      </c>
      <c r="D132" s="47">
        <v>1628.9760367131171</v>
      </c>
      <c r="E132" s="47">
        <v>1587.6182467159658</v>
      </c>
      <c r="F132" s="47">
        <v>1545.6691263461541</v>
      </c>
      <c r="G132" s="47">
        <v>1504.3626302559189</v>
      </c>
      <c r="H132" s="47">
        <v>1594.0620344326551</v>
      </c>
      <c r="I132" s="47">
        <v>1766.9954144296853</v>
      </c>
      <c r="J132" s="47">
        <v>1918.0625960094487</v>
      </c>
      <c r="K132" s="47">
        <v>2023.6677401278121</v>
      </c>
      <c r="L132" s="47">
        <v>2156.4823650124044</v>
      </c>
      <c r="M132" s="47">
        <v>2272.471317178567</v>
      </c>
      <c r="N132" s="47">
        <v>2250.291888987118</v>
      </c>
      <c r="O132" s="47">
        <v>2426.0945581018659</v>
      </c>
      <c r="P132" s="47">
        <v>2526.1675204425783</v>
      </c>
      <c r="Q132" s="47">
        <v>2753.1467712452004</v>
      </c>
      <c r="R132" s="47">
        <v>2939.9205020663348</v>
      </c>
      <c r="S132" s="47">
        <v>3176.4725744554448</v>
      </c>
      <c r="T132" s="47">
        <v>3550.2666781976923</v>
      </c>
      <c r="U132" s="47">
        <v>3897.280154556267</v>
      </c>
      <c r="V132" s="47">
        <v>4188.8205883763685</v>
      </c>
      <c r="W132" s="47">
        <v>4576.7764706873386</v>
      </c>
      <c r="X132" s="47">
        <v>5173.56535446011</v>
      </c>
      <c r="Y132" s="47">
        <v>5462.0282229107406</v>
      </c>
      <c r="Z132" s="47">
        <v>5777.7055381871342</v>
      </c>
      <c r="AA132" s="47">
        <v>5882.5120891449315</v>
      </c>
      <c r="AB132" s="47">
        <v>6691.3517428962932</v>
      </c>
      <c r="AC132" s="47">
        <v>6402.0745533413328</v>
      </c>
      <c r="AD132" s="47">
        <v>5463.7160593197505</v>
      </c>
      <c r="AE132" s="47">
        <v>4816.9660210005941</v>
      </c>
      <c r="AF132" s="47">
        <v>3973.5157462765997</v>
      </c>
      <c r="AG132" s="47">
        <v>3692.5895276373985</v>
      </c>
      <c r="AH132" s="47">
        <v>4099.9254520851855</v>
      </c>
      <c r="AI132" s="47">
        <v>4459.3983044289089</v>
      </c>
      <c r="AJ132" s="47">
        <v>4360.7686609197954</v>
      </c>
      <c r="AK132" s="47">
        <v>4298.8622913515774</v>
      </c>
      <c r="AL132" s="47">
        <v>3753.5705194915213</v>
      </c>
      <c r="AM132" s="47">
        <v>3583.5947362223419</v>
      </c>
      <c r="AN132" s="47">
        <v>3293.2245582260548</v>
      </c>
      <c r="AO132" s="47">
        <v>3326.5276940814065</v>
      </c>
      <c r="AP132" s="47">
        <v>3526.0895048178777</v>
      </c>
      <c r="AQ132" s="47">
        <v>3759.3419005777487</v>
      </c>
      <c r="AR132" s="47">
        <v>3907.9131708333998</v>
      </c>
      <c r="AS132" s="47">
        <v>3979.9052812634036</v>
      </c>
      <c r="AT132" s="47">
        <v>4069.4130356775063</v>
      </c>
      <c r="AU132" s="47">
        <v>4162.2061846412598</v>
      </c>
      <c r="AV132" s="47">
        <v>4359.143061427364</v>
      </c>
      <c r="AW132" s="47">
        <v>4535.2291078706703</v>
      </c>
      <c r="AX132" s="47">
        <v>4579.5958797079757</v>
      </c>
      <c r="AY132" s="47">
        <v>4635.338801413408</v>
      </c>
      <c r="AZ132" s="47">
        <v>4837.9366606001231</v>
      </c>
      <c r="BA132" s="47">
        <v>4979.391879464828</v>
      </c>
      <c r="BB132" s="47">
        <v>5187.8810118672409</v>
      </c>
      <c r="BC132" s="47">
        <v>3994.5851411878393</v>
      </c>
      <c r="BD132" s="47">
        <v>5810.1219988350622</v>
      </c>
      <c r="BE132" s="47">
        <v>6044.5747242861471</v>
      </c>
      <c r="BF132" s="47">
        <v>6366.8223787043871</v>
      </c>
      <c r="BG132" s="47">
        <v>6824.3718290178003</v>
      </c>
      <c r="BH132" s="47">
        <v>6944.264917327112</v>
      </c>
    </row>
    <row r="133" spans="1:60">
      <c r="A133" s="38" t="s">
        <v>280</v>
      </c>
      <c r="B133" s="47">
        <v>1363.606289073643</v>
      </c>
      <c r="C133" s="47">
        <v>1445.3825309824063</v>
      </c>
      <c r="D133" s="47">
        <v>1556.5179994384459</v>
      </c>
      <c r="E133" s="47">
        <v>2129.0192048484796</v>
      </c>
      <c r="F133" s="47">
        <v>2463.2210254742517</v>
      </c>
      <c r="G133" s="47">
        <v>2298.3634195819159</v>
      </c>
      <c r="H133" s="47">
        <v>2389.2843542223604</v>
      </c>
      <c r="I133" s="47">
        <v>2299.7767248693135</v>
      </c>
      <c r="J133" s="47">
        <v>2493.2253274486043</v>
      </c>
      <c r="K133" s="47">
        <v>2523.1439533042358</v>
      </c>
      <c r="L133" s="47">
        <v>2735.0207888845675</v>
      </c>
      <c r="M133" s="47">
        <v>2961.1508957596802</v>
      </c>
      <c r="N133" s="47">
        <v>3016.5881039801479</v>
      </c>
      <c r="O133" s="47">
        <v>2871.712802125915</v>
      </c>
      <c r="P133" s="47">
        <v>3115.4637564128284</v>
      </c>
      <c r="Q133" s="47">
        <v>3287.8029561509979</v>
      </c>
      <c r="R133" s="47">
        <v>3348.5182086634795</v>
      </c>
      <c r="S133" s="47">
        <v>3163.7147375124468</v>
      </c>
      <c r="T133" s="47">
        <v>3603.7721164717414</v>
      </c>
      <c r="U133" s="47">
        <v>3604.1303639157841</v>
      </c>
      <c r="V133" s="47">
        <v>3472.7062635930479</v>
      </c>
      <c r="W133" s="47">
        <v>3566.6814361277711</v>
      </c>
      <c r="X133" s="47">
        <v>3322.5850182519325</v>
      </c>
      <c r="Y133" s="47">
        <v>3753.3141906259102</v>
      </c>
      <c r="Z133" s="47">
        <v>3824.9250724218459</v>
      </c>
      <c r="AA133" s="47">
        <v>4315.3050201075066</v>
      </c>
      <c r="AB133" s="47">
        <v>5023.0931416101075</v>
      </c>
      <c r="AC133" s="47">
        <v>4992.0079135051847</v>
      </c>
      <c r="AD133" s="47">
        <v>5693.4819631225873</v>
      </c>
      <c r="AE133" s="47">
        <v>6755.6051699327872</v>
      </c>
      <c r="AF133" s="47">
        <v>6377.4876676128461</v>
      </c>
      <c r="AG133" s="47">
        <v>5041.0700954336353</v>
      </c>
      <c r="AH133" s="47">
        <v>4833.0919177432497</v>
      </c>
      <c r="AI133" s="47">
        <v>4268.5922664360387</v>
      </c>
      <c r="AJ133" s="47">
        <v>4135.6851075543409</v>
      </c>
      <c r="AK133" s="47">
        <v>3932.3953202551279</v>
      </c>
      <c r="AL133" s="47">
        <v>3758.9411953702952</v>
      </c>
      <c r="AM133" s="47">
        <v>3796.8434482711718</v>
      </c>
      <c r="AN133" s="47">
        <v>2907.5919544148032</v>
      </c>
      <c r="AO133" s="47">
        <v>2570.5424561683262</v>
      </c>
      <c r="AP133" s="47">
        <v>2458.4357658592899</v>
      </c>
      <c r="AQ133" s="47">
        <v>946.69671087673441</v>
      </c>
      <c r="AR133" s="47">
        <v>1196.4042220580618</v>
      </c>
      <c r="AS133" s="47">
        <v>1161.1197617043217</v>
      </c>
      <c r="AT133" s="47">
        <v>1070.4549222554831</v>
      </c>
      <c r="AU133" s="47">
        <v>944.66261023343418</v>
      </c>
      <c r="AV133" s="47">
        <v>1031.5971578131866</v>
      </c>
      <c r="AW133" s="47">
        <v>962.47043962844475</v>
      </c>
      <c r="AX133" s="47">
        <v>1074.5515279073086</v>
      </c>
      <c r="AY133" s="47">
        <v>1132.3864008508965</v>
      </c>
      <c r="AZ133" s="47">
        <v>1221.223660639532</v>
      </c>
      <c r="BA133" s="47">
        <v>1293.7176155393549</v>
      </c>
      <c r="BB133" s="47">
        <v>1345.6065157736398</v>
      </c>
      <c r="BC133" s="47">
        <v>1023.2013830558321</v>
      </c>
      <c r="BD133" s="47">
        <v>995.32246520755666</v>
      </c>
      <c r="BE133" s="47">
        <v>961.80596010585816</v>
      </c>
      <c r="BF133" s="47">
        <v>994.42254923509847</v>
      </c>
      <c r="BG133" s="47">
        <v>983.06748619745463</v>
      </c>
      <c r="BH133" s="47">
        <v>1048.9284626323754</v>
      </c>
    </row>
    <row r="134" spans="1:60">
      <c r="A134" s="38" t="s">
        <v>281</v>
      </c>
      <c r="B134" s="47">
        <v>2817.3031029281492</v>
      </c>
      <c r="C134" s="47">
        <v>3158.9463162612547</v>
      </c>
      <c r="D134" s="47">
        <v>3028.9918288895483</v>
      </c>
      <c r="E134" s="47">
        <v>2910.3031301216361</v>
      </c>
      <c r="F134" s="47">
        <v>3374.3714949244213</v>
      </c>
      <c r="G134" s="47">
        <v>3701.0571769022631</v>
      </c>
      <c r="H134" s="47">
        <v>3860.2890552620624</v>
      </c>
      <c r="I134" s="47">
        <v>3991.6496010074061</v>
      </c>
      <c r="J134" s="47">
        <v>4108.7956015973668</v>
      </c>
      <c r="K134" s="47">
        <v>4501.4423270210536</v>
      </c>
      <c r="L134" s="47">
        <v>4663.1665645218245</v>
      </c>
      <c r="M134" s="47">
        <v>4996.1875285038032</v>
      </c>
      <c r="N134" s="47">
        <v>5266.8006368525603</v>
      </c>
      <c r="O134" s="47">
        <v>5593.2276672099324</v>
      </c>
      <c r="P134" s="47">
        <v>5916.2355264720818</v>
      </c>
      <c r="Q134" s="47">
        <v>6272.3712834742237</v>
      </c>
      <c r="R134" s="47">
        <v>6190.1224998264897</v>
      </c>
      <c r="S134" s="47">
        <v>6221.567711417455</v>
      </c>
      <c r="T134" s="47">
        <v>7033.1920184188602</v>
      </c>
      <c r="U134" s="47">
        <v>7722.6215733619274</v>
      </c>
      <c r="V134" s="47">
        <v>8100.6231873205634</v>
      </c>
      <c r="W134" s="47">
        <v>8711.1954895025065</v>
      </c>
      <c r="X134" s="47">
        <v>9477.8670001094106</v>
      </c>
      <c r="Y134" s="47">
        <v>9644.9705447752895</v>
      </c>
      <c r="Z134" s="47">
        <v>10025.232818711498</v>
      </c>
      <c r="AA134" s="47">
        <v>10147.871122994451</v>
      </c>
      <c r="AB134" s="47">
        <v>10071.305170059875</v>
      </c>
      <c r="AC134" s="47">
        <v>9863.066832774095</v>
      </c>
      <c r="AD134" s="47">
        <v>10124.88810215028</v>
      </c>
      <c r="AE134" s="47">
        <v>10514.771649681463</v>
      </c>
      <c r="AF134" s="47">
        <v>10984.255487765851</v>
      </c>
      <c r="AG134" s="47">
        <v>11357.332473990442</v>
      </c>
      <c r="AH134" s="47">
        <v>11390.273786978483</v>
      </c>
      <c r="AI134" s="47">
        <v>11585.666398701742</v>
      </c>
      <c r="AJ134" s="47">
        <v>11483.925132718663</v>
      </c>
      <c r="AK134" s="47">
        <v>11672.337206071747</v>
      </c>
      <c r="AL134" s="47">
        <v>12020.350019595926</v>
      </c>
      <c r="AM134" s="47">
        <v>12669.64973868497</v>
      </c>
      <c r="AN134" s="47">
        <v>12708.07753016692</v>
      </c>
      <c r="AO134" s="47">
        <v>12604.013226194953</v>
      </c>
      <c r="AP134" s="47">
        <v>13066.884511350196</v>
      </c>
      <c r="AQ134" s="47">
        <v>13302.56995817974</v>
      </c>
      <c r="AR134" s="47">
        <v>13696.598357222649</v>
      </c>
      <c r="AS134" s="47">
        <v>13665.661365694894</v>
      </c>
      <c r="AT134" s="47">
        <v>14333.149688967251</v>
      </c>
      <c r="AU134" s="47">
        <v>14798.517663599607</v>
      </c>
      <c r="AV134" s="47">
        <v>15039.933673272319</v>
      </c>
      <c r="AW134" s="47">
        <v>15136.67708286772</v>
      </c>
      <c r="AX134" s="47">
        <v>15191.974142346211</v>
      </c>
      <c r="AY134" s="47">
        <v>15234.986730520341</v>
      </c>
      <c r="AZ134" s="47">
        <v>16172.355537674768</v>
      </c>
      <c r="BA134" s="47">
        <v>15755.177048384172</v>
      </c>
      <c r="BB134" s="47">
        <v>15370.026720924901</v>
      </c>
      <c r="BC134" s="47">
        <v>15427.179544291912</v>
      </c>
      <c r="BD134" s="47">
        <v>15920.871936713023</v>
      </c>
      <c r="BE134" s="47">
        <v>16422.126038960894</v>
      </c>
      <c r="BF134" s="47">
        <v>16980.356132832454</v>
      </c>
      <c r="BG134" s="47">
        <v>17548.628324040616</v>
      </c>
      <c r="BH134" s="47">
        <v>17936.664895571215</v>
      </c>
    </row>
    <row r="135" spans="1:60">
      <c r="A135" s="38" t="s">
        <v>282</v>
      </c>
      <c r="B135" s="47">
        <v>1663.1490027834268</v>
      </c>
      <c r="C135" s="47">
        <v>1695.372974505985</v>
      </c>
      <c r="D135" s="47">
        <v>1725.8966073800366</v>
      </c>
      <c r="E135" s="47">
        <v>1756.5856611994961</v>
      </c>
      <c r="F135" s="47">
        <v>1786.8304977060568</v>
      </c>
      <c r="G135" s="47">
        <v>1625.1501777674207</v>
      </c>
      <c r="H135" s="47">
        <v>2139.3982031895257</v>
      </c>
      <c r="I135" s="47">
        <v>2104.3142178675989</v>
      </c>
      <c r="J135" s="47">
        <v>2220.0916217716376</v>
      </c>
      <c r="K135" s="47">
        <v>2287.2570833613258</v>
      </c>
      <c r="L135" s="47">
        <v>2330.0060062633988</v>
      </c>
      <c r="M135" s="47">
        <v>2685.1922379018297</v>
      </c>
      <c r="N135" s="47">
        <v>2619.6913742671959</v>
      </c>
      <c r="O135" s="47">
        <v>2649.3485890489937</v>
      </c>
      <c r="P135" s="47">
        <v>2980.6351390765303</v>
      </c>
      <c r="Q135" s="47">
        <v>3183.4227759966375</v>
      </c>
      <c r="R135" s="47">
        <v>3137.3916285401956</v>
      </c>
      <c r="S135" s="47">
        <v>3059.0425797604298</v>
      </c>
      <c r="T135" s="47">
        <v>2673.6736977521136</v>
      </c>
      <c r="U135" s="47">
        <v>2772.9750404719566</v>
      </c>
      <c r="V135" s="47">
        <v>2395.4831171605238</v>
      </c>
      <c r="W135" s="47">
        <v>2365.6737362889307</v>
      </c>
      <c r="X135" s="47">
        <v>2355.0981672050166</v>
      </c>
      <c r="Y135" s="47">
        <v>2388.4584372711788</v>
      </c>
      <c r="Z135" s="47">
        <v>2506.0757765796116</v>
      </c>
      <c r="AA135" s="47">
        <v>2582.9620250624293</v>
      </c>
      <c r="AB135" s="47">
        <v>3096.4240428012813</v>
      </c>
      <c r="AC135" s="47">
        <v>3182.3899724391335</v>
      </c>
      <c r="AD135" s="47">
        <v>3718.1532731362004</v>
      </c>
      <c r="AE135" s="47">
        <v>3919.1283869345439</v>
      </c>
      <c r="AF135" s="47">
        <v>4479.9193527842363</v>
      </c>
      <c r="AG135" s="47">
        <v>4502.4341106023958</v>
      </c>
      <c r="AH135" s="47">
        <v>4642.9229017364651</v>
      </c>
      <c r="AI135" s="47">
        <v>4556.0809103287193</v>
      </c>
      <c r="AJ135" s="47">
        <v>4766.5589058602181</v>
      </c>
      <c r="AK135" s="47">
        <v>4754.3646933625632</v>
      </c>
      <c r="AL135" s="47">
        <v>5001.9763249380439</v>
      </c>
      <c r="AM135" s="47">
        <v>4963.4254422349395</v>
      </c>
      <c r="AN135" s="47">
        <v>4749.9719905462989</v>
      </c>
      <c r="AO135" s="47">
        <v>4102.9843204240296</v>
      </c>
      <c r="AP135" s="47">
        <v>3792.3958340358558</v>
      </c>
      <c r="AQ135" s="47">
        <v>3485.7648790169646</v>
      </c>
      <c r="AR135" s="47">
        <v>3828.6546910347465</v>
      </c>
      <c r="AS135" s="47">
        <v>3931.9383228060174</v>
      </c>
      <c r="AT135" s="47">
        <v>4028.5765590003352</v>
      </c>
      <c r="AU135" s="47">
        <v>4163.9751765673036</v>
      </c>
      <c r="AV135" s="47">
        <v>4093.241853965158</v>
      </c>
      <c r="AW135" s="47">
        <v>4067.1772455473479</v>
      </c>
      <c r="AX135" s="47">
        <v>4044.0073359786907</v>
      </c>
      <c r="AY135" s="47">
        <v>4045.9805431988025</v>
      </c>
      <c r="AZ135" s="47">
        <v>4088.5742385213025</v>
      </c>
      <c r="BA135" s="47">
        <v>4175.9017095194649</v>
      </c>
      <c r="BB135" s="47">
        <v>4289.802862757585</v>
      </c>
      <c r="BC135" s="47">
        <v>4344.8440689233939</v>
      </c>
      <c r="BD135" s="47">
        <v>4591.7078016439254</v>
      </c>
      <c r="BE135" s="47">
        <v>4835.6416583271575</v>
      </c>
      <c r="BF135" s="47">
        <v>5092.4703221393784</v>
      </c>
      <c r="BG135" s="47">
        <v>5411.5241328006559</v>
      </c>
      <c r="BH135" s="47">
        <v>5702.1845145343113</v>
      </c>
    </row>
    <row r="136" spans="1:60">
      <c r="A136" s="38" t="s">
        <v>283</v>
      </c>
      <c r="B136" s="47">
        <v>28878.138142405209</v>
      </c>
      <c r="C136" s="47">
        <v>29777.137995023368</v>
      </c>
      <c r="D136" s="47">
        <v>30023.395647321428</v>
      </c>
      <c r="E136" s="47">
        <v>31361.241243878347</v>
      </c>
      <c r="F136" s="47">
        <v>33199.895163702648</v>
      </c>
      <c r="G136" s="47">
        <v>32256.694168191756</v>
      </c>
      <c r="H136" s="47">
        <v>32876.345091981071</v>
      </c>
      <c r="I136" s="47">
        <v>31447.46209868704</v>
      </c>
      <c r="J136" s="47">
        <v>29906.750974005237</v>
      </c>
      <c r="K136" s="47">
        <v>29568.135912372785</v>
      </c>
      <c r="L136" s="47">
        <v>28813.493502893769</v>
      </c>
      <c r="M136" s="47">
        <v>26112.192268882762</v>
      </c>
      <c r="N136" s="47">
        <v>26443.203912336478</v>
      </c>
      <c r="O136" s="47">
        <v>25331.260221479894</v>
      </c>
      <c r="P136" s="47">
        <v>25302.936212813227</v>
      </c>
      <c r="Q136" s="47">
        <v>23532.897111520699</v>
      </c>
      <c r="R136" s="47">
        <v>24049.693841864158</v>
      </c>
      <c r="S136" s="47">
        <v>22408.990226386395</v>
      </c>
      <c r="T136" s="47">
        <v>22300.195370882466</v>
      </c>
      <c r="U136" s="47">
        <v>20963.207734556283</v>
      </c>
      <c r="V136" s="47">
        <v>30694.566703500459</v>
      </c>
      <c r="W136" s="47">
        <v>30929.91698207051</v>
      </c>
      <c r="X136" s="47">
        <v>30290.856273430323</v>
      </c>
      <c r="Y136" s="47">
        <v>26688.747794072267</v>
      </c>
      <c r="Z136" s="47">
        <v>21933.550039077611</v>
      </c>
      <c r="AA136" s="47">
        <v>18161.664628806833</v>
      </c>
      <c r="AB136" s="47">
        <v>18166.058135065618</v>
      </c>
      <c r="AC136" s="47">
        <v>16417.348595972264</v>
      </c>
      <c r="AD136" s="47">
        <v>16539.471471631608</v>
      </c>
      <c r="AE136" s="47">
        <v>17674.750331781146</v>
      </c>
      <c r="AF136" s="47">
        <v>13270.94855305634</v>
      </c>
      <c r="AG136" s="47">
        <v>10290.082439795413</v>
      </c>
      <c r="AH136" s="47">
        <v>8685.4971777611718</v>
      </c>
      <c r="AI136" s="47">
        <v>8965.9861675574502</v>
      </c>
      <c r="AJ136" s="47">
        <v>9023.9012317909492</v>
      </c>
      <c r="AK136" s="47">
        <v>8164.614112982209</v>
      </c>
      <c r="AL136" s="47">
        <v>8474.7468597853531</v>
      </c>
      <c r="AM136" s="47">
        <v>7789.1900846869603</v>
      </c>
      <c r="AN136" s="47">
        <v>7727.4439753125453</v>
      </c>
      <c r="AO136" s="47">
        <v>7968.1628410247286</v>
      </c>
      <c r="AP136" s="47">
        <v>6120.8835995706841</v>
      </c>
      <c r="AQ136" s="47">
        <v>8107.8766674597591</v>
      </c>
      <c r="AR136" s="47">
        <v>9676.8970061949294</v>
      </c>
      <c r="AS136" s="47">
        <v>12411.563579415451</v>
      </c>
      <c r="AT136" s="47">
        <v>12872.020404440558</v>
      </c>
      <c r="AU136" s="47">
        <v>12454.282061786467</v>
      </c>
      <c r="AV136" s="47">
        <v>11529.376044439901</v>
      </c>
      <c r="AW136" s="47">
        <v>11163.823501921721</v>
      </c>
      <c r="AX136" s="47">
        <v>10542.180979735416</v>
      </c>
      <c r="AY136" s="47">
        <v>9975.6146975246229</v>
      </c>
      <c r="AZ136" s="47">
        <v>10082.733236993634</v>
      </c>
      <c r="BA136" s="47">
        <v>9764.633114932165</v>
      </c>
      <c r="BB136" s="47">
        <v>9725.979974057107</v>
      </c>
      <c r="BC136" s="47">
        <v>10958.8802658164</v>
      </c>
      <c r="BD136" s="47">
        <v>11710.930748346991</v>
      </c>
      <c r="BE136" s="47">
        <v>12519.009713792489</v>
      </c>
      <c r="BF136" s="47">
        <v>12707.612038241923</v>
      </c>
      <c r="BG136" s="47">
        <v>12572.044801180095</v>
      </c>
      <c r="BH136" s="47">
        <v>12894.33645037602</v>
      </c>
    </row>
    <row r="137" spans="1:60">
      <c r="A137" s="38" t="s">
        <v>284</v>
      </c>
      <c r="B137" s="47">
        <v>2428.7394253416155</v>
      </c>
      <c r="C137" s="47">
        <v>2120.7178997826259</v>
      </c>
      <c r="D137" s="47">
        <v>2193.1954040150172</v>
      </c>
      <c r="E137" s="47">
        <v>2457.3570231342233</v>
      </c>
      <c r="F137" s="47">
        <v>2745.0313299060003</v>
      </c>
      <c r="G137" s="47">
        <v>2886.3236201207988</v>
      </c>
      <c r="H137" s="47">
        <v>2743.5479799418085</v>
      </c>
      <c r="I137" s="47">
        <v>2716.8018778600167</v>
      </c>
      <c r="J137" s="47">
        <v>2268.8004452052205</v>
      </c>
      <c r="K137" s="47">
        <v>2395.1692132334756</v>
      </c>
      <c r="L137" s="47">
        <v>2392.5221124151376</v>
      </c>
      <c r="M137" s="47">
        <v>2481.5598967811939</v>
      </c>
      <c r="N137" s="47">
        <v>2507.24131989539</v>
      </c>
      <c r="O137" s="47">
        <v>2458.7980004144756</v>
      </c>
      <c r="P137" s="47">
        <v>2534.2662025508698</v>
      </c>
      <c r="Q137" s="47">
        <v>2706.0685537583386</v>
      </c>
      <c r="R137" s="47">
        <v>2804.4775590606368</v>
      </c>
      <c r="S137" s="47">
        <v>2591.9529949849725</v>
      </c>
      <c r="T137" s="47">
        <v>2831.1401032070285</v>
      </c>
      <c r="U137" s="47">
        <v>2809.6311031354467</v>
      </c>
      <c r="V137" s="47">
        <v>2916.6277345578346</v>
      </c>
      <c r="W137" s="47">
        <v>3000.5384699117353</v>
      </c>
      <c r="X137" s="47">
        <v>3176.4279369750661</v>
      </c>
      <c r="Y137" s="47">
        <v>3154.7848371874265</v>
      </c>
      <c r="Z137" s="47">
        <v>3502.1749171232163</v>
      </c>
      <c r="AA137" s="47">
        <v>3460.4017946247163</v>
      </c>
      <c r="AB137" s="47">
        <v>3522.5247220709175</v>
      </c>
      <c r="AC137" s="47">
        <v>3612.6767138254704</v>
      </c>
      <c r="AD137" s="47">
        <v>3709.39653212856</v>
      </c>
      <c r="AE137" s="47">
        <v>3506.3871186668612</v>
      </c>
      <c r="AF137" s="47">
        <v>3523.7547062161989</v>
      </c>
      <c r="AG137" s="47">
        <v>3362.0513638430448</v>
      </c>
      <c r="AH137" s="47">
        <v>3134.0329884749062</v>
      </c>
      <c r="AI137" s="47">
        <v>3099.8766592026404</v>
      </c>
      <c r="AJ137" s="47">
        <v>3164.6460865604404</v>
      </c>
      <c r="AK137" s="47">
        <v>3244.867364479358</v>
      </c>
      <c r="AL137" s="47">
        <v>3101.4624438975306</v>
      </c>
      <c r="AM137" s="47">
        <v>2168.7932231494133</v>
      </c>
      <c r="AN137" s="47">
        <v>1968.4747112806929</v>
      </c>
      <c r="AO137" s="47">
        <v>1963.7225362316146</v>
      </c>
      <c r="AP137" s="47">
        <v>1936.3908772780928</v>
      </c>
      <c r="AQ137" s="47">
        <v>2637.62741714717</v>
      </c>
      <c r="AR137" s="47">
        <v>2733.4105462094903</v>
      </c>
      <c r="AS137" s="47">
        <v>2895.5688614639503</v>
      </c>
      <c r="AT137" s="47">
        <v>3090.9082135583049</v>
      </c>
      <c r="AU137" s="47">
        <v>3248.6154203901933</v>
      </c>
      <c r="AV137" s="47">
        <v>3331.0405468650283</v>
      </c>
      <c r="AW137" s="47">
        <v>3415.5522547451415</v>
      </c>
      <c r="AX137" s="47">
        <v>3468.6321003993367</v>
      </c>
      <c r="AY137" s="47">
        <v>3392.6614862972442</v>
      </c>
      <c r="AZ137" s="47">
        <v>3402.6600177394093</v>
      </c>
      <c r="BA137" s="47">
        <v>3506.8593364345661</v>
      </c>
      <c r="BB137" s="47">
        <v>3573.1498652733408</v>
      </c>
      <c r="BC137" s="47">
        <v>3669.8664085001951</v>
      </c>
      <c r="BD137" s="47">
        <v>3889.515026012537</v>
      </c>
      <c r="BE137" s="47">
        <v>3935.7948174828352</v>
      </c>
      <c r="BF137" s="47">
        <v>3909.995074793515</v>
      </c>
      <c r="BG137" s="47">
        <v>4152.3351663048443</v>
      </c>
      <c r="BH137" s="47">
        <v>4452.7348215897473</v>
      </c>
    </row>
    <row r="138" spans="1:60">
      <c r="A138" s="38" t="s">
        <v>86</v>
      </c>
      <c r="B138" s="47">
        <v>623.09461658566704</v>
      </c>
      <c r="C138" s="47">
        <v>649.56143799192796</v>
      </c>
      <c r="D138" s="47">
        <v>677.41423727297047</v>
      </c>
      <c r="E138" s="47">
        <v>706.5772683443829</v>
      </c>
      <c r="F138" s="47">
        <v>735.89964068461609</v>
      </c>
      <c r="G138" s="47">
        <v>766.29365122651325</v>
      </c>
      <c r="H138" s="47">
        <v>798.8034281269579</v>
      </c>
      <c r="I138" s="47">
        <v>831.00495496879955</v>
      </c>
      <c r="J138" s="47">
        <v>866.28676181113178</v>
      </c>
      <c r="K138" s="47">
        <v>900.23725679611016</v>
      </c>
      <c r="L138" s="47">
        <v>934.70838364633357</v>
      </c>
      <c r="M138" s="47">
        <v>923.1468011713331</v>
      </c>
      <c r="N138" s="47">
        <v>1083.6662582596398</v>
      </c>
      <c r="O138" s="47">
        <v>1102.5966087943132</v>
      </c>
      <c r="P138" s="47">
        <v>1075.4679625933413</v>
      </c>
      <c r="Q138" s="47">
        <v>1053.2584596632605</v>
      </c>
      <c r="R138" s="47">
        <v>1079.7233906653371</v>
      </c>
      <c r="S138" s="47">
        <v>1749.2510527564143</v>
      </c>
      <c r="T138" s="47">
        <v>3093.5492734702743</v>
      </c>
      <c r="U138" s="47">
        <v>3782.4836262988297</v>
      </c>
      <c r="V138" s="47">
        <v>3798.5355478236961</v>
      </c>
      <c r="W138" s="47">
        <v>3716.1564939687096</v>
      </c>
      <c r="X138" s="47">
        <v>3934.3021817608428</v>
      </c>
      <c r="Y138" s="47">
        <v>3278.8492661251694</v>
      </c>
      <c r="Z138" s="47">
        <v>3541.4529168660451</v>
      </c>
      <c r="AA138" s="47">
        <v>4267.1152038142627</v>
      </c>
      <c r="AB138" s="47">
        <v>4597.1700942618954</v>
      </c>
      <c r="AC138" s="47">
        <v>4390.1672716832518</v>
      </c>
      <c r="AD138" s="47">
        <v>4085.7270264345661</v>
      </c>
      <c r="AE138" s="47">
        <v>4043.9983643117375</v>
      </c>
      <c r="AF138" s="47">
        <v>4071.9134213190341</v>
      </c>
      <c r="AG138" s="47">
        <v>4522.9772518985565</v>
      </c>
      <c r="AH138" s="47">
        <v>4800.1391482610443</v>
      </c>
      <c r="AI138" s="47">
        <v>5346.2187788900583</v>
      </c>
      <c r="AJ138" s="47">
        <v>5975.9361381390972</v>
      </c>
      <c r="AK138" s="47">
        <v>6544.950158939876</v>
      </c>
      <c r="AL138" s="47">
        <v>6442.1410607683047</v>
      </c>
      <c r="AM138" s="47">
        <v>6712.2342362556028</v>
      </c>
      <c r="AN138" s="47">
        <v>6670.496061717824</v>
      </c>
      <c r="AO138" s="47">
        <v>6707.7202507895699</v>
      </c>
      <c r="AP138" s="47">
        <v>6478.9444176846364</v>
      </c>
      <c r="AQ138" s="47">
        <v>6605.8250214972959</v>
      </c>
      <c r="AR138" s="47">
        <v>6898.0490369714416</v>
      </c>
      <c r="AS138" s="47">
        <v>7048.2011381543944</v>
      </c>
      <c r="AT138" s="47">
        <v>7070.1310762278245</v>
      </c>
      <c r="AU138" s="47">
        <v>7159.234915709264</v>
      </c>
      <c r="AV138" s="47">
        <v>7115.1862547291066</v>
      </c>
      <c r="AW138" s="47">
        <v>7297.892887191937</v>
      </c>
      <c r="AX138" s="47">
        <v>7239.6601956116356</v>
      </c>
      <c r="AY138" s="47">
        <v>6979.3393256995059</v>
      </c>
      <c r="AZ138" s="47">
        <v>7112.830714865725</v>
      </c>
      <c r="BA138" s="47">
        <v>7387.1307864078926</v>
      </c>
      <c r="BB138" s="47">
        <v>7323.7431908564085</v>
      </c>
      <c r="BC138" s="47">
        <v>7220.8618817893639</v>
      </c>
      <c r="BD138" s="47">
        <v>7358.7431163476667</v>
      </c>
      <c r="BE138" s="47">
        <v>7465.8746397670538</v>
      </c>
      <c r="BF138" s="47">
        <v>7657.058617348096</v>
      </c>
      <c r="BG138" s="47">
        <v>7982.1485257129452</v>
      </c>
      <c r="BH138" s="47">
        <v>8332.4274377649763</v>
      </c>
    </row>
    <row r="139" spans="1:60">
      <c r="A139" s="38" t="s">
        <v>87</v>
      </c>
      <c r="B139" s="47">
        <v>30387.13121689191</v>
      </c>
      <c r="C139" s="47">
        <v>30523.411128614916</v>
      </c>
      <c r="D139" s="47">
        <v>30107.414902463468</v>
      </c>
      <c r="E139" s="47">
        <v>30919.213717391991</v>
      </c>
      <c r="F139" s="47">
        <v>32302.488174156799</v>
      </c>
      <c r="G139" s="47">
        <v>31137.396967420282</v>
      </c>
      <c r="H139" s="47">
        <v>31762.320266609426</v>
      </c>
      <c r="I139" s="47">
        <v>31350.873108265427</v>
      </c>
      <c r="J139" s="47">
        <v>31394.391589701947</v>
      </c>
      <c r="K139" s="47">
        <v>32896.151941422024</v>
      </c>
      <c r="L139" s="47">
        <v>32810.116993596435</v>
      </c>
      <c r="M139" s="47">
        <v>30436.710675612892</v>
      </c>
      <c r="N139" s="47">
        <v>29049.30907386792</v>
      </c>
      <c r="O139" s="47">
        <v>28175.94659085793</v>
      </c>
      <c r="P139" s="47">
        <v>26465.864045622671</v>
      </c>
      <c r="Q139" s="47">
        <v>25785.061176536772</v>
      </c>
      <c r="R139" s="47">
        <v>31781.546072937563</v>
      </c>
      <c r="S139" s="47">
        <v>34860.386821191219</v>
      </c>
      <c r="T139" s="47">
        <v>36392.84591910481</v>
      </c>
      <c r="U139" s="47">
        <v>35280.242957646973</v>
      </c>
      <c r="V139" s="47">
        <v>32573.312713089996</v>
      </c>
      <c r="W139" s="47">
        <v>37472.893028376369</v>
      </c>
      <c r="X139" s="47">
        <v>39156.574955798067</v>
      </c>
      <c r="Y139" s="47">
        <v>42916.235034131576</v>
      </c>
      <c r="Z139" s="47">
        <v>36131.907016073383</v>
      </c>
      <c r="AA139" s="47">
        <v>34421.318515718587</v>
      </c>
      <c r="AB139" s="47">
        <v>34611.32214824039</v>
      </c>
      <c r="AC139" s="47">
        <v>28857.644356362813</v>
      </c>
      <c r="AD139" s="47">
        <v>29530.981503805648</v>
      </c>
      <c r="AE139" s="47">
        <v>28737.042856354161</v>
      </c>
      <c r="AF139" s="47">
        <v>28771.256199719799</v>
      </c>
      <c r="AG139" s="47">
        <v>23404.611376794717</v>
      </c>
      <c r="AH139" s="47">
        <v>18221.721171089106</v>
      </c>
      <c r="AI139" s="47">
        <v>14521.193058560126</v>
      </c>
      <c r="AJ139" s="47">
        <v>12769.344810051241</v>
      </c>
      <c r="AK139" s="47">
        <v>10388.314638034504</v>
      </c>
      <c r="AL139" s="47">
        <v>8081.2488293692386</v>
      </c>
      <c r="AM139" s="47">
        <v>8041.6221513847631</v>
      </c>
      <c r="AN139" s="47">
        <v>7836.6541780440366</v>
      </c>
      <c r="AO139" s="47">
        <v>7614.0154050463316</v>
      </c>
      <c r="AP139" s="47">
        <v>7343.1346398255228</v>
      </c>
      <c r="AQ139" s="47">
        <v>7076.0696309179675</v>
      </c>
      <c r="AR139" s="47">
        <v>7495.2981919291487</v>
      </c>
      <c r="AS139" s="47">
        <v>7233.7304736194728</v>
      </c>
      <c r="AT139" s="47">
        <v>7180.1050843440125</v>
      </c>
      <c r="AU139" s="47">
        <v>7179.4202742837842</v>
      </c>
      <c r="AV139" s="47">
        <v>7316.9321122277834</v>
      </c>
      <c r="AW139" s="47">
        <v>8831.612999262974</v>
      </c>
      <c r="AX139" s="47">
        <v>9245.2704526414291</v>
      </c>
      <c r="AY139" s="47">
        <v>9319.9688496998006</v>
      </c>
      <c r="AZ139" s="47">
        <v>9844.265380468416</v>
      </c>
      <c r="BA139" s="47">
        <v>9958.275720233316</v>
      </c>
      <c r="BB139" s="47">
        <v>9787.0273458507072</v>
      </c>
      <c r="BC139" s="47">
        <v>9925.2811266580047</v>
      </c>
      <c r="BD139" s="47">
        <v>11163.341121710861</v>
      </c>
      <c r="BE139" s="47">
        <v>11773.435819501135</v>
      </c>
      <c r="BF139" s="47">
        <v>13254.819481270308</v>
      </c>
      <c r="BG139" s="47">
        <v>15050.981903234397</v>
      </c>
      <c r="BH139" s="47">
        <v>17311.094110129987</v>
      </c>
    </row>
    <row r="140" spans="1:60">
      <c r="A140" s="38" t="s">
        <v>285</v>
      </c>
      <c r="B140" s="47">
        <v>2230.7660332029559</v>
      </c>
      <c r="C140" s="47">
        <v>2373.8976621480338</v>
      </c>
      <c r="D140" s="47">
        <v>2469.8071256408093</v>
      </c>
      <c r="E140" s="47">
        <v>2664.3717851131614</v>
      </c>
      <c r="F140" s="47">
        <v>2911.8931971289421</v>
      </c>
      <c r="G140" s="47">
        <v>2922.0395159147693</v>
      </c>
      <c r="H140" s="47">
        <v>3074.9910128754532</v>
      </c>
      <c r="I140" s="47">
        <v>3119.0503904431812</v>
      </c>
      <c r="J140" s="47">
        <v>3204.3547634633164</v>
      </c>
      <c r="K140" s="47">
        <v>3458.0679370561656</v>
      </c>
      <c r="L140" s="47">
        <v>3719.096730823886</v>
      </c>
      <c r="M140" s="47">
        <v>4066.4252191408405</v>
      </c>
      <c r="N140" s="47">
        <v>4445.3550016648878</v>
      </c>
      <c r="O140" s="47">
        <v>4715.4657484587733</v>
      </c>
      <c r="P140" s="47">
        <v>5004.609533119652</v>
      </c>
      <c r="Q140" s="47">
        <v>5469.2953520581696</v>
      </c>
      <c r="R140" s="47">
        <v>6101.9100124313482</v>
      </c>
      <c r="S140" s="47">
        <v>6462.8711512931832</v>
      </c>
      <c r="T140" s="47">
        <v>6848.0939725469298</v>
      </c>
      <c r="U140" s="47">
        <v>7169.7825785790319</v>
      </c>
      <c r="V140" s="47">
        <v>7623.6362786289774</v>
      </c>
      <c r="W140" s="47">
        <v>8475.4857760960822</v>
      </c>
      <c r="X140" s="47">
        <v>9496.5767691992532</v>
      </c>
      <c r="Y140" s="47">
        <v>11039.71052799708</v>
      </c>
      <c r="Z140" s="47">
        <v>12332.503831000489</v>
      </c>
      <c r="AA140" s="47">
        <v>11787.042116378203</v>
      </c>
      <c r="AB140" s="47">
        <v>12105.725344387049</v>
      </c>
      <c r="AC140" s="47">
        <v>13064.024664591989</v>
      </c>
      <c r="AD140" s="47">
        <v>12919.224991258829</v>
      </c>
      <c r="AE140" s="47">
        <v>12842.661965717793</v>
      </c>
      <c r="AF140" s="47">
        <v>13217.078283955951</v>
      </c>
      <c r="AG140" s="47">
        <v>13420.941480392654</v>
      </c>
      <c r="AH140" s="47">
        <v>12882.566460382519</v>
      </c>
      <c r="AI140" s="47">
        <v>10863.334950900738</v>
      </c>
      <c r="AJ140" s="47">
        <v>10252.925629964979</v>
      </c>
      <c r="AK140" s="47">
        <v>9047.565455663449</v>
      </c>
      <c r="AL140" s="47">
        <v>8090.9894205771288</v>
      </c>
      <c r="AM140" s="47">
        <v>8105.1432179068233</v>
      </c>
      <c r="AN140" s="47">
        <v>8027.4806761128266</v>
      </c>
      <c r="AO140" s="47">
        <v>8004.161083357124</v>
      </c>
      <c r="AP140" s="47">
        <v>8993.2226748159701</v>
      </c>
      <c r="AQ140" s="47">
        <v>9602.1686551034018</v>
      </c>
      <c r="AR140" s="47">
        <v>9498.1784737118942</v>
      </c>
      <c r="AS140" s="47">
        <v>8859.8397295295599</v>
      </c>
      <c r="AT140" s="47">
        <v>8415.1662739857711</v>
      </c>
      <c r="AU140" s="47">
        <v>8091.1689301196429</v>
      </c>
      <c r="AV140" s="47">
        <v>7942.2100526082022</v>
      </c>
      <c r="AW140" s="47">
        <v>7871.8484589325426</v>
      </c>
      <c r="AX140" s="47">
        <v>7783.3552581272452</v>
      </c>
      <c r="AY140" s="47">
        <v>7509.1635221485558</v>
      </c>
      <c r="AZ140" s="47">
        <v>7649.8211298939777</v>
      </c>
      <c r="BA140" s="47">
        <v>7469.1911029687544</v>
      </c>
      <c r="BB140" s="47">
        <v>7272.9872448451515</v>
      </c>
      <c r="BC140" s="47">
        <v>7629.4160900634415</v>
      </c>
      <c r="BD140" s="47">
        <v>7834.9371137847038</v>
      </c>
      <c r="BE140" s="47">
        <v>8079.2399345807589</v>
      </c>
      <c r="BF140" s="47">
        <v>8152.1085083508442</v>
      </c>
      <c r="BG140" s="47">
        <v>8243.8412974910625</v>
      </c>
      <c r="BH140" s="47">
        <v>8435.3179135980517</v>
      </c>
    </row>
    <row r="141" spans="1:60">
      <c r="A141" s="38" t="s">
        <v>286</v>
      </c>
      <c r="B141" s="47">
        <v>2408.5022909886875</v>
      </c>
      <c r="C141" s="47">
        <v>2264.1319668888027</v>
      </c>
      <c r="D141" s="47">
        <v>2786.3265504546357</v>
      </c>
      <c r="E141" s="47">
        <v>3084.1572033878178</v>
      </c>
      <c r="F141" s="47">
        <v>3452.9956837398186</v>
      </c>
      <c r="G141" s="47">
        <v>3039.2676327063427</v>
      </c>
      <c r="H141" s="47">
        <v>3507.9230645757852</v>
      </c>
      <c r="I141" s="47">
        <v>3626.7973474413802</v>
      </c>
      <c r="J141" s="47">
        <v>3039.4717767533175</v>
      </c>
      <c r="K141" s="47">
        <v>3062.4973767728866</v>
      </c>
      <c r="L141" s="47">
        <v>3023.4679553737315</v>
      </c>
      <c r="M141" s="47">
        <v>3168.4533112555009</v>
      </c>
      <c r="N141" s="47">
        <v>3795.6687412047199</v>
      </c>
      <c r="O141" s="47">
        <v>3673.4951472756316</v>
      </c>
      <c r="P141" s="47">
        <v>3636.8701442146025</v>
      </c>
      <c r="Q141" s="47">
        <v>3511.9399762003814</v>
      </c>
      <c r="R141" s="47">
        <v>3138.7669964379852</v>
      </c>
      <c r="S141" s="47">
        <v>3291.034123477265</v>
      </c>
      <c r="T141" s="47">
        <v>3305.6487691760381</v>
      </c>
      <c r="U141" s="47">
        <v>3800.8498576042098</v>
      </c>
      <c r="V141" s="47">
        <v>3540.3067398819362</v>
      </c>
      <c r="W141" s="47">
        <v>3758.8593977333971</v>
      </c>
      <c r="X141" s="47">
        <v>4543.5152222385514</v>
      </c>
      <c r="Y141" s="47">
        <v>4017.3974330333895</v>
      </c>
      <c r="Z141" s="47">
        <v>4820.9660432802002</v>
      </c>
      <c r="AA141" s="47">
        <v>5570.1520633236814</v>
      </c>
      <c r="AB141" s="47">
        <v>5975.6430440721397</v>
      </c>
      <c r="AC141" s="47">
        <v>5704.8372456539082</v>
      </c>
      <c r="AD141" s="47">
        <v>5997.6294430519119</v>
      </c>
      <c r="AE141" s="47">
        <v>6009.8516324179218</v>
      </c>
      <c r="AF141" s="47">
        <v>6507.8737833667064</v>
      </c>
      <c r="AG141" s="47">
        <v>6891.2863115515656</v>
      </c>
      <c r="AH141" s="47">
        <v>6785.7000744215375</v>
      </c>
      <c r="AI141" s="47">
        <v>6637.6271099294208</v>
      </c>
      <c r="AJ141" s="47">
        <v>6143.0348455952117</v>
      </c>
      <c r="AK141" s="47">
        <v>6290.4106027527869</v>
      </c>
      <c r="AL141" s="47">
        <v>5772.3230448495315</v>
      </c>
      <c r="AM141" s="47">
        <v>5680.5191382263265</v>
      </c>
      <c r="AN141" s="47">
        <v>6219.108101501517</v>
      </c>
      <c r="AO141" s="47">
        <v>5479.9260376057473</v>
      </c>
      <c r="AP141" s="47">
        <v>5700.6865365406338</v>
      </c>
      <c r="AQ141" s="47">
        <v>5909.2839862259998</v>
      </c>
      <c r="AR141" s="47">
        <v>6151.5956770608982</v>
      </c>
      <c r="AS141" s="47">
        <v>6623.314011653425</v>
      </c>
      <c r="AT141" s="47">
        <v>6946.0710803439479</v>
      </c>
      <c r="AU141" s="47">
        <v>7176.8317018360403</v>
      </c>
      <c r="AV141" s="47">
        <v>7481.2969278583487</v>
      </c>
      <c r="AW141" s="47">
        <v>7468.9928052592741</v>
      </c>
      <c r="AX141" s="47">
        <v>7829.208896620994</v>
      </c>
      <c r="AY141" s="47">
        <v>7391.5673421920455</v>
      </c>
      <c r="AZ141" s="47">
        <v>7368.3007844086524</v>
      </c>
      <c r="BA141" s="47">
        <v>7447.6316543294652</v>
      </c>
      <c r="BB141" s="47">
        <v>7690.7455396753548</v>
      </c>
      <c r="BC141" s="47">
        <v>7585.3798063636368</v>
      </c>
      <c r="BD141" s="47">
        <v>7611.0872507628128</v>
      </c>
      <c r="BE141" s="47">
        <v>7767.408874052835</v>
      </c>
      <c r="BF141" s="47">
        <v>7976.4906777641709</v>
      </c>
      <c r="BG141" s="47">
        <v>8124.9834647070447</v>
      </c>
      <c r="BH141" s="47">
        <v>8360.1610850055295</v>
      </c>
    </row>
    <row r="142" spans="1:60">
      <c r="A142" s="38" t="s">
        <v>287</v>
      </c>
      <c r="B142" s="47">
        <v>1622.9327657763681</v>
      </c>
      <c r="C142" s="47">
        <v>1784.4110944987974</v>
      </c>
      <c r="D142" s="47">
        <v>1947.0961014589302</v>
      </c>
      <c r="E142" s="47">
        <v>2108.055726817563</v>
      </c>
      <c r="F142" s="47">
        <v>1992.727781673374</v>
      </c>
      <c r="G142" s="47">
        <v>2092.7271807811371</v>
      </c>
      <c r="H142" s="47">
        <v>2097.2051133167279</v>
      </c>
      <c r="I142" s="47">
        <v>2193.9594807965536</v>
      </c>
      <c r="J142" s="47">
        <v>2221.8622157186301</v>
      </c>
      <c r="K142" s="47">
        <v>2251.8067550620231</v>
      </c>
      <c r="L142" s="47">
        <v>2247.4652092442311</v>
      </c>
      <c r="M142" s="47">
        <v>2221.152370225866</v>
      </c>
      <c r="N142" s="47">
        <v>2296.9116304020704</v>
      </c>
      <c r="O142" s="47">
        <v>2453.8810741840966</v>
      </c>
      <c r="P142" s="47">
        <v>2496.2403963626643</v>
      </c>
      <c r="Q142" s="47">
        <v>2504.1064804866046</v>
      </c>
      <c r="R142" s="47">
        <v>2734.7653410004441</v>
      </c>
      <c r="S142" s="47">
        <v>2794.7716038849949</v>
      </c>
      <c r="T142" s="47">
        <v>2916.7482200006157</v>
      </c>
      <c r="U142" s="47">
        <v>3002.0615229635005</v>
      </c>
      <c r="V142" s="47">
        <v>3078.1873743616256</v>
      </c>
      <c r="W142" s="47">
        <v>3281.7418847104391</v>
      </c>
      <c r="X142" s="47">
        <v>3412.1345416564009</v>
      </c>
      <c r="Y142" s="47">
        <v>3476.5203588811614</v>
      </c>
      <c r="Z142" s="47">
        <v>3665.3557460725847</v>
      </c>
      <c r="AA142" s="47">
        <v>3894.78871816731</v>
      </c>
      <c r="AB142" s="47">
        <v>4137.7810362211667</v>
      </c>
      <c r="AC142" s="47">
        <v>4224.1431022307052</v>
      </c>
      <c r="AD142" s="47">
        <v>4254.5149845291935</v>
      </c>
      <c r="AE142" s="47">
        <v>4133.003202072171</v>
      </c>
      <c r="AF142" s="47">
        <v>4021.6015934834627</v>
      </c>
      <c r="AG142" s="47">
        <v>4086.5034431970748</v>
      </c>
      <c r="AH142" s="47">
        <v>4181.9954178502257</v>
      </c>
      <c r="AI142" s="47">
        <v>4229.5185669743096</v>
      </c>
      <c r="AJ142" s="47">
        <v>4366.7360878392992</v>
      </c>
      <c r="AK142" s="47">
        <v>4485.4391766043236</v>
      </c>
      <c r="AL142" s="47">
        <v>4695.2713239400155</v>
      </c>
      <c r="AM142" s="47">
        <v>4998.0217932366832</v>
      </c>
      <c r="AN142" s="47">
        <v>5086.1429354815791</v>
      </c>
      <c r="AO142" s="47">
        <v>5041.4981428346464</v>
      </c>
      <c r="AP142" s="47">
        <v>5399.4227367438116</v>
      </c>
      <c r="AQ142" s="47">
        <v>5346.4553768792975</v>
      </c>
      <c r="AR142" s="47">
        <v>5562.1163525281045</v>
      </c>
      <c r="AS142" s="47">
        <v>5901.9601227749499</v>
      </c>
      <c r="AT142" s="47">
        <v>5482.1926355373498</v>
      </c>
      <c r="AU142" s="47">
        <v>5774.6244862137073</v>
      </c>
      <c r="AV142" s="47">
        <v>6073.4905912904478</v>
      </c>
      <c r="AW142" s="47">
        <v>6420.7226961993993</v>
      </c>
      <c r="AX142" s="47">
        <v>6508.0599297474992</v>
      </c>
      <c r="AY142" s="47">
        <v>6101.3677408775802</v>
      </c>
      <c r="AZ142" s="47">
        <v>6445.8119488218645</v>
      </c>
      <c r="BA142" s="47">
        <v>5868.6292083077496</v>
      </c>
      <c r="BB142" s="47">
        <v>6234.3546350465049</v>
      </c>
      <c r="BC142" s="47">
        <v>6498.864223241173</v>
      </c>
      <c r="BD142" s="47">
        <v>6973.8485079560996</v>
      </c>
      <c r="BE142" s="47">
        <v>7449.3548638773718</v>
      </c>
      <c r="BF142" s="47">
        <v>7849.7006027334355</v>
      </c>
      <c r="BG142" s="47">
        <v>8104.1264856187636</v>
      </c>
      <c r="BH142" s="47">
        <v>8066.3815458555246</v>
      </c>
    </row>
    <row r="143" spans="1:60">
      <c r="A143" s="38" t="s">
        <v>288</v>
      </c>
      <c r="B143" s="47">
        <v>15797.558085147599</v>
      </c>
      <c r="C143" s="47">
        <v>16709.160250030505</v>
      </c>
      <c r="D143" s="47">
        <v>17246.392677759224</v>
      </c>
      <c r="E143" s="47">
        <v>18417.52233373054</v>
      </c>
      <c r="F143" s="47">
        <v>19884.258138884597</v>
      </c>
      <c r="G143" s="47">
        <v>19683.266535379298</v>
      </c>
      <c r="H143" s="47">
        <v>20377.187920199267</v>
      </c>
      <c r="I143" s="47">
        <v>20282.089378270561</v>
      </c>
      <c r="J143" s="47">
        <v>20372.005562484894</v>
      </c>
      <c r="K143" s="47">
        <v>21426.23432601969</v>
      </c>
      <c r="L143" s="47">
        <v>22432.802294028039</v>
      </c>
      <c r="M143" s="47">
        <v>23179.635266884317</v>
      </c>
      <c r="N143" s="47">
        <v>24249.834724761015</v>
      </c>
      <c r="O143" s="47">
        <v>25025.213145740901</v>
      </c>
      <c r="P143" s="47">
        <v>25675.895416925581</v>
      </c>
      <c r="Q143" s="47">
        <v>26164.283993182722</v>
      </c>
      <c r="R143" s="47">
        <v>26482.798996618887</v>
      </c>
      <c r="S143" s="47">
        <v>26610.429869517389</v>
      </c>
      <c r="T143" s="47">
        <v>26374.442370403372</v>
      </c>
      <c r="U143" s="47">
        <v>25495.047680102645</v>
      </c>
      <c r="V143" s="47">
        <v>24552.411481296509</v>
      </c>
      <c r="W143" s="47">
        <v>24805.565451675451</v>
      </c>
      <c r="X143" s="47">
        <v>24805.615282183007</v>
      </c>
      <c r="Y143" s="47">
        <v>24887.072966862062</v>
      </c>
      <c r="Z143" s="47">
        <v>28449.081321511796</v>
      </c>
      <c r="AA143" s="47">
        <v>25465.001828179575</v>
      </c>
      <c r="AB143" s="47">
        <v>25598.046410806859</v>
      </c>
      <c r="AC143" s="47">
        <v>26296.287735671667</v>
      </c>
      <c r="AD143" s="47">
        <v>22545.002162076707</v>
      </c>
      <c r="AE143" s="47">
        <v>24801.707298957932</v>
      </c>
      <c r="AF143" s="47">
        <v>27709.370931739475</v>
      </c>
      <c r="AG143" s="47">
        <v>26635.274652171647</v>
      </c>
      <c r="AH143" s="47">
        <v>22983.21121757336</v>
      </c>
      <c r="AI143" s="47">
        <v>20538.23763547713</v>
      </c>
      <c r="AJ143" s="47">
        <v>20159.511606988297</v>
      </c>
      <c r="AK143" s="47">
        <v>18545.884250370589</v>
      </c>
      <c r="AL143" s="47">
        <v>13769.847291201972</v>
      </c>
      <c r="AM143" s="47">
        <v>13480.338469490262</v>
      </c>
      <c r="AN143" s="47">
        <v>12682.235904709305</v>
      </c>
      <c r="AO143" s="47">
        <v>13220.366088890236</v>
      </c>
      <c r="AP143" s="47">
        <v>13960.848733744011</v>
      </c>
      <c r="AQ143" s="47">
        <v>13191.072594036828</v>
      </c>
      <c r="AR143" s="47">
        <v>12759.276922650461</v>
      </c>
      <c r="AS143" s="47">
        <v>11903.965681214941</v>
      </c>
      <c r="AT143" s="47">
        <v>12171.532893925532</v>
      </c>
      <c r="AU143" s="47">
        <v>12391.882765522911</v>
      </c>
      <c r="AV143" s="47">
        <v>12446.630781368829</v>
      </c>
      <c r="AW143" s="47">
        <v>12568.400324505559</v>
      </c>
      <c r="AX143" s="47">
        <v>12391.219746462313</v>
      </c>
      <c r="AY143" s="47">
        <v>12116.502185806654</v>
      </c>
      <c r="AZ143" s="47">
        <v>12928.599007795801</v>
      </c>
      <c r="BA143" s="47">
        <v>12496.283943061888</v>
      </c>
      <c r="BB143" s="47">
        <v>12205.678427069744</v>
      </c>
      <c r="BC143" s="47">
        <v>13022.751025002011</v>
      </c>
      <c r="BD143" s="47">
        <v>13641.682631989312</v>
      </c>
      <c r="BE143" s="47">
        <v>14115.149946092133</v>
      </c>
      <c r="BF143" s="47">
        <v>14792.843925123669</v>
      </c>
      <c r="BG143" s="47">
        <v>15094.472088390417</v>
      </c>
      <c r="BH143" s="47">
        <v>15589.218762543549</v>
      </c>
    </row>
    <row r="144" spans="1:60">
      <c r="A144" s="38" t="s">
        <v>289</v>
      </c>
      <c r="B144" s="47">
        <v>911.23107388526932</v>
      </c>
      <c r="C144" s="47">
        <v>917.51928611344545</v>
      </c>
      <c r="D144" s="47">
        <v>923.53268962365564</v>
      </c>
      <c r="E144" s="47">
        <v>930.14610130721815</v>
      </c>
      <c r="F144" s="47">
        <v>935.7812551330353</v>
      </c>
      <c r="G144" s="47">
        <v>941.7904521885323</v>
      </c>
      <c r="H144" s="47">
        <v>946.27453613436785</v>
      </c>
      <c r="I144" s="47">
        <v>950.83858580038941</v>
      </c>
      <c r="J144" s="47">
        <v>955.05125027666611</v>
      </c>
      <c r="K144" s="47">
        <v>959.29908759063699</v>
      </c>
      <c r="L144" s="47">
        <v>963.94191914123451</v>
      </c>
      <c r="M144" s="47">
        <v>969.39575944645196</v>
      </c>
      <c r="N144" s="47">
        <v>975.40344294064539</v>
      </c>
      <c r="O144" s="47">
        <v>984.02244378323292</v>
      </c>
      <c r="P144" s="47">
        <v>988.89380560905408</v>
      </c>
      <c r="Q144" s="47">
        <v>996.33096165837753</v>
      </c>
      <c r="R144" s="47">
        <v>1007.392452398374</v>
      </c>
      <c r="S144" s="47">
        <v>1018.9018890899308</v>
      </c>
      <c r="T144" s="47">
        <v>1028.1291700879549</v>
      </c>
      <c r="U144" s="47">
        <v>1040.420177772987</v>
      </c>
      <c r="V144" s="47">
        <v>1229.9678342205957</v>
      </c>
      <c r="W144" s="47">
        <v>1413.9048073232541</v>
      </c>
      <c r="X144" s="47">
        <v>1494.545246507407</v>
      </c>
      <c r="Y144" s="47">
        <v>1640.0401023055088</v>
      </c>
      <c r="Z144" s="47">
        <v>1695.9630136292451</v>
      </c>
      <c r="AA144" s="47">
        <v>1783.5482094118324</v>
      </c>
      <c r="AB144" s="47">
        <v>2002.6621642267949</v>
      </c>
      <c r="AC144" s="47">
        <v>2161.7116035008944</v>
      </c>
      <c r="AD144" s="47">
        <v>2281.1071018181401</v>
      </c>
      <c r="AE144" s="47">
        <v>2342.054832870057</v>
      </c>
      <c r="AF144" s="47">
        <v>2290.4544972614358</v>
      </c>
      <c r="AG144" s="47">
        <v>2363.1854578410594</v>
      </c>
      <c r="AH144" s="47">
        <v>2336.3150588332405</v>
      </c>
      <c r="AI144" s="47">
        <v>2400.8597025610952</v>
      </c>
      <c r="AJ144" s="47">
        <v>2422.2929519191875</v>
      </c>
      <c r="AK144" s="47">
        <v>2331.8943454730543</v>
      </c>
      <c r="AL144" s="47">
        <v>2310.5551848082946</v>
      </c>
      <c r="AM144" s="47">
        <v>2329.44457325863</v>
      </c>
      <c r="AN144" s="47">
        <v>2350.8812878393564</v>
      </c>
      <c r="AO144" s="47">
        <v>2352.8767692550273</v>
      </c>
      <c r="AP144" s="47">
        <v>2272.2147408844012</v>
      </c>
      <c r="AQ144" s="47">
        <v>2196.5310865505085</v>
      </c>
      <c r="AR144" s="47">
        <v>2220.4651275729639</v>
      </c>
      <c r="AS144" s="47">
        <v>2199.6629587727157</v>
      </c>
      <c r="AT144" s="47">
        <v>2167.8042341826012</v>
      </c>
      <c r="AU144" s="47">
        <v>2327.3183471989769</v>
      </c>
      <c r="AV144" s="47">
        <v>2388.5385620751381</v>
      </c>
      <c r="AW144" s="47">
        <v>2499.7798044537276</v>
      </c>
      <c r="AX144" s="47">
        <v>2537.6675479539858</v>
      </c>
      <c r="AY144" s="47">
        <v>2547.9236904242571</v>
      </c>
      <c r="AZ144" s="47">
        <v>2616.8981785798801</v>
      </c>
      <c r="BA144" s="47">
        <v>2626.3812293241494</v>
      </c>
      <c r="BB144" s="47">
        <v>2637.8592097139212</v>
      </c>
      <c r="BC144" s="47">
        <v>2643.7846740830464</v>
      </c>
      <c r="BD144" s="47">
        <v>2656.8796873712122</v>
      </c>
      <c r="BE144" s="47">
        <v>2710.6644663717661</v>
      </c>
      <c r="BF144" s="47">
        <v>2702.4173859973398</v>
      </c>
      <c r="BG144" s="47">
        <v>2696.6517353993931</v>
      </c>
      <c r="BH144" s="47">
        <v>2698.6914045118801</v>
      </c>
    </row>
    <row r="145" spans="1:60">
      <c r="A145" s="38" t="s">
        <v>290</v>
      </c>
      <c r="B145" s="47">
        <v>960.19900497512435</v>
      </c>
      <c r="C145" s="47">
        <v>997.03557312252963</v>
      </c>
      <c r="D145" s="47">
        <v>1034.3137254901962</v>
      </c>
      <c r="E145" s="47">
        <v>1073.9299610894941</v>
      </c>
      <c r="F145" s="47">
        <v>1116.7953667953668</v>
      </c>
      <c r="G145" s="47">
        <v>1157.3896353166986</v>
      </c>
      <c r="H145" s="47">
        <v>1196.5811965811965</v>
      </c>
      <c r="I145" s="47">
        <v>1240.3755868544602</v>
      </c>
      <c r="J145" s="47">
        <v>1269.5492180312788</v>
      </c>
      <c r="K145" s="47">
        <v>1330.3002729754323</v>
      </c>
      <c r="L145" s="47">
        <v>1393.2788374205268</v>
      </c>
      <c r="M145" s="47">
        <v>1417.8571428571429</v>
      </c>
      <c r="N145" s="47">
        <v>1476.3157894736842</v>
      </c>
      <c r="O145" s="47">
        <v>1537.0689655172414</v>
      </c>
      <c r="P145" s="47">
        <v>1602.542372881356</v>
      </c>
      <c r="Q145" s="47">
        <v>1676.396997497915</v>
      </c>
      <c r="R145" s="47">
        <v>1808.1494057724958</v>
      </c>
      <c r="S145" s="47">
        <v>1767.5021607605877</v>
      </c>
      <c r="T145" s="47">
        <v>1635.0043975373792</v>
      </c>
      <c r="U145" s="47">
        <v>1730.2867383512546</v>
      </c>
      <c r="V145" s="47">
        <v>1864.963503649635</v>
      </c>
      <c r="W145" s="47">
        <v>1909.3309859154931</v>
      </c>
      <c r="X145" s="47">
        <v>1977.7015437392795</v>
      </c>
      <c r="Y145" s="47">
        <v>2052.6755852842807</v>
      </c>
      <c r="Z145" s="47">
        <v>2146.8189233278954</v>
      </c>
      <c r="AA145" s="47">
        <v>2228.6852589641435</v>
      </c>
      <c r="AB145" s="47">
        <v>2284.1698841698844</v>
      </c>
      <c r="AC145" s="47">
        <v>2348.0538922155688</v>
      </c>
      <c r="AD145" s="47">
        <v>2419.7530864197533</v>
      </c>
      <c r="AE145" s="47">
        <v>2486.6197183098593</v>
      </c>
      <c r="AF145" s="47">
        <v>2528.4552845528456</v>
      </c>
      <c r="AG145" s="47">
        <v>2573.4813847158721</v>
      </c>
      <c r="AH145" s="47">
        <v>2628.0679672750157</v>
      </c>
      <c r="AI145" s="47">
        <v>2707.7016373559736</v>
      </c>
      <c r="AJ145" s="47">
        <v>2785.6308411214955</v>
      </c>
      <c r="AK145" s="47">
        <v>2856.9826135726303</v>
      </c>
      <c r="AL145" s="47">
        <v>2943.7837837837837</v>
      </c>
      <c r="AM145" s="47">
        <v>3040.1250651380929</v>
      </c>
      <c r="AN145" s="47">
        <v>3146.65996986439</v>
      </c>
      <c r="AO145" s="47">
        <v>3245.8857696030977</v>
      </c>
      <c r="AP145" s="47">
        <v>3352.8319405756729</v>
      </c>
      <c r="AQ145" s="47">
        <v>3513.6465324384785</v>
      </c>
      <c r="AR145" s="47">
        <v>3689.0901250539027</v>
      </c>
      <c r="AS145" s="47">
        <v>3868.6616791354945</v>
      </c>
      <c r="AT145" s="47">
        <v>4082.1314102564106</v>
      </c>
      <c r="AU145" s="47">
        <v>4292.7015666794041</v>
      </c>
      <c r="AV145" s="47">
        <v>4561.9012527634486</v>
      </c>
      <c r="AW145" s="47">
        <v>4823.3830845771145</v>
      </c>
      <c r="AX145" s="47">
        <v>5081.3315030885387</v>
      </c>
      <c r="AY145" s="47">
        <v>5338.0700594844684</v>
      </c>
      <c r="AZ145" s="47">
        <v>5129.5649412511912</v>
      </c>
      <c r="BA145" s="47">
        <v>3962.5881631401412</v>
      </c>
      <c r="BB145" s="47">
        <v>3061.2970091797451</v>
      </c>
      <c r="BC145" s="47">
        <v>2573.6345438947669</v>
      </c>
      <c r="BD145" s="47">
        <v>2484.8150193263391</v>
      </c>
      <c r="BE145" s="47">
        <v>2392.3444976076557</v>
      </c>
      <c r="BF145" s="47">
        <v>2318.3925811437402</v>
      </c>
      <c r="BG145" s="47">
        <v>2247.1910112359551</v>
      </c>
      <c r="BH145" s="47">
        <v>2178.1219748305903</v>
      </c>
    </row>
    <row r="146" spans="1:60" s="41" customFormat="1" ht="12.75">
      <c r="A146" s="44" t="s">
        <v>291</v>
      </c>
      <c r="B146" s="48">
        <v>1776.2598549626921</v>
      </c>
      <c r="C146" s="48">
        <v>1840.3141968998473</v>
      </c>
      <c r="D146" s="48">
        <v>1937.0758013752306</v>
      </c>
      <c r="E146" s="48">
        <v>2074.3510893197704</v>
      </c>
      <c r="F146" s="48">
        <v>2118.5154166927141</v>
      </c>
      <c r="G146" s="48">
        <v>2116.6405721139431</v>
      </c>
      <c r="H146" s="48">
        <v>2201.1641066652887</v>
      </c>
      <c r="I146" s="48">
        <v>2290.5369682258383</v>
      </c>
      <c r="J146" s="48">
        <v>2328.405323950105</v>
      </c>
      <c r="K146" s="48">
        <v>2412.7220179888623</v>
      </c>
      <c r="L146" s="48">
        <v>2493.6479559645945</v>
      </c>
      <c r="M146" s="48">
        <v>2579.8601344256344</v>
      </c>
      <c r="N146" s="48">
        <v>2687.0455726006385</v>
      </c>
      <c r="O146" s="48">
        <v>2804.8249829380011</v>
      </c>
      <c r="P146" s="48">
        <v>2911.1073458333058</v>
      </c>
      <c r="Q146" s="48">
        <v>3033.2667174402491</v>
      </c>
      <c r="R146" s="48">
        <v>3211.0792289828446</v>
      </c>
      <c r="S146" s="48">
        <v>3319.9839436645311</v>
      </c>
      <c r="T146" s="48">
        <v>3577.6990119121356</v>
      </c>
      <c r="U146" s="48">
        <v>3786.1258738624601</v>
      </c>
      <c r="V146" s="48">
        <v>3998.6760741150215</v>
      </c>
      <c r="W146" s="48">
        <v>4304.5032221928886</v>
      </c>
      <c r="X146" s="48">
        <v>4649.8430768985027</v>
      </c>
      <c r="Y146" s="48">
        <v>4855.1454517528837</v>
      </c>
      <c r="Z146" s="48">
        <v>5151.1469409639813</v>
      </c>
      <c r="AA146" s="48">
        <v>5310.3303084744757</v>
      </c>
      <c r="AB146" s="48">
        <v>5781.3971114506585</v>
      </c>
      <c r="AC146" s="48">
        <v>5792.8009969647528</v>
      </c>
      <c r="AD146" s="48">
        <v>5659.6491866240403</v>
      </c>
      <c r="AE146" s="48">
        <v>5611.8563484135166</v>
      </c>
      <c r="AF146" s="48">
        <v>5397.6044145319329</v>
      </c>
      <c r="AG146" s="48">
        <v>5242.1504302006661</v>
      </c>
      <c r="AH146" s="48">
        <v>5287.5306672351544</v>
      </c>
      <c r="AI146" s="48">
        <v>5198.464078285474</v>
      </c>
      <c r="AJ146" s="48">
        <v>5141.4028339082806</v>
      </c>
      <c r="AK146" s="48">
        <v>5046.4016166079919</v>
      </c>
      <c r="AL146" s="48">
        <v>4798.9312813853658</v>
      </c>
      <c r="AM146" s="48">
        <v>4838.4608292086778</v>
      </c>
      <c r="AN146" s="48">
        <v>4717.5458047235807</v>
      </c>
      <c r="AO146" s="48">
        <v>4590.0841477033682</v>
      </c>
      <c r="AP146" s="48">
        <v>4858.9965367603327</v>
      </c>
      <c r="AQ146" s="48">
        <v>4853.5167479861802</v>
      </c>
      <c r="AR146" s="48">
        <v>5039.7771693466912</v>
      </c>
      <c r="AS146" s="48">
        <v>5172.0168382439815</v>
      </c>
      <c r="AT146" s="48">
        <v>5095.9413784361113</v>
      </c>
      <c r="AU146" s="48">
        <v>5223.4106180897288</v>
      </c>
      <c r="AV146" s="48">
        <v>5393.4775689744893</v>
      </c>
      <c r="AW146" s="48">
        <v>5551.0315743131077</v>
      </c>
      <c r="AX146" s="48">
        <v>5619.5338736292351</v>
      </c>
      <c r="AY146" s="48">
        <v>5465.0815294219574</v>
      </c>
      <c r="AZ146" s="48">
        <v>5683.7825882333136</v>
      </c>
      <c r="BA146" s="48">
        <v>5526.9803901901478</v>
      </c>
      <c r="BB146" s="48">
        <v>5664.550829944038</v>
      </c>
      <c r="BC146" s="48">
        <v>5451.1732319205648</v>
      </c>
      <c r="BD146" s="48">
        <v>6107.5564364071724</v>
      </c>
      <c r="BE146" s="48">
        <v>6368.0358663883462</v>
      </c>
      <c r="BF146" s="48">
        <v>6617.7590807664583</v>
      </c>
      <c r="BG146" s="48">
        <v>6849.8590217916417</v>
      </c>
      <c r="BH146" s="48">
        <v>6946.5725726368246</v>
      </c>
    </row>
    <row r="147" spans="1:60" s="49" customFormat="1" ht="12.75">
      <c r="A147" s="44" t="s">
        <v>292</v>
      </c>
      <c r="B147" s="40">
        <v>715.28723355017814</v>
      </c>
      <c r="C147" s="40">
        <v>751.39085578664253</v>
      </c>
      <c r="D147" s="40">
        <v>793.52022159165313</v>
      </c>
      <c r="E147" s="40">
        <v>831.2096262967649</v>
      </c>
      <c r="F147" s="40">
        <v>849.3488046056915</v>
      </c>
      <c r="G147" s="40">
        <v>872.08672302342779</v>
      </c>
      <c r="H147" s="40">
        <v>910.93624029059265</v>
      </c>
      <c r="I147" s="40">
        <v>931.63731545403766</v>
      </c>
      <c r="J147" s="40">
        <v>969.19671909365297</v>
      </c>
      <c r="K147" s="40">
        <v>992.12870938918047</v>
      </c>
      <c r="L147" s="40">
        <v>1025.7431309475276</v>
      </c>
      <c r="M147" s="40">
        <v>1023.0300478560043</v>
      </c>
      <c r="N147" s="40">
        <v>1051.4309882799014</v>
      </c>
      <c r="O147" s="40">
        <v>1099.0087049919962</v>
      </c>
      <c r="P147" s="40">
        <v>1169.2570565652036</v>
      </c>
      <c r="Q147" s="40">
        <v>1200.943469112314</v>
      </c>
      <c r="R147" s="40">
        <v>1256.3801159476091</v>
      </c>
      <c r="S147" s="40">
        <v>1288.188816670752</v>
      </c>
      <c r="T147" s="40">
        <v>1341.624188021508</v>
      </c>
      <c r="U147" s="40">
        <v>1433.966121226684</v>
      </c>
      <c r="V147" s="40">
        <v>1527.6310630827056</v>
      </c>
      <c r="W147" s="40">
        <v>1568.5992245411203</v>
      </c>
      <c r="X147" s="40">
        <v>1622.9515013986691</v>
      </c>
      <c r="Y147" s="40">
        <v>1713.8688408274618</v>
      </c>
      <c r="Z147" s="40">
        <v>1716.5081237532527</v>
      </c>
      <c r="AA147" s="40">
        <v>1761.6550495724132</v>
      </c>
      <c r="AB147" s="40">
        <v>1816.0212164981942</v>
      </c>
      <c r="AC147" s="40">
        <v>1880.9317539072069</v>
      </c>
      <c r="AD147" s="40">
        <v>1956.8844299900488</v>
      </c>
      <c r="AE147" s="40">
        <v>1998.4820489912447</v>
      </c>
      <c r="AF147" s="40">
        <v>2028.6547054775826</v>
      </c>
      <c r="AG147" s="40">
        <v>2079.5912249114563</v>
      </c>
      <c r="AH147" s="40">
        <v>2132.1837746912788</v>
      </c>
      <c r="AI147" s="40">
        <v>2191.012663495907</v>
      </c>
      <c r="AJ147" s="40">
        <v>2278.3977394715312</v>
      </c>
      <c r="AK147" s="40">
        <v>2348.8569778334995</v>
      </c>
      <c r="AL147" s="40">
        <v>2402.8500668456231</v>
      </c>
      <c r="AM147" s="40">
        <v>2509.2040793611427</v>
      </c>
      <c r="AN147" s="40">
        <v>2621.0260177639434</v>
      </c>
      <c r="AO147" s="40">
        <v>2682.572486741798</v>
      </c>
      <c r="AP147" s="40">
        <v>2782.8579048845877</v>
      </c>
      <c r="AQ147" s="40">
        <v>2859.1388266738372</v>
      </c>
      <c r="AR147" s="40">
        <v>2975.891413886246</v>
      </c>
      <c r="AS147" s="40">
        <v>3087.0998249792115</v>
      </c>
      <c r="AT147" s="40">
        <v>3209.7694143395534</v>
      </c>
      <c r="AU147" s="40">
        <v>3413.5377426482605</v>
      </c>
      <c r="AV147" s="40">
        <v>3515.2330572043911</v>
      </c>
      <c r="AW147" s="40">
        <v>3607.4515446218861</v>
      </c>
      <c r="AX147" s="40">
        <v>3535.7077172385711</v>
      </c>
      <c r="AY147" s="40">
        <v>3623.9027235868411</v>
      </c>
      <c r="AZ147" s="48">
        <v>3797.6089546548537</v>
      </c>
      <c r="BA147" s="40">
        <v>3927.1862748193444</v>
      </c>
      <c r="BB147" s="40">
        <v>4121.2755108225474</v>
      </c>
      <c r="BC147" s="40">
        <v>4388.9827050928798</v>
      </c>
      <c r="BD147" s="40">
        <v>4661.5174771309958</v>
      </c>
      <c r="BE147" s="40">
        <v>4900.5632810530469</v>
      </c>
      <c r="BF147" s="40">
        <v>5187.2531521279871</v>
      </c>
      <c r="BG147" s="40">
        <v>5408.3835877732645</v>
      </c>
      <c r="BH147" s="40">
        <v>5611.1985640943212</v>
      </c>
    </row>
    <row r="148" spans="1:60">
      <c r="A148" s="35" t="s">
        <v>293</v>
      </c>
      <c r="B148" s="36" t="s">
        <v>178</v>
      </c>
      <c r="C148" s="36" t="s">
        <v>178</v>
      </c>
      <c r="D148" s="36" t="s">
        <v>178</v>
      </c>
      <c r="E148" s="36" t="s">
        <v>178</v>
      </c>
      <c r="F148" s="36" t="s">
        <v>178</v>
      </c>
      <c r="G148" s="36" t="s">
        <v>178</v>
      </c>
      <c r="H148" s="36" t="s">
        <v>178</v>
      </c>
      <c r="I148" s="36" t="s">
        <v>178</v>
      </c>
      <c r="J148" s="36" t="s">
        <v>178</v>
      </c>
      <c r="K148" s="36" t="s">
        <v>178</v>
      </c>
      <c r="L148" s="36" t="s">
        <v>178</v>
      </c>
      <c r="M148" s="36" t="s">
        <v>178</v>
      </c>
      <c r="N148" s="36" t="s">
        <v>178</v>
      </c>
      <c r="O148" s="36" t="s">
        <v>178</v>
      </c>
      <c r="P148" s="36" t="s">
        <v>178</v>
      </c>
      <c r="Q148" s="36" t="s">
        <v>178</v>
      </c>
      <c r="R148" s="36" t="s">
        <v>178</v>
      </c>
      <c r="S148" s="36" t="s">
        <v>178</v>
      </c>
      <c r="T148" s="36" t="s">
        <v>178</v>
      </c>
      <c r="U148" s="36" t="s">
        <v>178</v>
      </c>
      <c r="V148" s="36" t="s">
        <v>178</v>
      </c>
      <c r="W148" s="36" t="s">
        <v>178</v>
      </c>
      <c r="X148" s="36" t="s">
        <v>178</v>
      </c>
      <c r="Y148" s="36" t="s">
        <v>178</v>
      </c>
      <c r="Z148" s="36" t="s">
        <v>178</v>
      </c>
      <c r="AA148" s="36" t="s">
        <v>178</v>
      </c>
      <c r="AB148" s="36" t="s">
        <v>178</v>
      </c>
      <c r="AC148" s="36" t="s">
        <v>178</v>
      </c>
      <c r="AD148" s="36" t="s">
        <v>178</v>
      </c>
      <c r="AE148" s="36" t="s">
        <v>178</v>
      </c>
      <c r="AF148" s="36" t="s">
        <v>178</v>
      </c>
      <c r="AG148" s="36" t="s">
        <v>178</v>
      </c>
      <c r="AH148" s="36" t="s">
        <v>178</v>
      </c>
      <c r="AI148" s="36" t="s">
        <v>178</v>
      </c>
      <c r="AJ148" s="36" t="s">
        <v>178</v>
      </c>
      <c r="AK148" s="36" t="s">
        <v>178</v>
      </c>
      <c r="AL148" s="36" t="s">
        <v>178</v>
      </c>
      <c r="AM148" s="36" t="s">
        <v>178</v>
      </c>
      <c r="AN148" s="36" t="s">
        <v>178</v>
      </c>
      <c r="AO148" s="36" t="s">
        <v>178</v>
      </c>
      <c r="AP148" s="36" t="s">
        <v>178</v>
      </c>
      <c r="AQ148" s="36" t="s">
        <v>178</v>
      </c>
      <c r="AR148" s="36" t="s">
        <v>178</v>
      </c>
      <c r="AS148" s="36" t="s">
        <v>178</v>
      </c>
      <c r="AT148" s="36" t="s">
        <v>178</v>
      </c>
      <c r="AU148" s="36" t="s">
        <v>178</v>
      </c>
      <c r="AV148" s="36" t="s">
        <v>178</v>
      </c>
      <c r="AW148" s="36" t="s">
        <v>178</v>
      </c>
      <c r="AX148" s="36" t="s">
        <v>178</v>
      </c>
      <c r="AY148" s="36" t="s">
        <v>178</v>
      </c>
      <c r="AZ148" s="36" t="s">
        <v>178</v>
      </c>
      <c r="BA148" s="36" t="s">
        <v>178</v>
      </c>
      <c r="BB148" s="36" t="s">
        <v>178</v>
      </c>
      <c r="BC148" s="36" t="s">
        <v>178</v>
      </c>
      <c r="BD148" s="36" t="s">
        <v>178</v>
      </c>
      <c r="BE148" s="36" t="s">
        <v>178</v>
      </c>
      <c r="BF148" s="36" t="s">
        <v>178</v>
      </c>
      <c r="BG148" s="36" t="s">
        <v>178</v>
      </c>
      <c r="BH148" s="36" t="s">
        <v>178</v>
      </c>
    </row>
    <row r="149" spans="1:60">
      <c r="A149" s="43" t="s">
        <v>294</v>
      </c>
      <c r="B149" s="47">
        <v>1364.7395829666857</v>
      </c>
      <c r="C149" s="47">
        <v>1346.9402066263474</v>
      </c>
      <c r="D149" s="47">
        <v>1375.860182068358</v>
      </c>
      <c r="E149" s="47">
        <v>1368.7431293930856</v>
      </c>
      <c r="F149" s="47">
        <v>1436.9901489786089</v>
      </c>
      <c r="G149" s="47">
        <v>1445.223898083716</v>
      </c>
      <c r="H149" s="47">
        <v>1553.0615291531449</v>
      </c>
      <c r="I149" s="47">
        <v>1693.2608165348215</v>
      </c>
      <c r="J149" s="47">
        <v>1718.8795073230481</v>
      </c>
      <c r="K149" s="47">
        <v>1993.5108194960167</v>
      </c>
      <c r="L149" s="47">
        <v>2088.1030858811905</v>
      </c>
      <c r="M149" s="47">
        <v>1799.4340563918199</v>
      </c>
      <c r="N149" s="47">
        <v>1433.0566135694562</v>
      </c>
      <c r="O149" s="47">
        <v>1767.7573611917453</v>
      </c>
      <c r="P149" s="47">
        <v>1805.8801780083654</v>
      </c>
      <c r="Q149" s="47">
        <v>1869.6755012164756</v>
      </c>
      <c r="R149" s="47">
        <v>1725.158513709192</v>
      </c>
      <c r="S149" s="47">
        <v>1824.1697664511657</v>
      </c>
      <c r="T149" s="47">
        <v>1977.4309462676094</v>
      </c>
      <c r="U149" s="47">
        <v>2105.4941747260054</v>
      </c>
      <c r="V149" s="47">
        <v>2249.2197132950796</v>
      </c>
      <c r="W149" s="47">
        <v>1999.6535098836475</v>
      </c>
      <c r="X149" s="47">
        <v>2349.8331139189972</v>
      </c>
      <c r="Y149" s="47">
        <v>2356.5408080708512</v>
      </c>
      <c r="Z149" s="47">
        <v>2427.5279662723678</v>
      </c>
      <c r="AA149" s="47">
        <v>2521.9533889846439</v>
      </c>
      <c r="AB149" s="47">
        <v>2608.2398291784166</v>
      </c>
      <c r="AC149" s="47">
        <v>2758.686938258641</v>
      </c>
      <c r="AD149" s="47">
        <v>3018.6610203577666</v>
      </c>
      <c r="AE149" s="47">
        <v>3192.1836681330369</v>
      </c>
      <c r="AF149" s="47">
        <v>3151.8251982831225</v>
      </c>
      <c r="AG149" s="47">
        <v>3131.1414573345987</v>
      </c>
      <c r="AH149" s="47">
        <v>3227.6483287661122</v>
      </c>
      <c r="AI149" s="47">
        <v>3288.6017116439125</v>
      </c>
      <c r="AJ149" s="47">
        <v>3363.2573657043567</v>
      </c>
      <c r="AK149" s="47">
        <v>3431.0327057615978</v>
      </c>
      <c r="AL149" s="47">
        <v>3301.1815356153506</v>
      </c>
      <c r="AM149" s="47">
        <v>3191.8043561172185</v>
      </c>
      <c r="AN149" s="47">
        <v>3043.111372453669</v>
      </c>
      <c r="AO149" s="47">
        <v>3066.7217744458399</v>
      </c>
      <c r="AP149" s="47">
        <v>2946.8653872337522</v>
      </c>
      <c r="AQ149" s="47">
        <v>2843.7174520200392</v>
      </c>
      <c r="AR149" s="47">
        <v>2822.0499942772294</v>
      </c>
      <c r="AS149" s="47">
        <v>2696.5970753941401</v>
      </c>
      <c r="AT149" s="47">
        <v>2613.5589530154562</v>
      </c>
      <c r="AU149" s="47">
        <v>2658.0726956163749</v>
      </c>
      <c r="AV149" s="47">
        <v>2709.4071034151671</v>
      </c>
      <c r="AW149" s="47">
        <v>2694.0645926338325</v>
      </c>
      <c r="AX149" s="47">
        <v>2788.1291361983258</v>
      </c>
      <c r="AY149" s="47">
        <v>2834.7071909981032</v>
      </c>
      <c r="AZ149" s="47">
        <v>2862.6754140024655</v>
      </c>
      <c r="BA149" s="47">
        <v>2894.7694275372723</v>
      </c>
      <c r="BB149" s="47">
        <v>2968.4331285300023</v>
      </c>
      <c r="BC149" s="47">
        <v>3130.4093264913085</v>
      </c>
      <c r="BD149" s="47">
        <v>3250.5157557143602</v>
      </c>
      <c r="BE149" s="47">
        <v>3374.0024603252964</v>
      </c>
      <c r="BF149" s="47">
        <v>3399.8648816382388</v>
      </c>
      <c r="BG149" s="47">
        <v>3459.517805820637</v>
      </c>
      <c r="BH149" s="47">
        <v>3520.378005481783</v>
      </c>
    </row>
    <row r="150" spans="1:60">
      <c r="A150" s="43" t="s">
        <v>51</v>
      </c>
      <c r="B150" s="47">
        <v>1051.8219640146228</v>
      </c>
      <c r="C150" s="47">
        <v>1076.1796700051161</v>
      </c>
      <c r="D150" s="47">
        <v>1101.1094977782871</v>
      </c>
      <c r="E150" s="47">
        <v>1125.5659270024034</v>
      </c>
      <c r="F150" s="47">
        <v>1079.2818954420707</v>
      </c>
      <c r="G150" s="47">
        <v>1148.4838092042839</v>
      </c>
      <c r="H150" s="47">
        <v>1109.9997506118914</v>
      </c>
      <c r="I150" s="47">
        <v>1197.2303880355009</v>
      </c>
      <c r="J150" s="47">
        <v>1240.5398322003241</v>
      </c>
      <c r="K150" s="47">
        <v>1225.3228005487545</v>
      </c>
      <c r="L150" s="47">
        <v>1252.9849850250471</v>
      </c>
      <c r="M150" s="47">
        <v>1396.1105433384487</v>
      </c>
      <c r="N150" s="47">
        <v>1335.2631518965438</v>
      </c>
      <c r="O150" s="47">
        <v>1380.4007085149035</v>
      </c>
      <c r="P150" s="47">
        <v>1509.5371230335429</v>
      </c>
      <c r="Q150" s="47">
        <v>1595.7722357442854</v>
      </c>
      <c r="R150" s="47">
        <v>1660.1778418649362</v>
      </c>
      <c r="S150" s="47">
        <v>1727.30891788022</v>
      </c>
      <c r="T150" s="47">
        <v>1672.2164240921772</v>
      </c>
      <c r="U150" s="47">
        <v>1691.4486897075303</v>
      </c>
      <c r="V150" s="47">
        <v>1767.6883901994174</v>
      </c>
      <c r="W150" s="47">
        <v>1728.3285795461359</v>
      </c>
      <c r="X150" s="47">
        <v>1711.7280939175723</v>
      </c>
      <c r="Y150" s="47">
        <v>1789.4706973343623</v>
      </c>
      <c r="Z150" s="47">
        <v>1710.5659598376083</v>
      </c>
      <c r="AA150" s="47">
        <v>1072.8142514045219</v>
      </c>
      <c r="AB150" s="47">
        <v>953.8205484813069</v>
      </c>
      <c r="AC150" s="47">
        <v>940.82885740642746</v>
      </c>
      <c r="AD150" s="47">
        <v>960.20791515432995</v>
      </c>
      <c r="AE150" s="47">
        <v>958.38138929966556</v>
      </c>
      <c r="AF150" s="47">
        <v>961.43008832758915</v>
      </c>
      <c r="AG150" s="47">
        <v>923.45834204269056</v>
      </c>
      <c r="AH150" s="47">
        <v>862.00435818005099</v>
      </c>
      <c r="AI150" s="47">
        <v>808.08945747793507</v>
      </c>
      <c r="AJ150" s="47">
        <v>790.1969889477225</v>
      </c>
      <c r="AK150" s="47">
        <v>779.33115166316873</v>
      </c>
      <c r="AL150" s="47">
        <v>694.18705134015909</v>
      </c>
      <c r="AM150" s="47">
        <v>759.67240032108066</v>
      </c>
      <c r="AN150" s="47">
        <v>852.88138804171297</v>
      </c>
      <c r="AO150" s="47">
        <v>853.46248959386514</v>
      </c>
      <c r="AP150" s="47">
        <v>868.06580907903788</v>
      </c>
      <c r="AQ150" s="47">
        <v>853.49678291029227</v>
      </c>
      <c r="AR150" s="47">
        <v>821.33757225883164</v>
      </c>
      <c r="AS150" s="47">
        <v>584.52478168707614</v>
      </c>
      <c r="AT150" s="47">
        <v>578.91821880710143</v>
      </c>
      <c r="AU150" s="47">
        <v>622.24470131192663</v>
      </c>
      <c r="AV150" s="47">
        <v>675.39793092807531</v>
      </c>
      <c r="AW150" s="47">
        <v>713.60596876144973</v>
      </c>
      <c r="AX150" s="47">
        <v>748.16912228037882</v>
      </c>
      <c r="AY150" s="47">
        <v>759.5363216259932</v>
      </c>
      <c r="AZ150" s="47">
        <v>770.04860721035709</v>
      </c>
      <c r="BA150" s="47">
        <v>781.80844943348541</v>
      </c>
      <c r="BB150" s="47">
        <v>875.88785289916564</v>
      </c>
      <c r="BC150" s="47">
        <v>881.33496245395486</v>
      </c>
      <c r="BD150" s="47">
        <v>951.26680189473802</v>
      </c>
      <c r="BE150" s="47">
        <v>1116.3450373171363</v>
      </c>
      <c r="BF150" s="47">
        <v>1292.3579942543893</v>
      </c>
      <c r="BG150" s="47">
        <v>1520.3534102069248</v>
      </c>
      <c r="BH150" s="47">
        <v>1684.254945414132</v>
      </c>
    </row>
    <row r="151" spans="1:60">
      <c r="A151" s="43" t="s">
        <v>295</v>
      </c>
      <c r="B151" s="47">
        <v>1083.6280470946328</v>
      </c>
      <c r="C151" s="47">
        <v>1063.1270824377013</v>
      </c>
      <c r="D151" s="47">
        <v>1042.700760725965</v>
      </c>
      <c r="E151" s="47">
        <v>993.73466082426478</v>
      </c>
      <c r="F151" s="47">
        <v>1002.0163541174893</v>
      </c>
      <c r="G151" s="47">
        <v>981.78253571917935</v>
      </c>
      <c r="H151" s="47">
        <v>961.57216311349839</v>
      </c>
      <c r="I151" s="47">
        <v>941.49584109134923</v>
      </c>
      <c r="J151" s="47">
        <v>955.65952314703873</v>
      </c>
      <c r="K151" s="47">
        <v>970.21763569438838</v>
      </c>
      <c r="L151" s="47">
        <v>978.11596491500529</v>
      </c>
      <c r="M151" s="47">
        <v>987.39918002991305</v>
      </c>
      <c r="N151" s="47">
        <v>931.58442415023944</v>
      </c>
      <c r="O151" s="47">
        <v>952.03165344791398</v>
      </c>
      <c r="P151" s="47">
        <v>993.14748593882143</v>
      </c>
      <c r="Q151" s="47">
        <v>1019.7303018659005</v>
      </c>
      <c r="R151" s="47">
        <v>1031.8233437448948</v>
      </c>
      <c r="S151" s="47">
        <v>1016.287898365666</v>
      </c>
      <c r="T151" s="47">
        <v>1028.9942224318684</v>
      </c>
      <c r="U151" s="47">
        <v>1032.9345151394127</v>
      </c>
      <c r="V151" s="47">
        <v>1027.4128471689396</v>
      </c>
      <c r="W151" s="47">
        <v>1005.5934193091668</v>
      </c>
      <c r="X151" s="47">
        <v>1065.3106446048846</v>
      </c>
      <c r="Y151" s="47">
        <v>1061.455538894849</v>
      </c>
      <c r="Z151" s="47">
        <v>955.26620551871667</v>
      </c>
      <c r="AA151" s="47">
        <v>969.31767751620521</v>
      </c>
      <c r="AB151" s="47">
        <v>983.27752815168867</v>
      </c>
      <c r="AC151" s="47">
        <v>1009.7435879411659</v>
      </c>
      <c r="AD151" s="47">
        <v>1012.540696559547</v>
      </c>
      <c r="AE151" s="47">
        <v>1062.7378600612099</v>
      </c>
      <c r="AF151" s="47">
        <v>1127.9702869528301</v>
      </c>
      <c r="AG151" s="47">
        <v>1156.2117216523004</v>
      </c>
      <c r="AH151" s="47">
        <v>1242.3490426973019</v>
      </c>
      <c r="AI151" s="47">
        <v>1152.3816951469666</v>
      </c>
      <c r="AJ151" s="47">
        <v>1206.1821036428598</v>
      </c>
      <c r="AK151" s="47">
        <v>1257.3845906785068</v>
      </c>
      <c r="AL151" s="47">
        <v>1246.3301126176618</v>
      </c>
      <c r="AM151" s="47">
        <v>1190.3518736954939</v>
      </c>
      <c r="AN151" s="47">
        <v>1189.0660041167673</v>
      </c>
      <c r="AO151" s="47">
        <v>1127.7819954694187</v>
      </c>
      <c r="AP151" s="47">
        <v>1136.3438333742079</v>
      </c>
      <c r="AQ151" s="47">
        <v>1153.0867879572313</v>
      </c>
      <c r="AR151" s="47">
        <v>1162.090854492576</v>
      </c>
      <c r="AS151" s="47">
        <v>1147.734594884922</v>
      </c>
      <c r="AT151" s="47">
        <v>1146.317708666252</v>
      </c>
      <c r="AU151" s="47">
        <v>1165.3552375041452</v>
      </c>
      <c r="AV151" s="47">
        <v>1192.8211994457231</v>
      </c>
      <c r="AW151" s="47">
        <v>1221.7665372441613</v>
      </c>
      <c r="AX151" s="47">
        <v>1237.440582698275</v>
      </c>
      <c r="AY151" s="47">
        <v>1254.4550557957011</v>
      </c>
      <c r="AZ151" s="47">
        <v>1284.6118517265136</v>
      </c>
      <c r="BA151" s="47">
        <v>1305.4528684431625</v>
      </c>
      <c r="BB151" s="47">
        <v>1339.6584918338729</v>
      </c>
      <c r="BC151" s="47">
        <v>1348.147924718696</v>
      </c>
      <c r="BD151" s="47">
        <v>1346.9147905672387</v>
      </c>
      <c r="BE151" s="47">
        <v>1341.269003507331</v>
      </c>
      <c r="BF151" s="47">
        <v>1348.1565813896621</v>
      </c>
      <c r="BG151" s="47">
        <v>1368.2995661595251</v>
      </c>
      <c r="BH151" s="47">
        <v>1393.8393776207736</v>
      </c>
    </row>
    <row r="152" spans="1:60">
      <c r="A152" s="43" t="s">
        <v>53</v>
      </c>
      <c r="B152" s="47">
        <v>348.50665555818307</v>
      </c>
      <c r="C152" s="47">
        <v>355.13351296833389</v>
      </c>
      <c r="D152" s="47">
        <v>359.48231288398597</v>
      </c>
      <c r="E152" s="47">
        <v>365.65649461651526</v>
      </c>
      <c r="F152" s="47">
        <v>371.8371087484324</v>
      </c>
      <c r="G152" s="47">
        <v>377.36300663840058</v>
      </c>
      <c r="H152" s="47">
        <v>382.56847263165417</v>
      </c>
      <c r="I152" s="47">
        <v>387.77302883931509</v>
      </c>
      <c r="J152" s="47">
        <v>392.33983670314529</v>
      </c>
      <c r="K152" s="47">
        <v>398.71254944056898</v>
      </c>
      <c r="L152" s="47">
        <v>402.56574541715287</v>
      </c>
      <c r="M152" s="47">
        <v>410.24302603425508</v>
      </c>
      <c r="N152" s="47">
        <v>415.40074790165687</v>
      </c>
      <c r="O152" s="47">
        <v>422.17385463535231</v>
      </c>
      <c r="P152" s="47">
        <v>430.22142667816729</v>
      </c>
      <c r="Q152" s="47">
        <v>436.81994607404476</v>
      </c>
      <c r="R152" s="47">
        <v>472.56342007028735</v>
      </c>
      <c r="S152" s="47">
        <v>512.97627131085267</v>
      </c>
      <c r="T152" s="47">
        <v>557.0936209577178</v>
      </c>
      <c r="U152" s="47">
        <v>601.45087248797165</v>
      </c>
      <c r="V152" s="47">
        <v>647.26912845687366</v>
      </c>
      <c r="W152" s="47">
        <v>747.19853860602757</v>
      </c>
      <c r="X152" s="47">
        <v>955.9314272725843</v>
      </c>
      <c r="Y152" s="47">
        <v>1122.664568422507</v>
      </c>
      <c r="Z152" s="47">
        <v>1299.5694170281861</v>
      </c>
      <c r="AA152" s="47">
        <v>1223.490388980952</v>
      </c>
      <c r="AB152" s="47">
        <v>1381.4913741797466</v>
      </c>
      <c r="AC152" s="47">
        <v>1357.6464633620647</v>
      </c>
      <c r="AD152" s="47">
        <v>1537.3301789296481</v>
      </c>
      <c r="AE152" s="47">
        <v>1612.5242537366717</v>
      </c>
      <c r="AF152" s="47">
        <v>1764.5878578717579</v>
      </c>
      <c r="AG152" s="47">
        <v>1857.7698842950717</v>
      </c>
      <c r="AH152" s="47">
        <v>1921.3623835552173</v>
      </c>
      <c r="AI152" s="47">
        <v>2143.9318675178606</v>
      </c>
      <c r="AJ152" s="47">
        <v>2300.2088585927372</v>
      </c>
      <c r="AK152" s="47">
        <v>2386.8203529191373</v>
      </c>
      <c r="AL152" s="47">
        <v>2485.3849647506568</v>
      </c>
      <c r="AM152" s="47">
        <v>2618.8842699780598</v>
      </c>
      <c r="AN152" s="47">
        <v>2937.10267442239</v>
      </c>
      <c r="AO152" s="47">
        <v>3215.6074474169764</v>
      </c>
      <c r="AP152" s="47">
        <v>3303.7801317716421</v>
      </c>
      <c r="AQ152" s="47">
        <v>3360.0943593915204</v>
      </c>
      <c r="AR152" s="47">
        <v>3353.7753952132575</v>
      </c>
      <c r="AS152" s="47">
        <v>3310.9779044485658</v>
      </c>
      <c r="AT152" s="47">
        <v>3320.8062005122451</v>
      </c>
      <c r="AU152" s="47">
        <v>3366.9669076219334</v>
      </c>
      <c r="AV152" s="47">
        <v>3457.7937448057478</v>
      </c>
      <c r="AW152" s="47">
        <v>3589.4548967176092</v>
      </c>
      <c r="AX152" s="47">
        <v>3704.4726114038158</v>
      </c>
      <c r="AY152" s="47">
        <v>3844.9294954237607</v>
      </c>
      <c r="AZ152" s="47">
        <v>4084.1112592874829</v>
      </c>
      <c r="BA152" s="47">
        <v>4210.5963270904649</v>
      </c>
      <c r="BB152" s="47">
        <v>4338.6208843662471</v>
      </c>
      <c r="BC152" s="47">
        <v>4429.1460430861198</v>
      </c>
      <c r="BD152" s="47">
        <v>4488.8020568282891</v>
      </c>
      <c r="BE152" s="47">
        <v>4480.6957822224258</v>
      </c>
      <c r="BF152" s="47">
        <v>4619.4165834123232</v>
      </c>
      <c r="BG152" s="47">
        <v>4728.1781018510283</v>
      </c>
      <c r="BH152" s="47">
        <v>4768.8376515331593</v>
      </c>
    </row>
    <row r="153" spans="1:60">
      <c r="A153" s="43" t="s">
        <v>296</v>
      </c>
      <c r="B153" s="47">
        <v>474.31265682472696</v>
      </c>
      <c r="C153" s="47">
        <v>487.14247325852051</v>
      </c>
      <c r="D153" s="47">
        <v>499.64885088027972</v>
      </c>
      <c r="E153" s="47">
        <v>512.29656968621953</v>
      </c>
      <c r="F153" s="47">
        <v>525.53094497232792</v>
      </c>
      <c r="G153" s="47">
        <v>539.32875808021629</v>
      </c>
      <c r="H153" s="47">
        <v>553.66709908413122</v>
      </c>
      <c r="I153" s="47">
        <v>567.64295218498955</v>
      </c>
      <c r="J153" s="47">
        <v>583.00511776142855</v>
      </c>
      <c r="K153" s="47">
        <v>597.54894129059869</v>
      </c>
      <c r="L153" s="47">
        <v>608.73487062636639</v>
      </c>
      <c r="M153" s="47">
        <v>629.82812090537539</v>
      </c>
      <c r="N153" s="47">
        <v>664.51692204656194</v>
      </c>
      <c r="O153" s="47">
        <v>651.69878899133982</v>
      </c>
      <c r="P153" s="47">
        <v>661.80665913830137</v>
      </c>
      <c r="Q153" s="47">
        <v>681.5049747720833</v>
      </c>
      <c r="R153" s="47">
        <v>678.60736656986296</v>
      </c>
      <c r="S153" s="47">
        <v>731.02686734469762</v>
      </c>
      <c r="T153" s="47">
        <v>745.6822529188014</v>
      </c>
      <c r="U153" s="47">
        <v>751.81530661525835</v>
      </c>
      <c r="V153" s="47">
        <v>744.75192950495966</v>
      </c>
      <c r="W153" s="47">
        <v>765.12477805379751</v>
      </c>
      <c r="X153" s="47">
        <v>786.12743316218166</v>
      </c>
      <c r="Y153" s="47">
        <v>734.52744148536283</v>
      </c>
      <c r="Z153" s="47">
        <v>710.29429673627749</v>
      </c>
      <c r="AA153" s="47">
        <v>669.51494879946563</v>
      </c>
      <c r="AB153" s="47">
        <v>652.44914798109767</v>
      </c>
      <c r="AC153" s="47">
        <v>683.54351469945186</v>
      </c>
      <c r="AD153" s="47">
        <v>746.1399515075783</v>
      </c>
      <c r="AE153" s="47">
        <v>736.27849669249485</v>
      </c>
      <c r="AF153" s="47">
        <v>730.63466626463276</v>
      </c>
      <c r="AG153" s="47">
        <v>744.42818001652427</v>
      </c>
      <c r="AH153" s="47">
        <v>742.11151677112582</v>
      </c>
      <c r="AI153" s="47">
        <v>715.33987394549354</v>
      </c>
      <c r="AJ153" s="47">
        <v>708.42767741144166</v>
      </c>
      <c r="AK153" s="47">
        <v>780.37327521331224</v>
      </c>
      <c r="AL153" s="47">
        <v>878.29666766260573</v>
      </c>
      <c r="AM153" s="47">
        <v>838.27204166894205</v>
      </c>
      <c r="AN153" s="47">
        <v>879.97762833251215</v>
      </c>
      <c r="AO153" s="47">
        <v>842.16608539674871</v>
      </c>
      <c r="AP153" s="47">
        <v>807.07672814347586</v>
      </c>
      <c r="AQ153" s="47">
        <v>858.89719627249633</v>
      </c>
      <c r="AR153" s="47">
        <v>851.52729684904341</v>
      </c>
      <c r="AS153" s="47">
        <v>817.03235349389843</v>
      </c>
      <c r="AT153" s="47">
        <v>799.73381986724428</v>
      </c>
      <c r="AU153" s="47">
        <v>807.71595688782281</v>
      </c>
      <c r="AV153" s="47">
        <v>841.2864777192043</v>
      </c>
      <c r="AW153" s="47">
        <v>854.67451471253969</v>
      </c>
      <c r="AX153" s="47">
        <v>881.8200758909195</v>
      </c>
      <c r="AY153" s="47">
        <v>907.85342567806447</v>
      </c>
      <c r="AZ153" s="47">
        <v>898.89703262050591</v>
      </c>
      <c r="BA153" s="47">
        <v>923.13861814272229</v>
      </c>
      <c r="BB153" s="47">
        <v>929.04568525740694</v>
      </c>
      <c r="BC153" s="47">
        <v>966.44617070101367</v>
      </c>
      <c r="BD153" s="47">
        <v>979.96059234789368</v>
      </c>
      <c r="BE153" s="47">
        <v>1017.4134051444323</v>
      </c>
      <c r="BF153" s="47">
        <v>1040.469189974099</v>
      </c>
      <c r="BG153" s="47">
        <v>1044.8618154874459</v>
      </c>
      <c r="BH153" s="47">
        <v>1063.4970079729519</v>
      </c>
    </row>
    <row r="154" spans="1:60">
      <c r="A154" s="43" t="s">
        <v>297</v>
      </c>
      <c r="B154" s="47">
        <v>360.14245938846318</v>
      </c>
      <c r="C154" s="47">
        <v>374.15207959929558</v>
      </c>
      <c r="D154" s="47">
        <v>379.21723137010463</v>
      </c>
      <c r="E154" s="47">
        <v>387.75028421274834</v>
      </c>
      <c r="F154" s="47">
        <v>401.91778073478167</v>
      </c>
      <c r="G154" s="47">
        <v>407.54682197417992</v>
      </c>
      <c r="H154" s="47">
        <v>415.77375887038573</v>
      </c>
      <c r="I154" s="47">
        <v>424.22325284190646</v>
      </c>
      <c r="J154" s="47">
        <v>428.48495311461534</v>
      </c>
      <c r="K154" s="47">
        <v>445.16819095889565</v>
      </c>
      <c r="L154" s="47">
        <v>443.64476929215044</v>
      </c>
      <c r="M154" s="47">
        <v>372.48202168912894</v>
      </c>
      <c r="N154" s="47">
        <v>396.99555055198505</v>
      </c>
      <c r="O154" s="47">
        <v>406.97434089797031</v>
      </c>
      <c r="P154" s="47">
        <v>420.35008167451565</v>
      </c>
      <c r="Q154" s="47">
        <v>424.79792562746309</v>
      </c>
      <c r="R154" s="47">
        <v>433.05696275077986</v>
      </c>
      <c r="S154" s="47">
        <v>461.56741483532568</v>
      </c>
      <c r="T154" s="47">
        <v>447.09193989785263</v>
      </c>
      <c r="U154" s="47">
        <v>433.76508861683647</v>
      </c>
      <c r="V154" s="47">
        <v>540.18604802855384</v>
      </c>
      <c r="W154" s="47">
        <v>570.57123492330118</v>
      </c>
      <c r="X154" s="47">
        <v>518.70429074629624</v>
      </c>
      <c r="Y154" s="47">
        <v>554.48068575404602</v>
      </c>
      <c r="Z154" s="47">
        <v>541.51736351557781</v>
      </c>
      <c r="AA154" s="47">
        <v>534.85768908055036</v>
      </c>
      <c r="AB154" s="47">
        <v>565.78067007274103</v>
      </c>
      <c r="AC154" s="47">
        <v>621.53298433101838</v>
      </c>
      <c r="AD154" s="47">
        <v>599.70860344801304</v>
      </c>
      <c r="AE154" s="47">
        <v>583.43659486351521</v>
      </c>
      <c r="AF154" s="47">
        <v>603.37054183667385</v>
      </c>
      <c r="AG154" s="47">
        <v>642.07325396174247</v>
      </c>
      <c r="AH154" s="47">
        <v>625.44474746590242</v>
      </c>
      <c r="AI154" s="47">
        <v>629.5752552822978</v>
      </c>
      <c r="AJ154" s="47">
        <v>614.36536812898839</v>
      </c>
      <c r="AK154" s="47">
        <v>671.57394774106263</v>
      </c>
      <c r="AL154" s="47">
        <v>683.88147889887</v>
      </c>
      <c r="AM154" s="47">
        <v>694.98046578420769</v>
      </c>
      <c r="AN154" s="47">
        <v>702.5480887407947</v>
      </c>
      <c r="AO154" s="47">
        <v>696.60396471003469</v>
      </c>
      <c r="AP154" s="47">
        <v>704.6176890465282</v>
      </c>
      <c r="AQ154" s="47">
        <v>722.58011636645415</v>
      </c>
      <c r="AR154" s="47">
        <v>706.02410540732035</v>
      </c>
      <c r="AS154" s="47">
        <v>685.16469210879245</v>
      </c>
      <c r="AT154" s="47">
        <v>654.03452950264875</v>
      </c>
      <c r="AU154" s="47">
        <v>566.87451344602732</v>
      </c>
      <c r="AV154" s="47">
        <v>517.30437841123342</v>
      </c>
      <c r="AW154" s="47">
        <v>517.60411768033009</v>
      </c>
      <c r="AX154" s="47">
        <v>529.43314036186075</v>
      </c>
      <c r="AY154" s="47">
        <v>508.99474400126587</v>
      </c>
      <c r="AZ154" s="47">
        <v>495.97698886316863</v>
      </c>
      <c r="BA154" s="47">
        <v>492.34197518555334</v>
      </c>
      <c r="BB154" s="47">
        <v>498.92623326503423</v>
      </c>
      <c r="BC154" s="47">
        <v>477.39693735109785</v>
      </c>
      <c r="BD154" s="47">
        <v>482.5569049941646</v>
      </c>
      <c r="BE154" s="47">
        <v>469.50609241881068</v>
      </c>
      <c r="BF154" s="47">
        <v>475.39773460495019</v>
      </c>
      <c r="BG154" s="47">
        <v>474.94161555234166</v>
      </c>
      <c r="BH154" s="47">
        <v>479.11605159587418</v>
      </c>
    </row>
    <row r="155" spans="1:60">
      <c r="A155" s="43" t="s">
        <v>298</v>
      </c>
      <c r="B155" s="47">
        <v>670.95112917331505</v>
      </c>
      <c r="C155" s="47">
        <v>687.40817011650552</v>
      </c>
      <c r="D155" s="47">
        <v>703.78072461725549</v>
      </c>
      <c r="E155" s="47">
        <v>720.03753871396668</v>
      </c>
      <c r="F155" s="47">
        <v>736.77791298198804</v>
      </c>
      <c r="G155" s="47">
        <v>753.9377533307586</v>
      </c>
      <c r="H155" s="47">
        <v>770.83098141479149</v>
      </c>
      <c r="I155" s="47">
        <v>788.03055456186291</v>
      </c>
      <c r="J155" s="47">
        <v>805.46226290227241</v>
      </c>
      <c r="K155" s="47">
        <v>822.47360753169369</v>
      </c>
      <c r="L155" s="47">
        <v>832.00088409045395</v>
      </c>
      <c r="M155" s="47">
        <v>828.58488367291659</v>
      </c>
      <c r="N155" s="47">
        <v>839.97945596050033</v>
      </c>
      <c r="O155" s="47">
        <v>856.5126174688902</v>
      </c>
      <c r="P155" s="47">
        <v>871.83735101651621</v>
      </c>
      <c r="Q155" s="47">
        <v>873.58837214362666</v>
      </c>
      <c r="R155" s="47">
        <v>897.77571997257814</v>
      </c>
      <c r="S155" s="47">
        <v>905.30360021400713</v>
      </c>
      <c r="T155" s="47">
        <v>945.76511806374992</v>
      </c>
      <c r="U155" s="47">
        <v>972.84665440734489</v>
      </c>
      <c r="V155" s="47">
        <v>981.84067757410435</v>
      </c>
      <c r="W155" s="47">
        <v>989.970686427342</v>
      </c>
      <c r="X155" s="47">
        <v>1010.7466159710781</v>
      </c>
      <c r="Y155" s="47">
        <v>1003.0531381159855</v>
      </c>
      <c r="Z155" s="47">
        <v>1024.0424202705435</v>
      </c>
      <c r="AA155" s="47">
        <v>1051.6152029353393</v>
      </c>
      <c r="AB155" s="47">
        <v>1043.9676463665674</v>
      </c>
      <c r="AC155" s="47">
        <v>1070.017637251525</v>
      </c>
      <c r="AD155" s="47">
        <v>1094.0842636082409</v>
      </c>
      <c r="AE155" s="47">
        <v>1119.6255185589141</v>
      </c>
      <c r="AF155" s="47">
        <v>1191.6026668725362</v>
      </c>
      <c r="AG155" s="47">
        <v>1350.8173350814618</v>
      </c>
      <c r="AH155" s="47">
        <v>1416.2970913123593</v>
      </c>
      <c r="AI155" s="47">
        <v>1471.1655672754287</v>
      </c>
      <c r="AJ155" s="47">
        <v>1537.4479964382556</v>
      </c>
      <c r="AK155" s="47">
        <v>1621.7489548955878</v>
      </c>
      <c r="AL155" s="47">
        <v>1682.9323200229908</v>
      </c>
      <c r="AM155" s="47">
        <v>1549.5744575222491</v>
      </c>
      <c r="AN155" s="47">
        <v>1434.8766899061577</v>
      </c>
      <c r="AO155" s="47">
        <v>1267.9582331180302</v>
      </c>
      <c r="AP155" s="47">
        <v>1211.0737561840026</v>
      </c>
      <c r="AQ155" s="47">
        <v>1132.111815091356</v>
      </c>
      <c r="AR155" s="47">
        <v>1066.9668307441893</v>
      </c>
      <c r="AS155" s="47">
        <v>1005.1875917756261</v>
      </c>
      <c r="AT155" s="47">
        <v>954.60197387442429</v>
      </c>
      <c r="AU155" s="47">
        <v>961.59146276415072</v>
      </c>
      <c r="AV155" s="47">
        <v>984.88777413928813</v>
      </c>
      <c r="AW155" s="47">
        <v>1010.1511561100127</v>
      </c>
      <c r="AX155" s="47">
        <v>1035.3886919241118</v>
      </c>
      <c r="AY155" s="47">
        <v>1055.6758774159018</v>
      </c>
      <c r="AZ155" s="47">
        <v>1074.624344230177</v>
      </c>
      <c r="BA155" s="47">
        <v>1105.3772381549329</v>
      </c>
      <c r="BB155" s="47">
        <v>1148.844305500628</v>
      </c>
      <c r="BC155" s="47">
        <v>1166.231467654088</v>
      </c>
      <c r="BD155" s="47">
        <v>1181.8464684180112</v>
      </c>
      <c r="BE155" s="47">
        <v>1181.8230744814446</v>
      </c>
      <c r="BF155" s="47">
        <v>1192.2172204824865</v>
      </c>
      <c r="BG155" s="47">
        <v>1204.1273545598315</v>
      </c>
      <c r="BH155" s="47">
        <v>1211.7377742708727</v>
      </c>
    </row>
    <row r="156" spans="1:60">
      <c r="A156" s="43" t="s">
        <v>299</v>
      </c>
      <c r="B156" s="47">
        <v>449.64762454150639</v>
      </c>
      <c r="C156" s="47">
        <v>455.32131313520432</v>
      </c>
      <c r="D156" s="47">
        <v>461.12296185339414</v>
      </c>
      <c r="E156" s="47">
        <v>467.0094045194129</v>
      </c>
      <c r="F156" s="47">
        <v>460.47409377054294</v>
      </c>
      <c r="G156" s="47">
        <v>462.74571103051176</v>
      </c>
      <c r="H156" s="47">
        <v>468.51771160737758</v>
      </c>
      <c r="I156" s="47">
        <v>452.51635113792469</v>
      </c>
      <c r="J156" s="47">
        <v>448.66138170263173</v>
      </c>
      <c r="K156" s="47">
        <v>486.21177181110119</v>
      </c>
      <c r="L156" s="47">
        <v>507.52026601689795</v>
      </c>
      <c r="M156" s="47">
        <v>524.63933990105397</v>
      </c>
      <c r="N156" s="47">
        <v>539.49050983090308</v>
      </c>
      <c r="O156" s="47">
        <v>552.6302218848557</v>
      </c>
      <c r="P156" s="47">
        <v>564.17793751913712</v>
      </c>
      <c r="Q156" s="47">
        <v>574.72027265154156</v>
      </c>
      <c r="R156" s="47">
        <v>584.74372987697643</v>
      </c>
      <c r="S156" s="47">
        <v>593.77944696122483</v>
      </c>
      <c r="T156" s="47">
        <v>602.37533279580111</v>
      </c>
      <c r="U156" s="47">
        <v>610.73244995659672</v>
      </c>
      <c r="V156" s="47">
        <v>618.95895090247734</v>
      </c>
      <c r="W156" s="47">
        <v>566.35829953568214</v>
      </c>
      <c r="X156" s="47">
        <v>536.16718828872149</v>
      </c>
      <c r="Y156" s="47">
        <v>528.83607175001464</v>
      </c>
      <c r="Z156" s="47">
        <v>511.76799228573555</v>
      </c>
      <c r="AA156" s="47">
        <v>524.74206525615887</v>
      </c>
      <c r="AB156" s="47">
        <v>520.31692614028964</v>
      </c>
      <c r="AC156" s="47">
        <v>517.7603542355572</v>
      </c>
      <c r="AD156" s="47">
        <v>566.55687553587381</v>
      </c>
      <c r="AE156" s="47">
        <v>621.638933217474</v>
      </c>
      <c r="AF156" s="47">
        <v>840.54457558162539</v>
      </c>
      <c r="AG156" s="47">
        <v>904.34780485657734</v>
      </c>
      <c r="AH156" s="47">
        <v>917.12753574284045</v>
      </c>
      <c r="AI156" s="47">
        <v>989.56691817519902</v>
      </c>
      <c r="AJ156" s="47">
        <v>1011.1347201415401</v>
      </c>
      <c r="AK156" s="47">
        <v>1081.3936527292913</v>
      </c>
      <c r="AL156" s="47">
        <v>1094.144822373951</v>
      </c>
      <c r="AM156" s="47">
        <v>1150.8246211535532</v>
      </c>
      <c r="AN156" s="47">
        <v>1166.0975355340206</v>
      </c>
      <c r="AO156" s="47">
        <v>1208.0425685712646</v>
      </c>
      <c r="AP156" s="47">
        <v>1233.4452995694414</v>
      </c>
      <c r="AQ156" s="47">
        <v>1186.1126215342831</v>
      </c>
      <c r="AR156" s="47">
        <v>1143.740168819372</v>
      </c>
      <c r="AS156" s="47">
        <v>1183.6881456558515</v>
      </c>
      <c r="AT156" s="47">
        <v>1241.9894363835845</v>
      </c>
      <c r="AU156" s="47">
        <v>1319.2681895093062</v>
      </c>
      <c r="AV156" s="47">
        <v>1387.5775295903516</v>
      </c>
      <c r="AW156" s="47">
        <v>1475.659346743892</v>
      </c>
      <c r="AX156" s="47">
        <v>1565.0487709913757</v>
      </c>
      <c r="AY156" s="47">
        <v>1680.9810084376186</v>
      </c>
      <c r="AZ156" s="47">
        <v>1775.6062088939693</v>
      </c>
      <c r="BA156" s="47">
        <v>1864.5351117117962</v>
      </c>
      <c r="BB156" s="47">
        <v>1940.632294174437</v>
      </c>
      <c r="BC156" s="47">
        <v>2014.0474355432113</v>
      </c>
      <c r="BD156" s="47">
        <v>2084.9665972479402</v>
      </c>
      <c r="BE156" s="47">
        <v>2203.7212567180072</v>
      </c>
      <c r="BF156" s="47">
        <v>2426.0620246590352</v>
      </c>
      <c r="BG156" s="47">
        <v>2598.9938618503988</v>
      </c>
      <c r="BH156" s="47">
        <v>2735.3758097227619</v>
      </c>
    </row>
    <row r="157" spans="1:60">
      <c r="A157" s="43" t="s">
        <v>300</v>
      </c>
      <c r="B157" s="47">
        <v>771.57705582159588</v>
      </c>
      <c r="C157" s="47">
        <v>790.48633963473821</v>
      </c>
      <c r="D157" s="47">
        <v>808.97464507388383</v>
      </c>
      <c r="E157" s="47">
        <v>826.99950347173751</v>
      </c>
      <c r="F157" s="47">
        <v>845.25408075659129</v>
      </c>
      <c r="G157" s="47">
        <v>863.66074330400875</v>
      </c>
      <c r="H157" s="47">
        <v>881.43347504663063</v>
      </c>
      <c r="I157" s="47">
        <v>899.23759431419023</v>
      </c>
      <c r="J157" s="47">
        <v>916.99909230889409</v>
      </c>
      <c r="K157" s="47">
        <v>934.11207646272101</v>
      </c>
      <c r="L157" s="47">
        <v>925.37937118035768</v>
      </c>
      <c r="M157" s="47">
        <v>942.88084037031308</v>
      </c>
      <c r="N157" s="47">
        <v>900.91731528883167</v>
      </c>
      <c r="O157" s="47">
        <v>881.07874578398105</v>
      </c>
      <c r="P157" s="47">
        <v>877.81358055084729</v>
      </c>
      <c r="Q157" s="47">
        <v>866.0096982117567</v>
      </c>
      <c r="R157" s="47">
        <v>842.77017456416047</v>
      </c>
      <c r="S157" s="47">
        <v>857.86596385180621</v>
      </c>
      <c r="T157" s="47">
        <v>847.40828721917671</v>
      </c>
      <c r="U157" s="47">
        <v>872.02008355422174</v>
      </c>
      <c r="V157" s="47">
        <v>890.52629065972371</v>
      </c>
      <c r="W157" s="47">
        <v>844.13270126506029</v>
      </c>
      <c r="X157" s="47">
        <v>807.99491635348488</v>
      </c>
      <c r="Y157" s="47">
        <v>828.06895834256136</v>
      </c>
      <c r="Z157" s="47">
        <v>787.3706134002947</v>
      </c>
      <c r="AA157" s="47">
        <v>781.79914112306801</v>
      </c>
      <c r="AB157" s="47">
        <v>794.85202958108039</v>
      </c>
      <c r="AC157" s="47">
        <v>837.72521062303349</v>
      </c>
      <c r="AD157" s="47">
        <v>830.63040324112035</v>
      </c>
      <c r="AE157" s="47">
        <v>763.58009668997033</v>
      </c>
      <c r="AF157" s="47">
        <v>736.71920797903101</v>
      </c>
      <c r="AG157" s="47">
        <v>728.47318169274604</v>
      </c>
      <c r="AH157" s="47">
        <v>722.38046490959857</v>
      </c>
      <c r="AI157" s="47">
        <v>660.92961165769736</v>
      </c>
      <c r="AJ157" s="47">
        <v>686.00609552915012</v>
      </c>
      <c r="AK157" s="47">
        <v>673.12125089089545</v>
      </c>
      <c r="AL157" s="47">
        <v>669.71574686332815</v>
      </c>
      <c r="AM157" s="47">
        <v>637.74608238766905</v>
      </c>
      <c r="AN157" s="47">
        <v>632.34993400658334</v>
      </c>
      <c r="AO157" s="47">
        <v>637.62334142246709</v>
      </c>
      <c r="AP157" s="47">
        <v>642.41730416806308</v>
      </c>
      <c r="AQ157" s="47">
        <v>620.51525139726391</v>
      </c>
      <c r="AR157" s="47">
        <v>564.38078372741086</v>
      </c>
      <c r="AS157" s="47">
        <v>549.16272572374112</v>
      </c>
      <c r="AT157" s="47">
        <v>568.8319877418437</v>
      </c>
      <c r="AU157" s="47">
        <v>585.41484753117152</v>
      </c>
      <c r="AV157" s="47">
        <v>530.20789730710192</v>
      </c>
      <c r="AW157" s="47">
        <v>558.58493977173418</v>
      </c>
      <c r="AX157" s="47">
        <v>567.52908883958139</v>
      </c>
      <c r="AY157" s="47">
        <v>575.91549857198834</v>
      </c>
      <c r="AZ157" s="47">
        <v>574.83530904948122</v>
      </c>
      <c r="BA157" s="47">
        <v>568.25670996872839</v>
      </c>
      <c r="BB157" s="47">
        <v>557.05413589259172</v>
      </c>
      <c r="BC157" s="47">
        <v>506.57257271356303</v>
      </c>
      <c r="BD157" s="47">
        <v>505.99341299019608</v>
      </c>
      <c r="BE157" s="47">
        <v>510.10142182819408</v>
      </c>
      <c r="BF157" s="47">
        <v>521.26008071063973</v>
      </c>
      <c r="BG157" s="47">
        <v>532.28113764698833</v>
      </c>
      <c r="BH157" s="47">
        <v>535.73879527397833</v>
      </c>
    </row>
    <row r="158" spans="1:60">
      <c r="A158" s="43" t="s">
        <v>301</v>
      </c>
      <c r="B158" s="47">
        <v>475.50223965389574</v>
      </c>
      <c r="C158" s="47">
        <v>486.30554509330562</v>
      </c>
      <c r="D158" s="47">
        <v>496.93155019530565</v>
      </c>
      <c r="E158" s="47">
        <v>507.36375482978337</v>
      </c>
      <c r="F158" s="47">
        <v>518.30950026566984</v>
      </c>
      <c r="G158" s="47">
        <v>529.36345203432427</v>
      </c>
      <c r="H158" s="47">
        <v>540.49368131299263</v>
      </c>
      <c r="I158" s="47">
        <v>551.66839099022241</v>
      </c>
      <c r="J158" s="47">
        <v>563.19683712463029</v>
      </c>
      <c r="K158" s="47">
        <v>574.00541109585561</v>
      </c>
      <c r="L158" s="47">
        <v>568.64815897693302</v>
      </c>
      <c r="M158" s="47">
        <v>566.3368473355514</v>
      </c>
      <c r="N158" s="47">
        <v>585.95417685976179</v>
      </c>
      <c r="O158" s="47">
        <v>567.08394151709138</v>
      </c>
      <c r="P158" s="47">
        <v>541.97692272656275</v>
      </c>
      <c r="Q158" s="47">
        <v>533.11087988709892</v>
      </c>
      <c r="R158" s="47">
        <v>512.37568601898715</v>
      </c>
      <c r="S158" s="47">
        <v>504.62934488297549</v>
      </c>
      <c r="T158" s="47">
        <v>491.56982936984167</v>
      </c>
      <c r="U158" s="47">
        <v>514.06626138734873</v>
      </c>
      <c r="V158" s="47">
        <v>512.98038923191928</v>
      </c>
      <c r="W158" s="47">
        <v>511.82316772298077</v>
      </c>
      <c r="X158" s="47">
        <v>466.98397563141253</v>
      </c>
      <c r="Y158" s="47">
        <v>434.78228012825826</v>
      </c>
      <c r="Z158" s="47">
        <v>484.00991986097597</v>
      </c>
      <c r="AA158" s="47">
        <v>555.25244440175959</v>
      </c>
      <c r="AB158" s="47">
        <v>535.33354916697419</v>
      </c>
      <c r="AC158" s="47">
        <v>484.77544013936023</v>
      </c>
      <c r="AD158" s="47">
        <v>471.96626616591828</v>
      </c>
      <c r="AE158" s="47">
        <v>362.47828169380796</v>
      </c>
      <c r="AF158" s="47">
        <v>340.74895337444286</v>
      </c>
      <c r="AG158" s="47">
        <v>344.85508113064628</v>
      </c>
      <c r="AH158" s="47">
        <v>346.51235316539032</v>
      </c>
      <c r="AI158" s="47">
        <v>381.60092147469743</v>
      </c>
      <c r="AJ158" s="47">
        <v>385.4592895688786</v>
      </c>
      <c r="AK158" s="47">
        <v>466.04430046178061</v>
      </c>
      <c r="AL158" s="47">
        <v>434.19891833838363</v>
      </c>
      <c r="AM158" s="47">
        <v>409.53223369229846</v>
      </c>
      <c r="AN158" s="47">
        <v>459.11509030853216</v>
      </c>
      <c r="AO158" s="47">
        <v>472.09817542279296</v>
      </c>
      <c r="AP158" s="47">
        <v>434.31287406416021</v>
      </c>
      <c r="AQ158" s="47">
        <v>464.62264737805742</v>
      </c>
      <c r="AR158" s="47">
        <v>457.91853714799561</v>
      </c>
      <c r="AS158" s="47">
        <v>441.51111648588625</v>
      </c>
      <c r="AT158" s="47">
        <v>457.31015125406259</v>
      </c>
      <c r="AU158" s="47">
        <v>440.64082145021206</v>
      </c>
      <c r="AV158" s="47">
        <v>436.10835342504612</v>
      </c>
      <c r="AW158" s="47">
        <v>441.2182084309859</v>
      </c>
      <c r="AX158" s="47">
        <v>461.40576739827981</v>
      </c>
      <c r="AY158" s="47">
        <v>458.05133210433917</v>
      </c>
      <c r="AZ158" s="47">
        <v>448.96713009156235</v>
      </c>
      <c r="BA158" s="47">
        <v>479.13002994837768</v>
      </c>
      <c r="BB158" s="47">
        <v>510.53834353955631</v>
      </c>
      <c r="BC158" s="47">
        <v>564.8464280895613</v>
      </c>
      <c r="BD158" s="47">
        <v>725.46167116691049</v>
      </c>
      <c r="BE158" s="47">
        <v>757.50016647770838</v>
      </c>
      <c r="BF158" s="47">
        <v>739.56195256377498</v>
      </c>
      <c r="BG158" s="47">
        <v>723.26979450337217</v>
      </c>
      <c r="BH158" s="47">
        <v>705.74247500602553</v>
      </c>
    </row>
    <row r="159" spans="1:60">
      <c r="A159" s="43" t="s">
        <v>302</v>
      </c>
      <c r="B159" s="47">
        <v>560.30522440330981</v>
      </c>
      <c r="C159" s="47">
        <v>580.94215410549589</v>
      </c>
      <c r="D159" s="47">
        <v>587.40808234808026</v>
      </c>
      <c r="E159" s="47">
        <v>597.90050559608483</v>
      </c>
      <c r="F159" s="47">
        <v>618.87438895781543</v>
      </c>
      <c r="G159" s="47">
        <v>625.30358065187625</v>
      </c>
      <c r="H159" s="47">
        <v>635.40350199255522</v>
      </c>
      <c r="I159" s="47">
        <v>645.00842459983153</v>
      </c>
      <c r="J159" s="47">
        <v>648.88119086756171</v>
      </c>
      <c r="K159" s="47">
        <v>671.06739956201966</v>
      </c>
      <c r="L159" s="47">
        <v>712.10156237532658</v>
      </c>
      <c r="M159" s="47">
        <v>703.24041332011836</v>
      </c>
      <c r="N159" s="47">
        <v>749.12362454293827</v>
      </c>
      <c r="O159" s="47">
        <v>887.25086214226644</v>
      </c>
      <c r="P159" s="47">
        <v>932.19964955685714</v>
      </c>
      <c r="Q159" s="47">
        <v>912.90262742945947</v>
      </c>
      <c r="R159" s="47">
        <v>983.78034096916576</v>
      </c>
      <c r="S159" s="47">
        <v>999.0970363864825</v>
      </c>
      <c r="T159" s="47">
        <v>973.4632278391299</v>
      </c>
      <c r="U159" s="47">
        <v>962.70287502340068</v>
      </c>
      <c r="V159" s="47">
        <v>1008.8201529766452</v>
      </c>
      <c r="W159" s="47">
        <v>1154.1639204764115</v>
      </c>
      <c r="X159" s="47">
        <v>1031.8750134804854</v>
      </c>
      <c r="Y159" s="47">
        <v>889.20732001161332</v>
      </c>
      <c r="Z159" s="47">
        <v>1054.9310689132055</v>
      </c>
      <c r="AA159" s="47">
        <v>804.06198852469993</v>
      </c>
      <c r="AB159" s="47">
        <v>691.56774366324669</v>
      </c>
      <c r="AC159" s="47">
        <v>624.48065964037755</v>
      </c>
      <c r="AD159" s="47">
        <v>626.9937365872471</v>
      </c>
      <c r="AE159" s="47">
        <v>623.54297079728553</v>
      </c>
      <c r="AF159" s="47">
        <v>643.48136853843278</v>
      </c>
      <c r="AG159" s="47">
        <v>664.13582195815263</v>
      </c>
      <c r="AH159" s="47">
        <v>674.46352184074203</v>
      </c>
      <c r="AI159" s="47">
        <v>683.0201938463091</v>
      </c>
      <c r="AJ159" s="47">
        <v>687.18058107332774</v>
      </c>
      <c r="AK159" s="47">
        <v>690.31456550335349</v>
      </c>
      <c r="AL159" s="47">
        <v>690.29485486833107</v>
      </c>
      <c r="AM159" s="47">
        <v>700.5399568268906</v>
      </c>
      <c r="AN159" s="47">
        <v>712.03172796534386</v>
      </c>
      <c r="AO159" s="47">
        <v>693.98134499947889</v>
      </c>
      <c r="AP159" s="47">
        <v>685.09749822899971</v>
      </c>
      <c r="AQ159" s="47">
        <v>629.90249923562101</v>
      </c>
      <c r="AR159" s="47">
        <v>663.91186403388144</v>
      </c>
      <c r="AS159" s="47">
        <v>663.99660799699211</v>
      </c>
      <c r="AT159" s="47">
        <v>610.34960749271647</v>
      </c>
      <c r="AU159" s="47">
        <v>643.85281524643472</v>
      </c>
      <c r="AV159" s="47">
        <v>616.80801850424052</v>
      </c>
      <c r="AW159" s="47">
        <v>624.85562048163126</v>
      </c>
      <c r="AX159" s="47">
        <v>611.64326319946372</v>
      </c>
      <c r="AY159" s="47">
        <v>605.77877315544822</v>
      </c>
      <c r="AZ159" s="47">
        <v>580.68596986654597</v>
      </c>
      <c r="BA159" s="47">
        <v>576.73897699247391</v>
      </c>
      <c r="BB159" s="47">
        <v>572.66500723965703</v>
      </c>
      <c r="BC159" s="47">
        <v>570.05520534620189</v>
      </c>
      <c r="BD159" s="47">
        <v>576.45724097752429</v>
      </c>
      <c r="BE159" s="47">
        <v>583.64773881168128</v>
      </c>
      <c r="BF159" s="47">
        <v>572.77579299072852</v>
      </c>
      <c r="BG159" s="47">
        <v>559.44685044074004</v>
      </c>
      <c r="BH159" s="47">
        <v>549.34918520036899</v>
      </c>
    </row>
    <row r="160" spans="1:60">
      <c r="A160" s="45" t="s">
        <v>303</v>
      </c>
      <c r="B160" s="47">
        <v>1198.2070919401388</v>
      </c>
      <c r="C160" s="47">
        <v>1221.9629379804726</v>
      </c>
      <c r="D160" s="47">
        <v>1245.0150764797461</v>
      </c>
      <c r="E160" s="47">
        <v>1267.2945736130016</v>
      </c>
      <c r="F160" s="47">
        <v>1289.8519270931511</v>
      </c>
      <c r="G160" s="47">
        <v>1312.5620254481637</v>
      </c>
      <c r="H160" s="47">
        <v>1334.2245896904312</v>
      </c>
      <c r="I160" s="47">
        <v>1355.9706868102687</v>
      </c>
      <c r="J160" s="47">
        <v>1377.688921946971</v>
      </c>
      <c r="K160" s="47">
        <v>1399.2679866803762</v>
      </c>
      <c r="L160" s="47">
        <v>1415.6619798831466</v>
      </c>
      <c r="M160" s="47">
        <v>1430.1361753369051</v>
      </c>
      <c r="N160" s="47">
        <v>1443.6682674990373</v>
      </c>
      <c r="O160" s="47">
        <v>1458.0787493939847</v>
      </c>
      <c r="P160" s="47">
        <v>1472.3116798632639</v>
      </c>
      <c r="Q160" s="47">
        <v>1486.2840948404587</v>
      </c>
      <c r="R160" s="47">
        <v>1526.5772251777464</v>
      </c>
      <c r="S160" s="47">
        <v>1568.5178931337937</v>
      </c>
      <c r="T160" s="47">
        <v>1610.1655668763317</v>
      </c>
      <c r="U160" s="47">
        <v>1653.1108949253551</v>
      </c>
      <c r="V160" s="47">
        <v>1696.3050141814433</v>
      </c>
      <c r="W160" s="47">
        <v>1786.3825205909288</v>
      </c>
      <c r="X160" s="47">
        <v>1882.0018929291859</v>
      </c>
      <c r="Y160" s="47">
        <v>1980.9602516404868</v>
      </c>
      <c r="Z160" s="47">
        <v>2083.9052739725025</v>
      </c>
      <c r="AA160" s="47">
        <v>2191.1143921324583</v>
      </c>
      <c r="AB160" s="47">
        <v>2140.5412417803805</v>
      </c>
      <c r="AC160" s="47">
        <v>1908.8112786731658</v>
      </c>
      <c r="AD160" s="47">
        <v>1823.659622354397</v>
      </c>
      <c r="AE160" s="47">
        <v>2042.5858518742407</v>
      </c>
      <c r="AF160" s="47">
        <v>2324.0005635270686</v>
      </c>
      <c r="AG160" s="47">
        <v>2724.8713837087562</v>
      </c>
      <c r="AH160" s="47">
        <v>2857.3367683189526</v>
      </c>
      <c r="AI160" s="47">
        <v>2913.038275854085</v>
      </c>
      <c r="AJ160" s="47">
        <v>3008.1324159747983</v>
      </c>
      <c r="AK160" s="47">
        <v>2787.0631028487401</v>
      </c>
      <c r="AL160" s="47">
        <v>2519.0627866987561</v>
      </c>
      <c r="AM160" s="47">
        <v>2459.6699241970014</v>
      </c>
      <c r="AN160" s="47">
        <v>2389.1582745452474</v>
      </c>
      <c r="AO160" s="47">
        <v>2401.8085139369277</v>
      </c>
      <c r="AP160" s="47">
        <v>2380.4049512776028</v>
      </c>
      <c r="AQ160" s="47">
        <v>2363.0759120921061</v>
      </c>
      <c r="AR160" s="47">
        <v>2351.0923121792803</v>
      </c>
      <c r="AS160" s="47">
        <v>2254.1330686313072</v>
      </c>
      <c r="AT160" s="47">
        <v>2062.4115859209769</v>
      </c>
      <c r="AU160" s="47">
        <v>2080.7164078341284</v>
      </c>
      <c r="AV160" s="47">
        <v>2105.6323743815092</v>
      </c>
      <c r="AW160" s="47">
        <v>2039.630054783835</v>
      </c>
      <c r="AX160" s="47">
        <v>2058.3369068349079</v>
      </c>
      <c r="AY160" s="47">
        <v>1934.5177516395458</v>
      </c>
      <c r="AZ160" s="47">
        <v>2004.2262401250541</v>
      </c>
      <c r="BA160" s="47">
        <v>1989.2061261993108</v>
      </c>
      <c r="BB160" s="47">
        <v>2039.6820702247553</v>
      </c>
      <c r="BC160" s="47">
        <v>2005.4167046203077</v>
      </c>
      <c r="BD160" s="47">
        <v>2022.6945933804489</v>
      </c>
      <c r="BE160" s="47">
        <v>2119.8656382543631</v>
      </c>
      <c r="BF160" s="47">
        <v>2190.3016585062428</v>
      </c>
      <c r="BG160" s="47">
        <v>2099.7640395420494</v>
      </c>
      <c r="BH160" s="47">
        <v>2159.0213597404359</v>
      </c>
    </row>
    <row r="161" spans="1:60">
      <c r="A161" s="43" t="s">
        <v>57</v>
      </c>
      <c r="B161" s="47">
        <v>1040.8779026075442</v>
      </c>
      <c r="C161" s="47">
        <v>1058.0168966276985</v>
      </c>
      <c r="D161" s="47">
        <v>1075.0691773769474</v>
      </c>
      <c r="E161" s="47">
        <v>1092.0115080451797</v>
      </c>
      <c r="F161" s="47">
        <v>1109.7833745764581</v>
      </c>
      <c r="G161" s="47">
        <v>1127.1788652686548</v>
      </c>
      <c r="H161" s="47">
        <v>1144.2932520046313</v>
      </c>
      <c r="I161" s="47">
        <v>1162.0143089969893</v>
      </c>
      <c r="J161" s="47">
        <v>1178.9576959951701</v>
      </c>
      <c r="K161" s="47">
        <v>1190.6950940346044</v>
      </c>
      <c r="L161" s="47">
        <v>1256.2958674013264</v>
      </c>
      <c r="M161" s="47">
        <v>1325.8077468690237</v>
      </c>
      <c r="N161" s="47">
        <v>1334.8774528039735</v>
      </c>
      <c r="O161" s="47">
        <v>1492.4834376546276</v>
      </c>
      <c r="P161" s="47">
        <v>1688.0937090969187</v>
      </c>
      <c r="Q161" s="47">
        <v>1580.7399413596479</v>
      </c>
      <c r="R161" s="47">
        <v>1628.3430175816291</v>
      </c>
      <c r="S161" s="47">
        <v>1573.6682066862631</v>
      </c>
      <c r="T161" s="47">
        <v>1729.6181513952399</v>
      </c>
      <c r="U161" s="47">
        <v>1716.9604674903694</v>
      </c>
      <c r="V161" s="47">
        <v>1807.9878318474327</v>
      </c>
      <c r="W161" s="47">
        <v>1803.4456973160184</v>
      </c>
      <c r="X161" s="47">
        <v>1811.4218944544953</v>
      </c>
      <c r="Y161" s="47">
        <v>1865.9314372963911</v>
      </c>
      <c r="Z161" s="47">
        <v>1839.0728417148191</v>
      </c>
      <c r="AA161" s="47">
        <v>1763.653760352692</v>
      </c>
      <c r="AB161" s="47">
        <v>1893.1936343552711</v>
      </c>
      <c r="AC161" s="47">
        <v>1902.6355794981062</v>
      </c>
      <c r="AD161" s="47">
        <v>2009.1675826586509</v>
      </c>
      <c r="AE161" s="47">
        <v>1968.6149010015511</v>
      </c>
      <c r="AF161" s="47">
        <v>2040.9883340183471</v>
      </c>
      <c r="AG161" s="47">
        <v>2034.4192509238628</v>
      </c>
      <c r="AH161" s="47">
        <v>1964.1599527204037</v>
      </c>
      <c r="AI161" s="47">
        <v>1819.5267101288239</v>
      </c>
      <c r="AJ161" s="47">
        <v>1696.3658834255348</v>
      </c>
      <c r="AK161" s="47">
        <v>1716.2997029808741</v>
      </c>
      <c r="AL161" s="47">
        <v>1704.8267329592099</v>
      </c>
      <c r="AM161" s="47">
        <v>1618.1899722992641</v>
      </c>
      <c r="AN161" s="47">
        <v>1532.8630547932387</v>
      </c>
      <c r="AO161" s="47">
        <v>1470.3079140416667</v>
      </c>
      <c r="AP161" s="47">
        <v>1307.3541593596669</v>
      </c>
      <c r="AQ161" s="47">
        <v>1252.3463279794569</v>
      </c>
      <c r="AR161" s="47">
        <v>1214.213142299727</v>
      </c>
      <c r="AS161" s="47">
        <v>1173.4546280433283</v>
      </c>
      <c r="AT161" s="47">
        <v>1153.6949704932274</v>
      </c>
      <c r="AU161" s="47">
        <v>1196.8327113822061</v>
      </c>
      <c r="AV161" s="47">
        <v>1252.2369436990057</v>
      </c>
      <c r="AW161" s="47">
        <v>1289.4747444765576</v>
      </c>
      <c r="AX161" s="47">
        <v>1321.1297622651985</v>
      </c>
      <c r="AY161" s="47">
        <v>1308.6929367769512</v>
      </c>
      <c r="AZ161" s="47">
        <v>1246.2259939217906</v>
      </c>
      <c r="BA161" s="47">
        <v>1216.7430498398471</v>
      </c>
      <c r="BB161" s="47">
        <v>1172.9654502396247</v>
      </c>
      <c r="BC161" s="47">
        <v>1128.7356367643044</v>
      </c>
      <c r="BD161" s="47">
        <v>1119.7348951977854</v>
      </c>
      <c r="BE161" s="47">
        <v>1115.9323362561943</v>
      </c>
      <c r="BF161" s="47">
        <v>1100.0787041868653</v>
      </c>
      <c r="BG161" s="47">
        <v>1093.9411450346074</v>
      </c>
      <c r="BH161" s="47">
        <v>1095.0661960528262</v>
      </c>
    </row>
    <row r="162" spans="1:60">
      <c r="A162" s="43" t="s">
        <v>304</v>
      </c>
      <c r="B162" s="47">
        <v>1499.5815375278542</v>
      </c>
      <c r="C162" s="47">
        <v>1545.5161954570667</v>
      </c>
      <c r="D162" s="47">
        <v>1553.9672225031948</v>
      </c>
      <c r="E162" s="47">
        <v>1574.8937415528685</v>
      </c>
      <c r="F162" s="47">
        <v>1622.2029774181576</v>
      </c>
      <c r="G162" s="47">
        <v>1631.7956958183142</v>
      </c>
      <c r="H162" s="47">
        <v>1651.3623956069725</v>
      </c>
      <c r="I162" s="47">
        <v>1667.735112050307</v>
      </c>
      <c r="J162" s="47">
        <v>1664.6325519942482</v>
      </c>
      <c r="K162" s="47">
        <v>1711.3688944627852</v>
      </c>
      <c r="L162" s="47">
        <v>1771.4852327884937</v>
      </c>
      <c r="M162" s="47">
        <v>1783.1324572453727</v>
      </c>
      <c r="N162" s="47">
        <v>1758.556456655444</v>
      </c>
      <c r="O162" s="47">
        <v>1773.9358115937082</v>
      </c>
      <c r="P162" s="47">
        <v>1757.8252816863489</v>
      </c>
      <c r="Q162" s="47">
        <v>1754.4422115118011</v>
      </c>
      <c r="R162" s="47">
        <v>1761.4115062918572</v>
      </c>
      <c r="S162" s="47">
        <v>1758.0099982765571</v>
      </c>
      <c r="T162" s="47">
        <v>1746.0926219698727</v>
      </c>
      <c r="U162" s="47">
        <v>1742.0879205103874</v>
      </c>
      <c r="V162" s="47">
        <v>2069.0793243432731</v>
      </c>
      <c r="W162" s="47">
        <v>2141.7901921538923</v>
      </c>
      <c r="X162" s="47">
        <v>2150.4482205166341</v>
      </c>
      <c r="Y162" s="47">
        <v>2185.0187358609214</v>
      </c>
      <c r="Z162" s="47">
        <v>2080.0099173071731</v>
      </c>
      <c r="AA162" s="47">
        <v>2065.4445013646109</v>
      </c>
      <c r="AB162" s="47">
        <v>2154.3700303294904</v>
      </c>
      <c r="AC162" s="47">
        <v>1793.9324745785214</v>
      </c>
      <c r="AD162" s="47">
        <v>1724.0677255269404</v>
      </c>
      <c r="AE162" s="47">
        <v>1687.3856499676506</v>
      </c>
      <c r="AF162" s="47">
        <v>1661.2588488239314</v>
      </c>
      <c r="AG162" s="47">
        <v>1673.5997894290808</v>
      </c>
      <c r="AH162" s="47">
        <v>1676.1751598395567</v>
      </c>
      <c r="AI162" s="47">
        <v>1642.6725154915787</v>
      </c>
      <c r="AJ162" s="47">
        <v>1801.6289086767931</v>
      </c>
      <c r="AK162" s="47">
        <v>1758.4144567660546</v>
      </c>
      <c r="AL162" s="47">
        <v>1716.6648779521488</v>
      </c>
      <c r="AM162" s="47">
        <v>1676.5445114290906</v>
      </c>
      <c r="AN162" s="47">
        <v>1596.6907240713849</v>
      </c>
      <c r="AO162" s="47">
        <v>1502.2479307029528</v>
      </c>
      <c r="AP162" s="47">
        <v>1447.7393413605471</v>
      </c>
      <c r="AQ162" s="47">
        <v>1419.5407046934256</v>
      </c>
      <c r="AR162" s="47">
        <v>1383.7729984693719</v>
      </c>
      <c r="AS162" s="47">
        <v>1299.0273476954062</v>
      </c>
      <c r="AT162" s="47">
        <v>1256.9929548774307</v>
      </c>
      <c r="AU162" s="47">
        <v>1194.5300782185136</v>
      </c>
      <c r="AV162" s="47">
        <v>1121.7836359812102</v>
      </c>
      <c r="AW162" s="47">
        <v>1103.1136039511089</v>
      </c>
      <c r="AX162" s="47">
        <v>1091.8944012581655</v>
      </c>
      <c r="AY162" s="47">
        <v>1106.6641344690709</v>
      </c>
      <c r="AZ162" s="47">
        <v>1102.543509848615</v>
      </c>
      <c r="BA162" s="47">
        <v>1105.5831951354337</v>
      </c>
      <c r="BB162" s="47">
        <v>1110.8230371734583</v>
      </c>
      <c r="BC162" s="47">
        <v>1124.4066239362983</v>
      </c>
      <c r="BD162" s="47">
        <v>1130.8631398586422</v>
      </c>
      <c r="BE162" s="47">
        <v>1143.2694990381854</v>
      </c>
      <c r="BF162" s="47">
        <v>1173.6172486794237</v>
      </c>
      <c r="BG162" s="47">
        <v>1208.7659708203896</v>
      </c>
      <c r="BH162" s="47">
        <v>1254.3928442320646</v>
      </c>
    </row>
    <row r="163" spans="1:60">
      <c r="A163" s="43" t="s">
        <v>305</v>
      </c>
      <c r="B163" s="47">
        <v>909.90258457362938</v>
      </c>
      <c r="C163" s="47">
        <v>904.65416858636911</v>
      </c>
      <c r="D163" s="47">
        <v>900.02274996604729</v>
      </c>
      <c r="E163" s="47">
        <v>894.2667668850529</v>
      </c>
      <c r="F163" s="47">
        <v>889.11681808698165</v>
      </c>
      <c r="G163" s="47">
        <v>884.5283614030044</v>
      </c>
      <c r="H163" s="47">
        <v>904.93831042644649</v>
      </c>
      <c r="I163" s="47">
        <v>925.4554292854051</v>
      </c>
      <c r="J163" s="47">
        <v>946.78081502843509</v>
      </c>
      <c r="K163" s="47">
        <v>968.81277322234746</v>
      </c>
      <c r="L163" s="47">
        <v>991.45518493741201</v>
      </c>
      <c r="M163" s="47">
        <v>1030.866796908608</v>
      </c>
      <c r="N163" s="47">
        <v>1074.1589238226998</v>
      </c>
      <c r="O163" s="47">
        <v>1120.3014860307064</v>
      </c>
      <c r="P163" s="47">
        <v>1166.4236470037554</v>
      </c>
      <c r="Q163" s="47">
        <v>1213.4100784277878</v>
      </c>
      <c r="R163" s="47">
        <v>1192.0140587058365</v>
      </c>
      <c r="S163" s="47">
        <v>1151.2602926552497</v>
      </c>
      <c r="T163" s="47">
        <v>1145.7749308460411</v>
      </c>
      <c r="U163" s="47">
        <v>1201.1659215558284</v>
      </c>
      <c r="V163" s="47">
        <v>1254.1046238032579</v>
      </c>
      <c r="W163" s="47">
        <v>1283.0724760560147</v>
      </c>
      <c r="X163" s="47">
        <v>1283.9191997277044</v>
      </c>
      <c r="Y163" s="47">
        <v>1294.3572852395032</v>
      </c>
      <c r="Z163" s="47">
        <v>1316.520685652124</v>
      </c>
      <c r="AA163" s="47">
        <v>1420.7830349856781</v>
      </c>
      <c r="AB163" s="47">
        <v>1606.4254653343646</v>
      </c>
      <c r="AC163" s="47">
        <v>1766.9635845842497</v>
      </c>
      <c r="AD163" s="47">
        <v>1843.9380852089455</v>
      </c>
      <c r="AE163" s="47">
        <v>1929.8250582240885</v>
      </c>
      <c r="AF163" s="47">
        <v>2069.2899336550095</v>
      </c>
      <c r="AG163" s="47">
        <v>2075.58878233837</v>
      </c>
      <c r="AH163" s="47">
        <v>2222.5729463753019</v>
      </c>
      <c r="AI163" s="47">
        <v>2321.8455380669734</v>
      </c>
      <c r="AJ163" s="47">
        <v>2389.6179214006106</v>
      </c>
      <c r="AK163" s="47">
        <v>2470.8832633646552</v>
      </c>
      <c r="AL163" s="47">
        <v>2460.2595144495422</v>
      </c>
      <c r="AM163" s="47">
        <v>2464.979711094888</v>
      </c>
      <c r="AN163" s="47">
        <v>2510.2896154684126</v>
      </c>
      <c r="AO163" s="47">
        <v>2527.7579543550978</v>
      </c>
      <c r="AP163" s="47">
        <v>2522.792459567399</v>
      </c>
      <c r="AQ163" s="47">
        <v>2381.320445145765</v>
      </c>
      <c r="AR163" s="47">
        <v>2407.5087635280311</v>
      </c>
      <c r="AS163" s="47">
        <v>2394.5319024783107</v>
      </c>
      <c r="AT163" s="47">
        <v>2437.1294079744398</v>
      </c>
      <c r="AU163" s="47">
        <v>2496.2293801413261</v>
      </c>
      <c r="AV163" s="47">
        <v>2564.6208867828045</v>
      </c>
      <c r="AW163" s="47">
        <v>2647.0401313627167</v>
      </c>
      <c r="AX163" s="47">
        <v>2737.9489468065508</v>
      </c>
      <c r="AY163" s="47">
        <v>2843.1813242881308</v>
      </c>
      <c r="AZ163" s="47">
        <v>2935.8421493122069</v>
      </c>
      <c r="BA163" s="47">
        <v>2978.74744099697</v>
      </c>
      <c r="BB163" s="47">
        <v>3014.6359851077536</v>
      </c>
      <c r="BC163" s="47">
        <v>3052.2770155073704</v>
      </c>
      <c r="BD163" s="47">
        <v>3118.7780528175103</v>
      </c>
      <c r="BE163" s="47">
        <v>3200.4895600524605</v>
      </c>
      <c r="BF163" s="47">
        <v>3358.0104551824488</v>
      </c>
      <c r="BG163" s="47">
        <v>3534.435461011059</v>
      </c>
      <c r="BH163" s="47">
        <v>3725.0018255853556</v>
      </c>
    </row>
    <row r="164" spans="1:60">
      <c r="A164" s="43" t="s">
        <v>306</v>
      </c>
      <c r="B164" s="47">
        <v>539.76250449802092</v>
      </c>
      <c r="C164" s="47">
        <v>560.5800134539204</v>
      </c>
      <c r="D164" s="47">
        <v>571.52338636824538</v>
      </c>
      <c r="E164" s="47">
        <v>586.62495111458747</v>
      </c>
      <c r="F164" s="47">
        <v>610.19382627422829</v>
      </c>
      <c r="G164" s="47">
        <v>619.74599267814381</v>
      </c>
      <c r="H164" s="47">
        <v>636.49006247193552</v>
      </c>
      <c r="I164" s="47">
        <v>648.28569220597456</v>
      </c>
      <c r="J164" s="47">
        <v>659.58040538826458</v>
      </c>
      <c r="K164" s="47">
        <v>687.03338982274533</v>
      </c>
      <c r="L164" s="47">
        <v>746.30843861613096</v>
      </c>
      <c r="M164" s="47">
        <v>806.36057219346208</v>
      </c>
      <c r="N164" s="47">
        <v>886.76671214188264</v>
      </c>
      <c r="O164" s="47">
        <v>1006.3134187102416</v>
      </c>
      <c r="P164" s="47">
        <v>1144.569455097507</v>
      </c>
      <c r="Q164" s="47">
        <v>1285.4334679412893</v>
      </c>
      <c r="R164" s="47">
        <v>1322.4159251645217</v>
      </c>
      <c r="S164" s="47">
        <v>1393.0363574792971</v>
      </c>
      <c r="T164" s="47">
        <v>1423.8145320206395</v>
      </c>
      <c r="U164" s="47">
        <v>1363.8168888489236</v>
      </c>
      <c r="V164" s="47">
        <v>1309.0021631815409</v>
      </c>
      <c r="W164" s="47">
        <v>1186.1357158237802</v>
      </c>
      <c r="X164" s="47">
        <v>1023.0436990954707</v>
      </c>
      <c r="Y164" s="47">
        <v>1065.2375037320171</v>
      </c>
      <c r="Z164" s="47">
        <v>1128.2166175905775</v>
      </c>
      <c r="AA164" s="47">
        <v>1294.0007126380738</v>
      </c>
      <c r="AB164" s="47">
        <v>1451.7211018405937</v>
      </c>
      <c r="AC164" s="47">
        <v>1458.4144284416761</v>
      </c>
      <c r="AD164" s="47">
        <v>1572.4805623930483</v>
      </c>
      <c r="AE164" s="47">
        <v>1540.9016760129959</v>
      </c>
      <c r="AF164" s="47">
        <v>1476.5105914245203</v>
      </c>
      <c r="AG164" s="47">
        <v>1423.956317288375</v>
      </c>
      <c r="AH164" s="47">
        <v>1411.6427247857139</v>
      </c>
      <c r="AI164" s="47">
        <v>1395.3007073306696</v>
      </c>
      <c r="AJ164" s="47">
        <v>1678.1243146864481</v>
      </c>
      <c r="AK164" s="47">
        <v>1399.1648062387374</v>
      </c>
      <c r="AL164" s="47">
        <v>1420.6461242435958</v>
      </c>
      <c r="AM164" s="47">
        <v>1465.8261039685342</v>
      </c>
      <c r="AN164" s="47">
        <v>1529.9346791829353</v>
      </c>
      <c r="AO164" s="47">
        <v>1550.4219362555095</v>
      </c>
      <c r="AP164" s="47">
        <v>1552.1422797089733</v>
      </c>
      <c r="AQ164" s="47">
        <v>1581.112652309919</v>
      </c>
      <c r="AR164" s="47">
        <v>1703.9773075117851</v>
      </c>
      <c r="AS164" s="47">
        <v>1761.594267623386</v>
      </c>
      <c r="AT164" s="47">
        <v>1800.0062734803098</v>
      </c>
      <c r="AU164" s="47">
        <v>1998.9160807167946</v>
      </c>
      <c r="AV164" s="47">
        <v>2509.0096254732903</v>
      </c>
      <c r="AW164" s="47">
        <v>4177.1427811256999</v>
      </c>
      <c r="AX164" s="47">
        <v>4951.9458690686542</v>
      </c>
      <c r="AY164" s="47">
        <v>6805.7411137961799</v>
      </c>
      <c r="AZ164" s="47">
        <v>7676.7660325992965</v>
      </c>
      <c r="BA164" s="47">
        <v>10477.96188717957</v>
      </c>
      <c r="BB164" s="47">
        <v>11154.764922306456</v>
      </c>
      <c r="BC164" s="47">
        <v>12824.507815430086</v>
      </c>
      <c r="BD164" s="47">
        <v>16415.94806089787</v>
      </c>
      <c r="BE164" s="47">
        <v>17506.064537966828</v>
      </c>
      <c r="BF164" s="47">
        <v>17243.359532360228</v>
      </c>
      <c r="BG164" s="47">
        <v>20361.376076883702</v>
      </c>
      <c r="BH164" s="47">
        <v>22048.506064474688</v>
      </c>
    </row>
    <row r="165" spans="1:60">
      <c r="A165" s="43" t="s">
        <v>307</v>
      </c>
      <c r="B165" s="47">
        <v>390.07455073916731</v>
      </c>
      <c r="C165" s="47">
        <v>394.51289512445317</v>
      </c>
      <c r="D165" s="47">
        <v>398.94780054076375</v>
      </c>
      <c r="E165" s="47">
        <v>414.86658334798909</v>
      </c>
      <c r="F165" s="47">
        <v>407.74304909644025</v>
      </c>
      <c r="G165" s="47">
        <v>422.1052568690252</v>
      </c>
      <c r="H165" s="47">
        <v>428.30120654405016</v>
      </c>
      <c r="I165" s="47">
        <v>417.4086302812841</v>
      </c>
      <c r="J165" s="47">
        <v>423.25045632193496</v>
      </c>
      <c r="K165" s="47">
        <v>426.61833789479743</v>
      </c>
      <c r="L165" s="47">
        <v>440.03815896318702</v>
      </c>
      <c r="M165" s="47">
        <v>452.70380959191675</v>
      </c>
      <c r="N165" s="47">
        <v>462.08182732178142</v>
      </c>
      <c r="O165" s="47">
        <v>512.95013006139095</v>
      </c>
      <c r="P165" s="47">
        <v>527.4222486827565</v>
      </c>
      <c r="Q165" s="47">
        <v>547.19085545005089</v>
      </c>
      <c r="R165" s="47">
        <v>556.84331039491008</v>
      </c>
      <c r="S165" s="47">
        <v>568.56692821559579</v>
      </c>
      <c r="T165" s="47">
        <v>566.23322147189674</v>
      </c>
      <c r="U165" s="47">
        <v>574.80144103580983</v>
      </c>
      <c r="V165" s="47">
        <v>594.74758642110442</v>
      </c>
      <c r="W165" s="47">
        <v>606.73572737830011</v>
      </c>
      <c r="X165" s="47">
        <v>623.78599163277863</v>
      </c>
      <c r="Y165" s="47">
        <v>630.01660983151191</v>
      </c>
      <c r="Z165" s="47">
        <v>623.09843640464965</v>
      </c>
      <c r="AA165" s="47">
        <v>609.6672387976671</v>
      </c>
      <c r="AB165" s="47">
        <v>610.83041912618478</v>
      </c>
      <c r="AC165" s="47">
        <v>613.39158347190119</v>
      </c>
      <c r="AD165" s="47">
        <v>596.5678871768099</v>
      </c>
      <c r="AE165" s="47">
        <v>627.15839156756977</v>
      </c>
      <c r="AF165" s="47">
        <v>648.17048730069973</v>
      </c>
      <c r="AG165" s="47">
        <v>632.71967078243131</v>
      </c>
      <c r="AH165" s="47">
        <v>614.84180823166116</v>
      </c>
      <c r="AI165" s="47">
        <v>627.2813320006411</v>
      </c>
      <c r="AJ165" s="47">
        <v>599.78185053515369</v>
      </c>
      <c r="AK165" s="47">
        <v>551.56289893341932</v>
      </c>
      <c r="AL165" s="47">
        <v>576.87240480171965</v>
      </c>
      <c r="AM165" s="47">
        <v>614.5032189460386</v>
      </c>
      <c r="AN165" s="47">
        <v>607.80160626925078</v>
      </c>
      <c r="AO165" s="47">
        <v>599.74875492436433</v>
      </c>
      <c r="AP165" s="47">
        <v>574.22746148481792</v>
      </c>
      <c r="AQ165" s="47">
        <v>530.06376467637165</v>
      </c>
      <c r="AR165" s="47">
        <v>488.74218041504304</v>
      </c>
      <c r="AS165" s="47">
        <v>541.66378998866435</v>
      </c>
      <c r="AT165" s="47">
        <v>537.06722719988329</v>
      </c>
      <c r="AU165" s="47">
        <v>553.94994740755942</v>
      </c>
      <c r="AV165" s="47">
        <v>594.47498125827997</v>
      </c>
      <c r="AW165" s="47">
        <v>605.31707001949212</v>
      </c>
      <c r="AX165" s="47">
        <v>580.15369292698733</v>
      </c>
      <c r="AY165" s="47">
        <v>597.25375740636014</v>
      </c>
      <c r="AZ165" s="47">
        <v>611.06992793480526</v>
      </c>
      <c r="BA165" s="47">
        <v>638.5171923014509</v>
      </c>
      <c r="BB165" s="47">
        <v>628.7976906400927</v>
      </c>
      <c r="BC165" s="47">
        <v>587.3357808743707</v>
      </c>
      <c r="BD165" s="47">
        <v>643.04976302458829</v>
      </c>
      <c r="BE165" s="47">
        <v>697.67771596837986</v>
      </c>
      <c r="BF165" s="47">
        <v>749.00394529631581</v>
      </c>
      <c r="BG165" s="47">
        <v>805.40743819609361</v>
      </c>
      <c r="BH165" s="47">
        <v>867.00418995047914</v>
      </c>
    </row>
    <row r="166" spans="1:60">
      <c r="A166" s="43" t="s">
        <v>61</v>
      </c>
      <c r="B166" s="47">
        <v>3108.3773176667414</v>
      </c>
      <c r="C166" s="47">
        <v>3204.4274008780376</v>
      </c>
      <c r="D166" s="47">
        <v>3302.3084407773772</v>
      </c>
      <c r="E166" s="47">
        <v>3401.3027750901633</v>
      </c>
      <c r="F166" s="47">
        <v>3504.3388151000277</v>
      </c>
      <c r="G166" s="47">
        <v>3610.8890815089349</v>
      </c>
      <c r="H166" s="47">
        <v>3717.7659860774411</v>
      </c>
      <c r="I166" s="47">
        <v>3827.4207580473867</v>
      </c>
      <c r="J166" s="47">
        <v>3939.2072084713768</v>
      </c>
      <c r="K166" s="47">
        <v>4052.451538452573</v>
      </c>
      <c r="L166" s="47">
        <v>4184.2069862005383</v>
      </c>
      <c r="M166" s="47">
        <v>4638.8831407992293</v>
      </c>
      <c r="N166" s="47">
        <v>4725.1639850292731</v>
      </c>
      <c r="O166" s="47">
        <v>4832.0979818323995</v>
      </c>
      <c r="P166" s="47">
        <v>4850.581382853602</v>
      </c>
      <c r="Q166" s="47">
        <v>4860.1171000537051</v>
      </c>
      <c r="R166" s="47">
        <v>5002.8355425327445</v>
      </c>
      <c r="S166" s="47">
        <v>5129.7579210944477</v>
      </c>
      <c r="T166" s="47">
        <v>5176.1744768499993</v>
      </c>
      <c r="U166" s="47">
        <v>5518.2057674265143</v>
      </c>
      <c r="V166" s="47">
        <v>5869.3553069434856</v>
      </c>
      <c r="W166" s="47">
        <v>6332.4274246152818</v>
      </c>
      <c r="X166" s="47">
        <v>6891.6744578628695</v>
      </c>
      <c r="Y166" s="47">
        <v>7288.6582766767051</v>
      </c>
      <c r="Z166" s="47">
        <v>9544.4258684442812</v>
      </c>
      <c r="AA166" s="47">
        <v>9405.7229997223621</v>
      </c>
      <c r="AB166" s="47">
        <v>12339.926889306133</v>
      </c>
      <c r="AC166" s="47">
        <v>9528.6790736001803</v>
      </c>
      <c r="AD166" s="47">
        <v>6721.3623653795348</v>
      </c>
      <c r="AE166" s="47">
        <v>6659.2480306330217</v>
      </c>
      <c r="AF166" s="47">
        <v>6776.5805242631131</v>
      </c>
      <c r="AG166" s="47">
        <v>6541.0602030480886</v>
      </c>
      <c r="AH166" s="47">
        <v>6211.2873495998119</v>
      </c>
      <c r="AI166" s="47">
        <v>6104.9775756431827</v>
      </c>
      <c r="AJ166" s="47">
        <v>6141.9472539562985</v>
      </c>
      <c r="AK166" s="47">
        <v>5817.6989600435099</v>
      </c>
      <c r="AL166" s="47">
        <v>5356.2156837630064</v>
      </c>
      <c r="AM166" s="47">
        <v>4546.4333117053657</v>
      </c>
      <c r="AN166" s="47">
        <v>4541.7909026077532</v>
      </c>
      <c r="AO166" s="47">
        <v>4637.2996982446739</v>
      </c>
      <c r="AP166" s="47">
        <v>4797.0117814609357</v>
      </c>
      <c r="AQ166" s="47">
        <v>4971.2366920894401</v>
      </c>
      <c r="AR166" s="47">
        <v>4680.7542223127903</v>
      </c>
      <c r="AS166" s="47">
        <v>4666.3436795211801</v>
      </c>
      <c r="AT166" s="47">
        <v>4710.7495981499042</v>
      </c>
      <c r="AU166" s="47">
        <v>4815.4228227469794</v>
      </c>
      <c r="AV166" s="47">
        <v>4858.3047586425528</v>
      </c>
      <c r="AW166" s="47">
        <v>5002.0409249826971</v>
      </c>
      <c r="AX166" s="47">
        <v>5042.4699547430755</v>
      </c>
      <c r="AY166" s="47">
        <v>4052.199353153565</v>
      </c>
      <c r="AZ166" s="47">
        <v>3844.1350049214311</v>
      </c>
      <c r="BA166" s="47">
        <v>3819.8674077377527</v>
      </c>
      <c r="BB166" s="47">
        <v>3728.0177296156712</v>
      </c>
      <c r="BC166" s="47">
        <v>3732.4884832394459</v>
      </c>
      <c r="BD166" s="47">
        <v>3685.836829344802</v>
      </c>
      <c r="BE166" s="47">
        <v>3711.4258897033005</v>
      </c>
      <c r="BF166" s="47">
        <v>3675.0065900537861</v>
      </c>
      <c r="BG166" s="47">
        <v>3801.0204256785842</v>
      </c>
      <c r="BH166" s="47">
        <v>3811.3326405677085</v>
      </c>
    </row>
    <row r="167" spans="1:60">
      <c r="A167" s="43" t="s">
        <v>308</v>
      </c>
      <c r="B167" s="47">
        <v>607.36467539895102</v>
      </c>
      <c r="C167" s="47">
        <v>627.38917697381601</v>
      </c>
      <c r="D167" s="47">
        <v>631.87162215879425</v>
      </c>
      <c r="E167" s="47">
        <v>640.49054687341163</v>
      </c>
      <c r="F167" s="47">
        <v>660.05241499953854</v>
      </c>
      <c r="G167" s="47">
        <v>663.82000598697437</v>
      </c>
      <c r="H167" s="47">
        <v>671.23307178409243</v>
      </c>
      <c r="I167" s="47">
        <v>678.35533441370706</v>
      </c>
      <c r="J167" s="47">
        <v>678.1733812097317</v>
      </c>
      <c r="K167" s="47">
        <v>697.24133863400027</v>
      </c>
      <c r="L167" s="47">
        <v>721.65185302025782</v>
      </c>
      <c r="M167" s="47">
        <v>815.29912789046409</v>
      </c>
      <c r="N167" s="47">
        <v>780.86985142039157</v>
      </c>
      <c r="O167" s="47">
        <v>761.67956989802838</v>
      </c>
      <c r="P167" s="47">
        <v>787.3505000459744</v>
      </c>
      <c r="Q167" s="47">
        <v>845.81114289189236</v>
      </c>
      <c r="R167" s="47">
        <v>955.11644658744626</v>
      </c>
      <c r="S167" s="47">
        <v>956.8407563700024</v>
      </c>
      <c r="T167" s="47">
        <v>939.32904641106927</v>
      </c>
      <c r="U167" s="47">
        <v>1007.3413299298328</v>
      </c>
      <c r="V167" s="47">
        <v>878.89458261196353</v>
      </c>
      <c r="W167" s="47">
        <v>948.59973388219112</v>
      </c>
      <c r="X167" s="47">
        <v>984.58291294015271</v>
      </c>
      <c r="Y167" s="47">
        <v>996.93401737876059</v>
      </c>
      <c r="Z167" s="47">
        <v>1156.5389621763607</v>
      </c>
      <c r="AA167" s="47">
        <v>1049.6059767937384</v>
      </c>
      <c r="AB167" s="47">
        <v>1133.9075660589147</v>
      </c>
      <c r="AC167" s="47">
        <v>1152.1360512402848</v>
      </c>
      <c r="AD167" s="47">
        <v>1057.8731679357447</v>
      </c>
      <c r="AE167" s="47">
        <v>1190.6416311633511</v>
      </c>
      <c r="AF167" s="47">
        <v>1038.784778259025</v>
      </c>
      <c r="AG167" s="47">
        <v>997.26039085903051</v>
      </c>
      <c r="AH167" s="47">
        <v>1088.398609446722</v>
      </c>
      <c r="AI167" s="47">
        <v>926.2917322649281</v>
      </c>
      <c r="AJ167" s="47">
        <v>871.08022782297439</v>
      </c>
      <c r="AK167" s="47">
        <v>770.4147068340925</v>
      </c>
      <c r="AL167" s="47">
        <v>783.35422746125948</v>
      </c>
      <c r="AM167" s="47">
        <v>796.507536313022</v>
      </c>
      <c r="AN167" s="47">
        <v>848.84602845389645</v>
      </c>
      <c r="AO167" s="47">
        <v>874.81940735327044</v>
      </c>
      <c r="AP167" s="47">
        <v>877.53027374098633</v>
      </c>
      <c r="AQ167" s="47">
        <v>862.96568110676822</v>
      </c>
      <c r="AR167" s="47">
        <v>866.78195095690978</v>
      </c>
      <c r="AS167" s="47">
        <v>884.69357427765681</v>
      </c>
      <c r="AT167" s="47">
        <v>883.77292864188496</v>
      </c>
      <c r="AU167" s="47">
        <v>821.89135900823362</v>
      </c>
      <c r="AV167" s="47">
        <v>841.0562929123189</v>
      </c>
      <c r="AW167" s="47">
        <v>851.29316448812756</v>
      </c>
      <c r="AX167" s="47">
        <v>851.17358782563838</v>
      </c>
      <c r="AY167" s="47">
        <v>875.73018443225249</v>
      </c>
      <c r="AZ167" s="47">
        <v>894.81271803749439</v>
      </c>
      <c r="BA167" s="47">
        <v>916.7083727683106</v>
      </c>
      <c r="BB167" s="47">
        <v>860.22036458526259</v>
      </c>
      <c r="BC167" s="47">
        <v>890.11355267735905</v>
      </c>
      <c r="BD167" s="47">
        <v>925.78485121591575</v>
      </c>
      <c r="BE167" s="47">
        <v>944.77664527179093</v>
      </c>
      <c r="BF167" s="47">
        <v>977.72611972484765</v>
      </c>
      <c r="BG167" s="47">
        <v>1010.4486071978769</v>
      </c>
      <c r="BH167" s="47">
        <v>1042.9487445432462</v>
      </c>
    </row>
    <row r="168" spans="1:60">
      <c r="A168" s="43" t="s">
        <v>62</v>
      </c>
      <c r="B168" s="47">
        <v>1121.7935498387897</v>
      </c>
      <c r="C168" s="47">
        <v>1133.5354406779845</v>
      </c>
      <c r="D168" s="47">
        <v>1083.9663750046834</v>
      </c>
      <c r="E168" s="47">
        <v>1201.8009806447242</v>
      </c>
      <c r="F168" s="47">
        <v>1317.3813497145379</v>
      </c>
      <c r="G168" s="47">
        <v>1199.611169516473</v>
      </c>
      <c r="H168" s="47">
        <v>1236.0049631006571</v>
      </c>
      <c r="I168" s="47">
        <v>1241.2892967066846</v>
      </c>
      <c r="J168" s="47">
        <v>1187.134136201317</v>
      </c>
      <c r="K168" s="47">
        <v>1321.022430787491</v>
      </c>
      <c r="L168" s="47">
        <v>1378.4200298575181</v>
      </c>
      <c r="M168" s="47">
        <v>1388.1535737570739</v>
      </c>
      <c r="N168" s="47">
        <v>1415.5229467516258</v>
      </c>
      <c r="O168" s="47">
        <v>1424.4121214693796</v>
      </c>
      <c r="P168" s="47">
        <v>1414.2960381887576</v>
      </c>
      <c r="Q168" s="47">
        <v>1392.6226969854388</v>
      </c>
      <c r="R168" s="47">
        <v>1354.2252827306859</v>
      </c>
      <c r="S168" s="47">
        <v>1338.9874823187124</v>
      </c>
      <c r="T168" s="47">
        <v>1318.4289005422422</v>
      </c>
      <c r="U168" s="47">
        <v>1325.1992111802822</v>
      </c>
      <c r="V168" s="47">
        <v>1423.972994105523</v>
      </c>
      <c r="W168" s="47">
        <v>1490.7124333625081</v>
      </c>
      <c r="X168" s="47">
        <v>1401.5355166844904</v>
      </c>
      <c r="Y168" s="47">
        <v>1397.3696404480061</v>
      </c>
      <c r="Z168" s="47">
        <v>1454.9345149722087</v>
      </c>
      <c r="AA168" s="47">
        <v>1246.9279944765822</v>
      </c>
      <c r="AB168" s="47">
        <v>1177.840810154355</v>
      </c>
      <c r="AC168" s="47">
        <v>1181.4205570273132</v>
      </c>
      <c r="AD168" s="47">
        <v>1259.9495159182873</v>
      </c>
      <c r="AE168" s="47">
        <v>1209.9656200010959</v>
      </c>
      <c r="AF168" s="47">
        <v>1157.0662660298819</v>
      </c>
      <c r="AG168" s="47">
        <v>1141.9606008604069</v>
      </c>
      <c r="AH168" s="47">
        <v>1041.8396521792793</v>
      </c>
      <c r="AI168" s="47">
        <v>933.03917352468818</v>
      </c>
      <c r="AJ168" s="47">
        <v>959.98475802725704</v>
      </c>
      <c r="AK168" s="47">
        <v>978.43024449834684</v>
      </c>
      <c r="AL168" s="47">
        <v>988.34211299423043</v>
      </c>
      <c r="AM168" s="47">
        <v>1007.0227696614935</v>
      </c>
      <c r="AN168" s="47">
        <v>1034.2952790855425</v>
      </c>
      <c r="AO168" s="47">
        <v>1057.119520993735</v>
      </c>
      <c r="AP168" s="47">
        <v>1062.1650728567906</v>
      </c>
      <c r="AQ168" s="47">
        <v>1087.2682075016182</v>
      </c>
      <c r="AR168" s="47">
        <v>1098.7553000090418</v>
      </c>
      <c r="AS168" s="47">
        <v>1118.5649958035231</v>
      </c>
      <c r="AT168" s="47">
        <v>1122.3854164879449</v>
      </c>
      <c r="AU168" s="47">
        <v>1140.7767387685067</v>
      </c>
      <c r="AV168" s="47">
        <v>1168.1768399199771</v>
      </c>
      <c r="AW168" s="47">
        <v>1191.9305280344788</v>
      </c>
      <c r="AX168" s="47">
        <v>1220.9742599372546</v>
      </c>
      <c r="AY168" s="47">
        <v>1246.9903336881484</v>
      </c>
      <c r="AZ168" s="47">
        <v>1264.8436595879739</v>
      </c>
      <c r="BA168" s="47">
        <v>1289.1501100344706</v>
      </c>
      <c r="BB168" s="47">
        <v>1317.014026572461</v>
      </c>
      <c r="BC168" s="47">
        <v>1354.4761398334736</v>
      </c>
      <c r="BD168" s="47">
        <v>1399.8226128022602</v>
      </c>
      <c r="BE168" s="47">
        <v>1451.8961503118178</v>
      </c>
      <c r="BF168" s="47">
        <v>1513.6579772689279</v>
      </c>
      <c r="BG168" s="47">
        <v>1568.3804044419815</v>
      </c>
      <c r="BH168" s="47">
        <v>1650.3549952512201</v>
      </c>
    </row>
    <row r="169" spans="1:60">
      <c r="A169" s="43" t="s">
        <v>309</v>
      </c>
      <c r="B169" s="47">
        <v>303.32103250659031</v>
      </c>
      <c r="C169" s="47">
        <v>316.73347661998508</v>
      </c>
      <c r="D169" s="47">
        <v>321.73175651470433</v>
      </c>
      <c r="E169" s="47">
        <v>328.54075850224763</v>
      </c>
      <c r="F169" s="47">
        <v>342.78838230592481</v>
      </c>
      <c r="G169" s="47">
        <v>348.94112076609775</v>
      </c>
      <c r="H169" s="47">
        <v>356.57868167700985</v>
      </c>
      <c r="I169" s="47">
        <v>363.44673596584681</v>
      </c>
      <c r="J169" s="47">
        <v>368.22887084684038</v>
      </c>
      <c r="K169" s="47">
        <v>382.87924006870639</v>
      </c>
      <c r="L169" s="47">
        <v>392.10783797489199</v>
      </c>
      <c r="M169" s="47">
        <v>410.6807177554129</v>
      </c>
      <c r="N169" s="47">
        <v>433.36314811433579</v>
      </c>
      <c r="O169" s="47">
        <v>402.71950167441764</v>
      </c>
      <c r="P169" s="47">
        <v>421.1879899673205</v>
      </c>
      <c r="Q169" s="47">
        <v>441.85400138434022</v>
      </c>
      <c r="R169" s="47">
        <v>442.96528497262204</v>
      </c>
      <c r="S169" s="47">
        <v>448.38277823426267</v>
      </c>
      <c r="T169" s="47">
        <v>453.38136009729891</v>
      </c>
      <c r="U169" s="47">
        <v>457.96588577710332</v>
      </c>
      <c r="V169" s="47">
        <v>464.94344106438444</v>
      </c>
      <c r="W169" s="47">
        <v>470.16197920787425</v>
      </c>
      <c r="X169" s="47">
        <v>470.61030654658833</v>
      </c>
      <c r="Y169" s="47">
        <v>481.77494160049469</v>
      </c>
      <c r="Z169" s="47">
        <v>505.60456487227646</v>
      </c>
      <c r="AA169" s="47">
        <v>516.53923800748328</v>
      </c>
      <c r="AB169" s="47">
        <v>556.04408462374636</v>
      </c>
      <c r="AC169" s="47">
        <v>557.33761274145922</v>
      </c>
      <c r="AD169" s="47">
        <v>560.85651920081636</v>
      </c>
      <c r="AE169" s="47">
        <v>550.79314488253112</v>
      </c>
      <c r="AF169" s="47">
        <v>558.46180846044138</v>
      </c>
      <c r="AG169" s="47">
        <v>550.47836941150842</v>
      </c>
      <c r="AH169" s="47">
        <v>549.27067157211457</v>
      </c>
      <c r="AI169" s="47">
        <v>544.48176025750126</v>
      </c>
      <c r="AJ169" s="47">
        <v>535.1139513480108</v>
      </c>
      <c r="AK169" s="47">
        <v>519.15100397080755</v>
      </c>
      <c r="AL169" s="47">
        <v>515.67008146255591</v>
      </c>
      <c r="AM169" s="47">
        <v>519.19389624144947</v>
      </c>
      <c r="AN169" s="47">
        <v>536.95823086262908</v>
      </c>
      <c r="AO169" s="47">
        <v>545.35218806337662</v>
      </c>
      <c r="AP169" s="47">
        <v>540.00587076600414</v>
      </c>
      <c r="AQ169" s="47">
        <v>516.3387142016893</v>
      </c>
      <c r="AR169" s="47">
        <v>514.9182525627823</v>
      </c>
      <c r="AS169" s="47">
        <v>525.57432825681451</v>
      </c>
      <c r="AT169" s="47">
        <v>529.88903164450733</v>
      </c>
      <c r="AU169" s="47">
        <v>537.08888156176158</v>
      </c>
      <c r="AV169" s="47">
        <v>545.73295389549833</v>
      </c>
      <c r="AW169" s="47">
        <v>566.41857883743126</v>
      </c>
      <c r="AX169" s="47">
        <v>584.95382406131989</v>
      </c>
      <c r="AY169" s="47">
        <v>593.29910479038131</v>
      </c>
      <c r="AZ169" s="47">
        <v>591.46775135553173</v>
      </c>
      <c r="BA169" s="47">
        <v>610.19916539581436</v>
      </c>
      <c r="BB169" s="47">
        <v>616.40993091326322</v>
      </c>
      <c r="BC169" s="47">
        <v>607.04436437829406</v>
      </c>
      <c r="BD169" s="47">
        <v>608.44993061174137</v>
      </c>
      <c r="BE169" s="47">
        <v>614.28510563453381</v>
      </c>
      <c r="BF169" s="47">
        <v>616.6453146672668</v>
      </c>
      <c r="BG169" s="47">
        <v>613.11187875788369</v>
      </c>
      <c r="BH169" s="47">
        <v>627.64435335755059</v>
      </c>
    </row>
    <row r="170" spans="1:60">
      <c r="A170" s="43" t="s">
        <v>310</v>
      </c>
      <c r="B170" s="47">
        <v>289.15272468612466</v>
      </c>
      <c r="C170" s="47">
        <v>305.69613282754898</v>
      </c>
      <c r="D170" s="47">
        <v>322.872398355538</v>
      </c>
      <c r="E170" s="47">
        <v>341.51940776161422</v>
      </c>
      <c r="F170" s="47">
        <v>407.82887551243272</v>
      </c>
      <c r="G170" s="47">
        <v>388.9844955889883</v>
      </c>
      <c r="H170" s="47">
        <v>439.44518642316791</v>
      </c>
      <c r="I170" s="47">
        <v>464.94271128468205</v>
      </c>
      <c r="J170" s="47">
        <v>475.9157540791357</v>
      </c>
      <c r="K170" s="47">
        <v>478.12546666923384</v>
      </c>
      <c r="L170" s="47">
        <v>500.76800324754998</v>
      </c>
      <c r="M170" s="47">
        <v>531.87094753649785</v>
      </c>
      <c r="N170" s="47">
        <v>562.11542621986041</v>
      </c>
      <c r="O170" s="47">
        <v>582.83763470442636</v>
      </c>
      <c r="P170" s="47">
        <v>641.55352895080478</v>
      </c>
      <c r="Q170" s="47">
        <v>685.25284444948795</v>
      </c>
      <c r="R170" s="47">
        <v>728.3306058120653</v>
      </c>
      <c r="S170" s="47">
        <v>770.52189997479763</v>
      </c>
      <c r="T170" s="47">
        <v>794.14743802845362</v>
      </c>
      <c r="U170" s="47">
        <v>832.91672567650187</v>
      </c>
      <c r="V170" s="47">
        <v>871.55919746409961</v>
      </c>
      <c r="W170" s="47">
        <v>833.22213553643394</v>
      </c>
      <c r="X170" s="47">
        <v>883.20026018942224</v>
      </c>
      <c r="Y170" s="47">
        <v>881.86037473479678</v>
      </c>
      <c r="Z170" s="47">
        <v>912.40673003190739</v>
      </c>
      <c r="AA170" s="47">
        <v>925.06688147399075</v>
      </c>
      <c r="AB170" s="47">
        <v>901.98825812662039</v>
      </c>
      <c r="AC170" s="47">
        <v>823.44053022323692</v>
      </c>
      <c r="AD170" s="47">
        <v>915.49084566846193</v>
      </c>
      <c r="AE170" s="47">
        <v>917.58592155940823</v>
      </c>
      <c r="AF170" s="47">
        <v>754.32514087950744</v>
      </c>
      <c r="AG170" s="47">
        <v>871.06304854647567</v>
      </c>
      <c r="AH170" s="47">
        <v>902.71436467746696</v>
      </c>
      <c r="AI170" s="47">
        <v>810.56063655478135</v>
      </c>
      <c r="AJ170" s="47">
        <v>824.42528976698725</v>
      </c>
      <c r="AK170" s="47">
        <v>849.91461053937167</v>
      </c>
      <c r="AL170" s="47">
        <v>824.11672734741705</v>
      </c>
      <c r="AM170" s="47">
        <v>793.05464204692419</v>
      </c>
      <c r="AN170" s="47">
        <v>805.4682017911116</v>
      </c>
      <c r="AO170" s="47">
        <v>790.4639124477643</v>
      </c>
      <c r="AP170" s="47">
        <v>797.19755941079677</v>
      </c>
      <c r="AQ170" s="47">
        <v>817.95815788029188</v>
      </c>
      <c r="AR170" s="47">
        <v>802.73170866305793</v>
      </c>
      <c r="AS170" s="47">
        <v>794.30734895777118</v>
      </c>
      <c r="AT170" s="47">
        <v>796.18802321300757</v>
      </c>
      <c r="AU170" s="47">
        <v>811.72602947695873</v>
      </c>
      <c r="AV170" s="47">
        <v>831.72133733931491</v>
      </c>
      <c r="AW170" s="47">
        <v>857.54028303853988</v>
      </c>
      <c r="AX170" s="47">
        <v>601.90140976524401</v>
      </c>
      <c r="AY170" s="47">
        <v>635.79196886778641</v>
      </c>
      <c r="AZ170" s="47">
        <v>680.29391825056564</v>
      </c>
      <c r="BA170" s="47">
        <v>666.68962957009626</v>
      </c>
      <c r="BB170" s="47">
        <v>619.59913586173798</v>
      </c>
      <c r="BC170" s="47">
        <v>603.71331485671556</v>
      </c>
      <c r="BD170" s="47">
        <v>604.93494245547356</v>
      </c>
      <c r="BE170" s="47">
        <v>613.79236705349251</v>
      </c>
      <c r="BF170" s="47">
        <v>605.78881813651321</v>
      </c>
      <c r="BG170" s="47">
        <v>609.05226849902908</v>
      </c>
      <c r="BH170" s="47">
        <v>616.69179114704673</v>
      </c>
    </row>
    <row r="171" spans="1:60">
      <c r="A171" s="43" t="s">
        <v>63</v>
      </c>
      <c r="B171" s="47">
        <v>650.60094704686321</v>
      </c>
      <c r="C171" s="47">
        <v>771.24545339472934</v>
      </c>
      <c r="D171" s="47">
        <v>667.22781681415938</v>
      </c>
      <c r="E171" s="47">
        <v>632.75588668184923</v>
      </c>
      <c r="F171" s="47">
        <v>686.81378960167672</v>
      </c>
      <c r="G171" s="47">
        <v>717.9051632285134</v>
      </c>
      <c r="H171" s="47">
        <v>735.95770527795082</v>
      </c>
      <c r="I171" s="47">
        <v>738.28389607435486</v>
      </c>
      <c r="J171" s="47">
        <v>724.53042174047141</v>
      </c>
      <c r="K171" s="47">
        <v>720.22972522631846</v>
      </c>
      <c r="L171" s="47">
        <v>725.51715117506933</v>
      </c>
      <c r="M171" s="47">
        <v>686.46850876474718</v>
      </c>
      <c r="N171" s="47">
        <v>701.17425145455729</v>
      </c>
      <c r="O171" s="47">
        <v>713.59854771828941</v>
      </c>
      <c r="P171" s="47">
        <v>758.37550326651069</v>
      </c>
      <c r="Q171" s="47">
        <v>742.75915022276558</v>
      </c>
      <c r="R171" s="47">
        <v>811.53828683011375</v>
      </c>
      <c r="S171" s="47">
        <v>826.06931131958618</v>
      </c>
      <c r="T171" s="47">
        <v>857.18537927006491</v>
      </c>
      <c r="U171" s="47">
        <v>880.76719079441898</v>
      </c>
      <c r="V171" s="47">
        <v>914.9532664845209</v>
      </c>
      <c r="W171" s="47">
        <v>940.74952091307239</v>
      </c>
      <c r="X171" s="47">
        <v>955.54009727239054</v>
      </c>
      <c r="Y171" s="47">
        <v>969.92388004748636</v>
      </c>
      <c r="Z171" s="47">
        <v>981.43756104600141</v>
      </c>
      <c r="AA171" s="47">
        <v>941.84826265033121</v>
      </c>
      <c r="AB171" s="47">
        <v>943.41478505266377</v>
      </c>
      <c r="AC171" s="47">
        <v>990.91534081897089</v>
      </c>
      <c r="AD171" s="47">
        <v>1038.679734569703</v>
      </c>
      <c r="AE171" s="47">
        <v>1035.8260506154891</v>
      </c>
      <c r="AF171" s="47">
        <v>1050.8143479977298</v>
      </c>
      <c r="AG171" s="47">
        <v>1033.4019392591349</v>
      </c>
      <c r="AH171" s="47">
        <v>1054.0199898523304</v>
      </c>
      <c r="AI171" s="47">
        <v>1020.7905874654184</v>
      </c>
      <c r="AJ171" s="47">
        <v>1000.3044687130125</v>
      </c>
      <c r="AK171" s="47">
        <v>1005.8148710397468</v>
      </c>
      <c r="AL171" s="47">
        <v>1040.2888750070467</v>
      </c>
      <c r="AM171" s="47">
        <v>1064.7654120258101</v>
      </c>
      <c r="AN171" s="47">
        <v>1091.7452077447899</v>
      </c>
      <c r="AO171" s="47">
        <v>1105.279037535214</v>
      </c>
      <c r="AP171" s="47">
        <v>1117.2589684941793</v>
      </c>
      <c r="AQ171" s="47">
        <v>1096.8795422526584</v>
      </c>
      <c r="AR171" s="47">
        <v>1049.0692217834355</v>
      </c>
      <c r="AS171" s="47">
        <v>1020.6862403129282</v>
      </c>
      <c r="AT171" s="47">
        <v>1023.0386303680987</v>
      </c>
      <c r="AU171" s="47">
        <v>1041.664132002227</v>
      </c>
      <c r="AV171" s="47">
        <v>1059.3989187661141</v>
      </c>
      <c r="AW171" s="47">
        <v>1056.2357051170104</v>
      </c>
      <c r="AX171" s="47">
        <v>1048.6595545298333</v>
      </c>
      <c r="AY171" s="47">
        <v>1038.31132860857</v>
      </c>
      <c r="AZ171" s="47">
        <v>1013.0464558140675</v>
      </c>
      <c r="BA171" s="47">
        <v>998.31619210011297</v>
      </c>
      <c r="BB171" s="47">
        <v>982.41920558330071</v>
      </c>
      <c r="BC171" s="47">
        <v>982.84641704435751</v>
      </c>
      <c r="BD171" s="47">
        <v>1000.0268789608011</v>
      </c>
      <c r="BE171" s="47">
        <v>1030.3685756030936</v>
      </c>
      <c r="BF171" s="47">
        <v>1066.4060230737007</v>
      </c>
      <c r="BG171" s="47">
        <v>1110.4813844152966</v>
      </c>
      <c r="BH171" s="47">
        <v>1098.4132882687647</v>
      </c>
    </row>
    <row r="172" spans="1:60">
      <c r="A172" s="43" t="s">
        <v>311</v>
      </c>
      <c r="B172" s="47">
        <v>355.36603967980216</v>
      </c>
      <c r="C172" s="47">
        <v>369.99289970305517</v>
      </c>
      <c r="D172" s="47">
        <v>375.33078454236158</v>
      </c>
      <c r="E172" s="47">
        <v>384.33599800790142</v>
      </c>
      <c r="F172" s="47">
        <v>398.81358217724937</v>
      </c>
      <c r="G172" s="47">
        <v>405.04935186394596</v>
      </c>
      <c r="H172" s="47">
        <v>413.45285067022502</v>
      </c>
      <c r="I172" s="47">
        <v>421.98982526033245</v>
      </c>
      <c r="J172" s="47">
        <v>430.25815191903092</v>
      </c>
      <c r="K172" s="47">
        <v>434.83179479310866</v>
      </c>
      <c r="L172" s="47">
        <v>458.0788820400644</v>
      </c>
      <c r="M172" s="47">
        <v>457.28315403824342</v>
      </c>
      <c r="N172" s="47">
        <v>517.19394806195317</v>
      </c>
      <c r="O172" s="47">
        <v>560.25907112999369</v>
      </c>
      <c r="P172" s="47">
        <v>593.20669598843108</v>
      </c>
      <c r="Q172" s="47">
        <v>593.36131311122074</v>
      </c>
      <c r="R172" s="47">
        <v>577.33416115980049</v>
      </c>
      <c r="S172" s="47">
        <v>626.25714989251219</v>
      </c>
      <c r="T172" s="47">
        <v>609.84031220221073</v>
      </c>
      <c r="U172" s="47">
        <v>604.91957231758533</v>
      </c>
      <c r="V172" s="47">
        <v>604.07945446882286</v>
      </c>
      <c r="W172" s="47">
        <v>535.42203909735701</v>
      </c>
      <c r="X172" s="47">
        <v>623.67315057931796</v>
      </c>
      <c r="Y172" s="47">
        <v>768.67427666199058</v>
      </c>
      <c r="Z172" s="47">
        <v>796.66065203005928</v>
      </c>
      <c r="AA172" s="47">
        <v>714.93551645933644</v>
      </c>
      <c r="AB172" s="47">
        <v>814.35631658360512</v>
      </c>
      <c r="AC172" s="47">
        <v>936.02566914853833</v>
      </c>
      <c r="AD172" s="47">
        <v>1053.928366071164</v>
      </c>
      <c r="AE172" s="47">
        <v>961.59593930000085</v>
      </c>
      <c r="AF172" s="47">
        <v>1005.0147480714797</v>
      </c>
      <c r="AG172" s="47">
        <v>990.31941242594814</v>
      </c>
      <c r="AH172" s="47">
        <v>1000.932488239912</v>
      </c>
      <c r="AI172" s="47">
        <v>892.46957782812274</v>
      </c>
      <c r="AJ172" s="47">
        <v>944.23374571766044</v>
      </c>
      <c r="AK172" s="47">
        <v>953.0284064834475</v>
      </c>
      <c r="AL172" s="47">
        <v>948.0862913669788</v>
      </c>
      <c r="AM172" s="47">
        <v>971.9565031050787</v>
      </c>
      <c r="AN172" s="47">
        <v>1069.7764190150519</v>
      </c>
      <c r="AO172" s="47">
        <v>1158.7962443697079</v>
      </c>
      <c r="AP172" s="47">
        <v>1181.11151133472</v>
      </c>
      <c r="AQ172" s="47">
        <v>1201.0395544863773</v>
      </c>
      <c r="AR172" s="47">
        <v>1228.3199505943219</v>
      </c>
      <c r="AS172" s="47">
        <v>1246.1856705735975</v>
      </c>
      <c r="AT172" s="47">
        <v>1215.4099275187486</v>
      </c>
      <c r="AU172" s="47">
        <v>1341.4452121749252</v>
      </c>
      <c r="AV172" s="47">
        <v>1441.7899215011623</v>
      </c>
      <c r="AW172" s="47">
        <v>1485.0428063496524</v>
      </c>
      <c r="AX172" s="47">
        <v>1419.213266877983</v>
      </c>
      <c r="AY172" s="47">
        <v>1434.1040385940826</v>
      </c>
      <c r="AZ172" s="47">
        <v>1468.9326054501742</v>
      </c>
      <c r="BA172" s="47">
        <v>1504.4906912935696</v>
      </c>
      <c r="BB172" s="47">
        <v>1562.2914879420457</v>
      </c>
      <c r="BC172" s="47">
        <v>1597.678312904847</v>
      </c>
      <c r="BD172" s="47">
        <v>1659.6913579662817</v>
      </c>
      <c r="BE172" s="47">
        <v>1668.0114310480524</v>
      </c>
      <c r="BF172" s="47">
        <v>1799.8130908950382</v>
      </c>
      <c r="BG172" s="47">
        <v>1888.2377796243472</v>
      </c>
      <c r="BH172" s="47">
        <v>1951.9025646326911</v>
      </c>
    </row>
    <row r="173" spans="1:60">
      <c r="A173" s="43" t="s">
        <v>312</v>
      </c>
      <c r="B173" s="47">
        <v>1054.7588559082881</v>
      </c>
      <c r="C173" s="47">
        <v>1089.8555674542324</v>
      </c>
      <c r="D173" s="47">
        <v>1096.9433852113036</v>
      </c>
      <c r="E173" s="47">
        <v>1112.9396196325263</v>
      </c>
      <c r="F173" s="47">
        <v>1147.0725912579601</v>
      </c>
      <c r="G173" s="47">
        <v>1155.9149341408579</v>
      </c>
      <c r="H173" s="47">
        <v>1169.5550016602847</v>
      </c>
      <c r="I173" s="47">
        <v>1183.4622675341975</v>
      </c>
      <c r="J173" s="47">
        <v>1186.5441103765679</v>
      </c>
      <c r="K173" s="47">
        <v>1223.3493299802335</v>
      </c>
      <c r="L173" s="47">
        <v>1229.5738583307184</v>
      </c>
      <c r="M173" s="47">
        <v>1225.9404569582275</v>
      </c>
      <c r="N173" s="47">
        <v>1208.6671770926566</v>
      </c>
      <c r="O173" s="47">
        <v>1204.1713123893223</v>
      </c>
      <c r="P173" s="47">
        <v>1230.9749713098613</v>
      </c>
      <c r="Q173" s="47">
        <v>1217.7879774874684</v>
      </c>
      <c r="R173" s="47">
        <v>1408.2683286002327</v>
      </c>
      <c r="S173" s="47">
        <v>1360.0061278437026</v>
      </c>
      <c r="T173" s="47">
        <v>1384.3042826866288</v>
      </c>
      <c r="U173" s="47">
        <v>1441.8031463020884</v>
      </c>
      <c r="V173" s="47">
        <v>1491.5166855821246</v>
      </c>
      <c r="W173" s="47">
        <v>1519.3427765189954</v>
      </c>
      <c r="X173" s="47">
        <v>1530.3906306909082</v>
      </c>
      <c r="Y173" s="47">
        <v>1447.4905147490906</v>
      </c>
      <c r="Z173" s="47">
        <v>1507.5134470199473</v>
      </c>
      <c r="AA173" s="47">
        <v>1247.9628568635483</v>
      </c>
      <c r="AB173" s="47">
        <v>1263.4985164743086</v>
      </c>
      <c r="AC173" s="47">
        <v>1220.5137899272095</v>
      </c>
      <c r="AD173" s="47">
        <v>1235.018753882651</v>
      </c>
      <c r="AE173" s="47">
        <v>1255.1384489447271</v>
      </c>
      <c r="AF173" s="47">
        <v>1162.3762236998182</v>
      </c>
      <c r="AG173" s="47">
        <v>1155.3325406745942</v>
      </c>
      <c r="AH173" s="47">
        <v>1090.5755162219275</v>
      </c>
      <c r="AI173" s="47">
        <v>1051.9652985491416</v>
      </c>
      <c r="AJ173" s="47">
        <v>1012.3677594614204</v>
      </c>
      <c r="AK173" s="47">
        <v>969.17454033235526</v>
      </c>
      <c r="AL173" s="47">
        <v>967.77416483496518</v>
      </c>
      <c r="AM173" s="47">
        <v>964.4624872998487</v>
      </c>
      <c r="AN173" s="47">
        <v>935.47568233314223</v>
      </c>
      <c r="AO173" s="47">
        <v>918.44224569076107</v>
      </c>
      <c r="AP173" s="47">
        <v>1060.3432111348789</v>
      </c>
      <c r="AQ173" s="47">
        <v>1255.1186942803786</v>
      </c>
      <c r="AR173" s="47">
        <v>1213.0594393898848</v>
      </c>
      <c r="AS173" s="47">
        <v>1193.0763377883559</v>
      </c>
      <c r="AT173" s="47">
        <v>1228.7395391264401</v>
      </c>
      <c r="AU173" s="47">
        <v>1261.6111767004918</v>
      </c>
      <c r="AV173" s="47">
        <v>1254.4146410577168</v>
      </c>
      <c r="AW173" s="47">
        <v>1160.6941268877181</v>
      </c>
      <c r="AX173" s="47">
        <v>1050.5472007192584</v>
      </c>
      <c r="AY173" s="47">
        <v>1009.3838448558174</v>
      </c>
      <c r="AZ173" s="47">
        <v>989.65629203580875</v>
      </c>
      <c r="BA173" s="47">
        <v>982.84123018960634</v>
      </c>
      <c r="BB173" s="47">
        <v>1012.3858358308595</v>
      </c>
      <c r="BC173" s="47">
        <v>696.77512978726133</v>
      </c>
      <c r="BD173" s="47">
        <v>715.52937248074034</v>
      </c>
      <c r="BE173" s="47">
        <v>729.45190493074347</v>
      </c>
      <c r="BF173" s="47">
        <v>749.67665677062826</v>
      </c>
      <c r="BG173" s="47">
        <v>780.99308151521416</v>
      </c>
      <c r="BH173" s="47">
        <v>801.59851879708049</v>
      </c>
    </row>
    <row r="174" spans="1:60">
      <c r="A174" s="43" t="s">
        <v>313</v>
      </c>
      <c r="B174" s="47">
        <v>857.16812041963794</v>
      </c>
      <c r="C174" s="47">
        <v>924.62441554137013</v>
      </c>
      <c r="D174" s="47">
        <v>963.00095417507976</v>
      </c>
      <c r="E174" s="47">
        <v>948.81801803514804</v>
      </c>
      <c r="F174" s="47">
        <v>915.25342575489992</v>
      </c>
      <c r="G174" s="47">
        <v>1114.5014365576071</v>
      </c>
      <c r="H174" s="47">
        <v>1313.5827906011216</v>
      </c>
      <c r="I174" s="47">
        <v>1324.9243910923803</v>
      </c>
      <c r="J174" s="47">
        <v>1410.0610062291755</v>
      </c>
      <c r="K174" s="47">
        <v>1470.4047139764409</v>
      </c>
      <c r="L174" s="47">
        <v>1829.6688882295041</v>
      </c>
      <c r="M174" s="47">
        <v>1935.8783507872065</v>
      </c>
      <c r="N174" s="47">
        <v>2473.1892003609219</v>
      </c>
      <c r="O174" s="47">
        <v>3212.3165045939327</v>
      </c>
      <c r="P174" s="47">
        <v>4365.6564089976609</v>
      </c>
      <c r="Q174" s="47">
        <v>5378.2247485789248</v>
      </c>
      <c r="R174" s="47">
        <v>6107.1180837404254</v>
      </c>
      <c r="S174" s="47">
        <v>6545.4996066447484</v>
      </c>
      <c r="T174" s="47">
        <v>8395.4745692649813</v>
      </c>
      <c r="U174" s="47">
        <v>9042.7639687276078</v>
      </c>
      <c r="V174" s="47">
        <v>9114.8191092067573</v>
      </c>
      <c r="W174" s="47">
        <v>8251.736200533267</v>
      </c>
      <c r="X174" s="47">
        <v>6978.8728943983569</v>
      </c>
      <c r="Y174" s="47">
        <v>6664.1612995157775</v>
      </c>
      <c r="Z174" s="47">
        <v>5379.0219774616289</v>
      </c>
      <c r="AA174" s="47">
        <v>5515.2424145958557</v>
      </c>
      <c r="AB174" s="47">
        <v>6540.4926936117863</v>
      </c>
      <c r="AC174" s="47">
        <v>6945.447157249494</v>
      </c>
      <c r="AD174" s="47">
        <v>6991.3367208403197</v>
      </c>
      <c r="AE174" s="47">
        <v>7565.1127254722869</v>
      </c>
      <c r="AF174" s="47">
        <v>7271.5647239398895</v>
      </c>
      <c r="AG174" s="47">
        <v>5648.4391263489479</v>
      </c>
      <c r="AH174" s="47">
        <v>5233.7358563237531</v>
      </c>
      <c r="AI174" s="47">
        <v>4967.956950304073</v>
      </c>
      <c r="AJ174" s="47">
        <v>4397.0625558633019</v>
      </c>
      <c r="AK174" s="47">
        <v>3953.0154632583685</v>
      </c>
      <c r="AL174" s="47">
        <v>3585.5828484529688</v>
      </c>
      <c r="AM174" s="47">
        <v>3379.6115367863695</v>
      </c>
      <c r="AN174" s="47">
        <v>3303.3382958791449</v>
      </c>
      <c r="AO174" s="47">
        <v>3231.8089065713198</v>
      </c>
      <c r="AP174" s="47">
        <v>3087.0870145477165</v>
      </c>
      <c r="AQ174" s="47">
        <v>2825.0235046282601</v>
      </c>
      <c r="AR174" s="47">
        <v>2636.7275434236353</v>
      </c>
      <c r="AS174" s="47">
        <v>2453.0356176124337</v>
      </c>
      <c r="AT174" s="47">
        <v>2363.3500159323294</v>
      </c>
      <c r="AU174" s="47">
        <v>2321.318226860084</v>
      </c>
      <c r="AV174" s="47">
        <v>2381.3949041990013</v>
      </c>
      <c r="AW174" s="47">
        <v>2466.7676540600505</v>
      </c>
      <c r="AX174" s="47">
        <v>2321.8134351720064</v>
      </c>
      <c r="AY174" s="47">
        <v>2291.4182561269704</v>
      </c>
      <c r="AZ174" s="47">
        <v>2312.9929918189018</v>
      </c>
      <c r="BA174" s="47">
        <v>2390.9480576552414</v>
      </c>
      <c r="BB174" s="47">
        <v>2366.5453746191965</v>
      </c>
      <c r="BC174" s="47">
        <v>2446.7755843983914</v>
      </c>
      <c r="BD174" s="47">
        <v>2508.5300141967136</v>
      </c>
      <c r="BE174" s="47">
        <v>2702.5981677765035</v>
      </c>
      <c r="BF174" s="47">
        <v>2817.6060211966133</v>
      </c>
      <c r="BG174" s="47">
        <v>2960.6186207058772</v>
      </c>
      <c r="BH174" s="47">
        <v>2993.563377094551</v>
      </c>
    </row>
    <row r="175" spans="1:60">
      <c r="A175" s="43" t="s">
        <v>314</v>
      </c>
      <c r="B175" s="47">
        <v>951.01047140468506</v>
      </c>
      <c r="C175" s="47">
        <v>971.56395689833994</v>
      </c>
      <c r="D175" s="47">
        <v>991.75468015692331</v>
      </c>
      <c r="E175" s="47">
        <v>1011.5227700635996</v>
      </c>
      <c r="F175" s="47">
        <v>1031.7229602406007</v>
      </c>
      <c r="G175" s="47">
        <v>1052.2633463417235</v>
      </c>
      <c r="H175" s="47">
        <v>1072.1788022997648</v>
      </c>
      <c r="I175" s="47">
        <v>1092.2290154738951</v>
      </c>
      <c r="J175" s="47">
        <v>1112.3668793576383</v>
      </c>
      <c r="K175" s="47">
        <v>1131.6991848772811</v>
      </c>
      <c r="L175" s="47">
        <v>1125.4301145807624</v>
      </c>
      <c r="M175" s="47">
        <v>1126.4038099143786</v>
      </c>
      <c r="N175" s="47">
        <v>1129.4689025621974</v>
      </c>
      <c r="O175" s="47">
        <v>1096.037922980981</v>
      </c>
      <c r="P175" s="47">
        <v>1116.3109975619961</v>
      </c>
      <c r="Q175" s="47">
        <v>1088.023699178266</v>
      </c>
      <c r="R175" s="47">
        <v>1087.1814208323074</v>
      </c>
      <c r="S175" s="47">
        <v>1123.0498154195632</v>
      </c>
      <c r="T175" s="47">
        <v>1173.6692563586003</v>
      </c>
      <c r="U175" s="47">
        <v>1191.5262945980635</v>
      </c>
      <c r="V175" s="47">
        <v>1226.1996839253063</v>
      </c>
      <c r="W175" s="47">
        <v>1245.7481717477979</v>
      </c>
      <c r="X175" s="47">
        <v>1201.7542917974424</v>
      </c>
      <c r="Y175" s="47">
        <v>1143.602222258007</v>
      </c>
      <c r="Z175" s="47">
        <v>1139.4259396683206</v>
      </c>
      <c r="AA175" s="47">
        <v>1126.2896077467358</v>
      </c>
      <c r="AB175" s="47">
        <v>1063.1483744038489</v>
      </c>
      <c r="AC175" s="47">
        <v>1060.7191607951331</v>
      </c>
      <c r="AD175" s="47">
        <v>1006.0522117732811</v>
      </c>
      <c r="AE175" s="47">
        <v>1074.9822342579291</v>
      </c>
      <c r="AF175" s="47">
        <v>1053.6201651623458</v>
      </c>
      <c r="AG175" s="47">
        <v>935.9611550168006</v>
      </c>
      <c r="AH175" s="47">
        <v>893.06832955732409</v>
      </c>
      <c r="AI175" s="47">
        <v>874.82186690283686</v>
      </c>
      <c r="AJ175" s="47">
        <v>818.77046841679146</v>
      </c>
      <c r="AK175" s="47">
        <v>813.21359157742006</v>
      </c>
      <c r="AL175" s="47">
        <v>795.21952242645773</v>
      </c>
      <c r="AM175" s="47">
        <v>789.01884797437731</v>
      </c>
      <c r="AN175" s="47">
        <v>777.97353799761117</v>
      </c>
      <c r="AO175" s="47">
        <v>785.46661651665977</v>
      </c>
      <c r="AP175" s="47">
        <v>791.7222133011395</v>
      </c>
      <c r="AQ175" s="47">
        <v>719.82461502119668</v>
      </c>
      <c r="AR175" s="47">
        <v>706.76971807961365</v>
      </c>
      <c r="AS175" s="47">
        <v>700.08653890631945</v>
      </c>
      <c r="AT175" s="47">
        <v>679.19322385879173</v>
      </c>
      <c r="AU175" s="47">
        <v>670.17130270172368</v>
      </c>
      <c r="AV175" s="47">
        <v>663.78152735999947</v>
      </c>
      <c r="AW175" s="47">
        <v>667.89092468949013</v>
      </c>
      <c r="AX175" s="47">
        <v>673.28428072773022</v>
      </c>
      <c r="AY175" s="47">
        <v>683.96451897223926</v>
      </c>
      <c r="AZ175" s="47">
        <v>695.33987610931354</v>
      </c>
      <c r="BA175" s="47">
        <v>714.98895902241861</v>
      </c>
      <c r="BB175" s="47">
        <v>605.58828426717037</v>
      </c>
      <c r="BC175" s="47">
        <v>645.14542280865749</v>
      </c>
      <c r="BD175" s="47">
        <v>659.10076840872773</v>
      </c>
      <c r="BE175" s="47">
        <v>668.95429010761859</v>
      </c>
      <c r="BF175" s="47">
        <v>681.53286501749346</v>
      </c>
      <c r="BG175" s="47">
        <v>702.35641605928174</v>
      </c>
      <c r="BH175" s="47">
        <v>729.89710740913176</v>
      </c>
    </row>
    <row r="176" spans="1:60">
      <c r="A176" s="43" t="s">
        <v>315</v>
      </c>
      <c r="B176" s="47">
        <v>324.05560335715057</v>
      </c>
      <c r="C176" s="47">
        <v>331.84133739232061</v>
      </c>
      <c r="D176" s="47">
        <v>339.40530867793262</v>
      </c>
      <c r="E176" s="47">
        <v>347.03749076536627</v>
      </c>
      <c r="F176" s="47">
        <v>354.70409811147402</v>
      </c>
      <c r="G176" s="47">
        <v>353.78528922986476</v>
      </c>
      <c r="H176" s="47">
        <v>375.58716318551768</v>
      </c>
      <c r="I176" s="47">
        <v>382.80468620253419</v>
      </c>
      <c r="J176" s="47">
        <v>388.12119973231717</v>
      </c>
      <c r="K176" s="47">
        <v>392.9843566350134</v>
      </c>
      <c r="L176" s="47">
        <v>394.14497626956648</v>
      </c>
      <c r="M176" s="47">
        <v>404.16051144665698</v>
      </c>
      <c r="N176" s="47">
        <v>393.40638598003244</v>
      </c>
      <c r="O176" s="47">
        <v>376.46950754080444</v>
      </c>
      <c r="P176" s="47">
        <v>358.76096507167352</v>
      </c>
      <c r="Q176" s="47">
        <v>397.12570240222146</v>
      </c>
      <c r="R176" s="47">
        <v>426.07913331264706</v>
      </c>
      <c r="S176" s="47">
        <v>455.09510865168113</v>
      </c>
      <c r="T176" s="47">
        <v>437.27972293333426</v>
      </c>
      <c r="U176" s="47">
        <v>452.52591852624482</v>
      </c>
      <c r="V176" s="47">
        <v>447.45266978111835</v>
      </c>
      <c r="W176" s="47">
        <v>498.3219571889976</v>
      </c>
      <c r="X176" s="47">
        <v>534.14369850568823</v>
      </c>
      <c r="Y176" s="47">
        <v>562.479782876483</v>
      </c>
      <c r="Z176" s="47">
        <v>582.41616440817347</v>
      </c>
      <c r="AA176" s="47">
        <v>586.19690286943774</v>
      </c>
      <c r="AB176" s="47">
        <v>591.13219738680527</v>
      </c>
      <c r="AC176" s="47">
        <v>602.80999931214888</v>
      </c>
      <c r="AD176" s="47">
        <v>637.17146832058586</v>
      </c>
      <c r="AE176" s="47">
        <v>646.14370409410617</v>
      </c>
      <c r="AF176" s="47">
        <v>630.31607571590064</v>
      </c>
      <c r="AG176" s="47">
        <v>579.92134566346647</v>
      </c>
      <c r="AH176" s="47">
        <v>567.36113924073322</v>
      </c>
      <c r="AI176" s="47">
        <v>573.06515856472424</v>
      </c>
      <c r="AJ176" s="47">
        <v>580.3149079707598</v>
      </c>
      <c r="AK176" s="47">
        <v>606.49715483253271</v>
      </c>
      <c r="AL176" s="47">
        <v>586.61807144669274</v>
      </c>
      <c r="AM176" s="47">
        <v>567.99481651107021</v>
      </c>
      <c r="AN176" s="47">
        <v>546.5911014746207</v>
      </c>
      <c r="AO176" s="47">
        <v>542.09236944592692</v>
      </c>
      <c r="AP176" s="47">
        <v>539.6251146939311</v>
      </c>
      <c r="AQ176" s="47">
        <v>563.89642745424703</v>
      </c>
      <c r="AR176" s="47">
        <v>503.72269828872516</v>
      </c>
      <c r="AS176" s="47">
        <v>542.98487031081299</v>
      </c>
      <c r="AT176" s="47">
        <v>495.51703735588529</v>
      </c>
      <c r="AU176" s="47">
        <v>582.38070463370218</v>
      </c>
      <c r="AV176" s="47">
        <v>610.88926123801025</v>
      </c>
      <c r="AW176" s="47">
        <v>617.76775323121785</v>
      </c>
      <c r="AX176" s="47">
        <v>622.12567719742276</v>
      </c>
      <c r="AY176" s="47">
        <v>631.24852078818162</v>
      </c>
      <c r="AZ176" s="47">
        <v>639.12588894123621</v>
      </c>
      <c r="BA176" s="47">
        <v>598.74298621395326</v>
      </c>
      <c r="BB176" s="47">
        <v>597.39948716466472</v>
      </c>
      <c r="BC176" s="47">
        <v>606.64330923118052</v>
      </c>
      <c r="BD176" s="47">
        <v>622.53445355878773</v>
      </c>
      <c r="BE176" s="47">
        <v>628.28884392694704</v>
      </c>
      <c r="BF176" s="47">
        <v>654.8600151086797</v>
      </c>
      <c r="BG176" s="47">
        <v>694.46991846980495</v>
      </c>
      <c r="BH176" s="47">
        <v>743.83618348514278</v>
      </c>
    </row>
    <row r="177" spans="1:60">
      <c r="A177" s="43" t="s">
        <v>316</v>
      </c>
      <c r="B177" s="47">
        <v>456.87522974763272</v>
      </c>
      <c r="C177" s="47">
        <v>464.49501335646204</v>
      </c>
      <c r="D177" s="47">
        <v>472.07963640148671</v>
      </c>
      <c r="E177" s="47">
        <v>480.04965498025962</v>
      </c>
      <c r="F177" s="47">
        <v>487.52610199476891</v>
      </c>
      <c r="G177" s="47">
        <v>495.7665851286738</v>
      </c>
      <c r="H177" s="47">
        <v>503.90254948359967</v>
      </c>
      <c r="I177" s="47">
        <v>512.3248492319334</v>
      </c>
      <c r="J177" s="47">
        <v>520.61351821888684</v>
      </c>
      <c r="K177" s="47">
        <v>529.52747817664215</v>
      </c>
      <c r="L177" s="47">
        <v>533.76904778770256</v>
      </c>
      <c r="M177" s="47">
        <v>526.55085998945754</v>
      </c>
      <c r="N177" s="47">
        <v>518.92252956044251</v>
      </c>
      <c r="O177" s="47">
        <v>542.6663857413937</v>
      </c>
      <c r="P177" s="47">
        <v>556.80574967806024</v>
      </c>
      <c r="Q177" s="47">
        <v>553.07677406973153</v>
      </c>
      <c r="R177" s="47">
        <v>564.37351264781694</v>
      </c>
      <c r="S177" s="47">
        <v>570.59787772177583</v>
      </c>
      <c r="T177" s="47">
        <v>579.33942290492223</v>
      </c>
      <c r="U177" s="47">
        <v>564.008508363788</v>
      </c>
      <c r="V177" s="47">
        <v>585.69275650916643</v>
      </c>
      <c r="W177" s="47">
        <v>592.64190864984766</v>
      </c>
      <c r="X177" s="47">
        <v>609.30553696621814</v>
      </c>
      <c r="Y177" s="47">
        <v>581.06037903549691</v>
      </c>
      <c r="Z177" s="47">
        <v>553.92219594070536</v>
      </c>
      <c r="AA177" s="47">
        <v>616.20076830248615</v>
      </c>
      <c r="AB177" s="47">
        <v>683.61345010659306</v>
      </c>
      <c r="AC177" s="47">
        <v>720.13702672183319</v>
      </c>
      <c r="AD177" s="47">
        <v>690.61738700622891</v>
      </c>
      <c r="AE177" s="47">
        <v>843.76090837808988</v>
      </c>
      <c r="AF177" s="47">
        <v>732.93774783295726</v>
      </c>
      <c r="AG177" s="47">
        <v>696.6061550729446</v>
      </c>
      <c r="AH177" s="47">
        <v>645.61106322964361</v>
      </c>
      <c r="AI177" s="47">
        <v>662.64019394481966</v>
      </c>
      <c r="AJ177" s="47">
        <v>679.92640509226339</v>
      </c>
      <c r="AK177" s="47">
        <v>683.18144569499214</v>
      </c>
      <c r="AL177" s="47">
        <v>713.53842987395558</v>
      </c>
      <c r="AM177" s="47">
        <v>713.85629911379715</v>
      </c>
      <c r="AN177" s="47">
        <v>699.52245237115346</v>
      </c>
      <c r="AO177" s="47">
        <v>756.14186307265982</v>
      </c>
      <c r="AP177" s="47">
        <v>747.09646648109651</v>
      </c>
      <c r="AQ177" s="47">
        <v>725.70734654961541</v>
      </c>
      <c r="AR177" s="47">
        <v>770.80719668156905</v>
      </c>
      <c r="AS177" s="47">
        <v>736.90675310578524</v>
      </c>
      <c r="AT177" s="47">
        <v>740.40599954468109</v>
      </c>
      <c r="AU177" s="47">
        <v>775.34336714493634</v>
      </c>
      <c r="AV177" s="47">
        <v>791.12102755176352</v>
      </c>
      <c r="AW177" s="47">
        <v>825.47600102168258</v>
      </c>
      <c r="AX177" s="47">
        <v>846.41287698928147</v>
      </c>
      <c r="AY177" s="47">
        <v>882.43850570349753</v>
      </c>
      <c r="AZ177" s="47">
        <v>893.75981297222563</v>
      </c>
      <c r="BA177" s="47">
        <v>978.02693654044822</v>
      </c>
      <c r="BB177" s="47">
        <v>995.36535671682032</v>
      </c>
      <c r="BC177" s="47">
        <v>1040.8708955780046</v>
      </c>
      <c r="BD177" s="47">
        <v>1039.3103098194224</v>
      </c>
      <c r="BE177" s="47">
        <v>1074.7504302956238</v>
      </c>
      <c r="BF177" s="47">
        <v>1102.5075154233764</v>
      </c>
      <c r="BG177" s="47">
        <v>1119.7623889553681</v>
      </c>
      <c r="BH177" s="47">
        <v>1145.4857822875942</v>
      </c>
    </row>
    <row r="178" spans="1:60">
      <c r="A178" s="43" t="s">
        <v>317</v>
      </c>
      <c r="B178" s="47">
        <v>463.9176730528074</v>
      </c>
      <c r="C178" s="47">
        <v>477.21119863870069</v>
      </c>
      <c r="D178" s="47">
        <v>490.4394374157045</v>
      </c>
      <c r="E178" s="47">
        <v>503.57096199685969</v>
      </c>
      <c r="F178" s="47">
        <v>517.02309114567026</v>
      </c>
      <c r="G178" s="47">
        <v>530.75150245096961</v>
      </c>
      <c r="H178" s="47">
        <v>544.71008417089854</v>
      </c>
      <c r="I178" s="47">
        <v>558.419944381243</v>
      </c>
      <c r="J178" s="47">
        <v>571.8496187201697</v>
      </c>
      <c r="K178" s="47">
        <v>585.99070998413401</v>
      </c>
      <c r="L178" s="47">
        <v>624.59179853565183</v>
      </c>
      <c r="M178" s="47">
        <v>721.7261166307436</v>
      </c>
      <c r="N178" s="47">
        <v>696.86713919221802</v>
      </c>
      <c r="O178" s="47">
        <v>645.46035079459602</v>
      </c>
      <c r="P178" s="47">
        <v>826.69843729549757</v>
      </c>
      <c r="Q178" s="47">
        <v>928.33261038964724</v>
      </c>
      <c r="R178" s="47">
        <v>920.00112353957184</v>
      </c>
      <c r="S178" s="47">
        <v>937.92319602303132</v>
      </c>
      <c r="T178" s="47">
        <v>1005.5525779713006</v>
      </c>
      <c r="U178" s="47">
        <v>974.56795763696539</v>
      </c>
      <c r="V178" s="47">
        <v>1058.6293788374089</v>
      </c>
      <c r="W178" s="47">
        <v>1051.4303089168541</v>
      </c>
      <c r="X178" s="47">
        <v>1047.2857390167251</v>
      </c>
      <c r="Y178" s="47">
        <v>965.51339221290232</v>
      </c>
      <c r="Z178" s="47">
        <v>1046.1978732287171</v>
      </c>
      <c r="AA178" s="47">
        <v>961.99060731679276</v>
      </c>
      <c r="AB178" s="47">
        <v>1020.0815942724952</v>
      </c>
      <c r="AC178" s="47">
        <v>989.01930722752127</v>
      </c>
      <c r="AD178" s="47">
        <v>966.03980860291824</v>
      </c>
      <c r="AE178" s="47">
        <v>990.84181981129996</v>
      </c>
      <c r="AF178" s="47">
        <v>1009.4794817075418</v>
      </c>
      <c r="AG178" s="47">
        <v>1026.0864127595016</v>
      </c>
      <c r="AH178" s="47">
        <v>983.73998750632484</v>
      </c>
      <c r="AI178" s="47">
        <v>1009.4282711345948</v>
      </c>
      <c r="AJ178" s="47">
        <v>915.70924107012206</v>
      </c>
      <c r="AK178" s="47">
        <v>920.5935641123541</v>
      </c>
      <c r="AL178" s="47">
        <v>950.1245954035129</v>
      </c>
      <c r="AM178" s="47">
        <v>956.85413925236867</v>
      </c>
      <c r="AN178" s="47">
        <v>969.36633961150153</v>
      </c>
      <c r="AO178" s="47">
        <v>982.09262507564051</v>
      </c>
      <c r="AP178" s="47">
        <v>948.06278305518299</v>
      </c>
      <c r="AQ178" s="47">
        <v>948.83020933096179</v>
      </c>
      <c r="AR178" s="47">
        <v>932.18461672514798</v>
      </c>
      <c r="AS178" s="47">
        <v>947.98854531478685</v>
      </c>
      <c r="AT178" s="47">
        <v>962.48717179200628</v>
      </c>
      <c r="AU178" s="47">
        <v>983.53760308574851</v>
      </c>
      <c r="AV178" s="47">
        <v>1021.2790694601888</v>
      </c>
      <c r="AW178" s="47">
        <v>1033.5937402142256</v>
      </c>
      <c r="AX178" s="47">
        <v>1045.447480585299</v>
      </c>
      <c r="AY178" s="47">
        <v>1059.9493046313999</v>
      </c>
      <c r="AZ178" s="47">
        <v>1084.8237831120166</v>
      </c>
      <c r="BA178" s="47">
        <v>1103.7531895622051</v>
      </c>
      <c r="BB178" s="47">
        <v>1120.1267551850508</v>
      </c>
      <c r="BC178" s="47">
        <v>1153.2867375359453</v>
      </c>
      <c r="BD178" s="47">
        <v>1183.1844026309686</v>
      </c>
      <c r="BE178" s="47">
        <v>1216.3765439472404</v>
      </c>
      <c r="BF178" s="47">
        <v>1321.7141653039889</v>
      </c>
      <c r="BG178" s="47">
        <v>1302.7209560979011</v>
      </c>
      <c r="BH178" s="47">
        <v>1299.210162710606</v>
      </c>
    </row>
    <row r="179" spans="1:60">
      <c r="A179" s="43" t="s">
        <v>318</v>
      </c>
      <c r="B179" s="47">
        <v>2489.7586873950554</v>
      </c>
      <c r="C179" s="47">
        <v>2540.2406267258611</v>
      </c>
      <c r="D179" s="47">
        <v>2528.4544525589749</v>
      </c>
      <c r="E179" s="47">
        <v>2530.3552739024467</v>
      </c>
      <c r="F179" s="47">
        <v>2586.9348574493365</v>
      </c>
      <c r="G179" s="47">
        <v>2586.5243099373079</v>
      </c>
      <c r="H179" s="47">
        <v>2593.8606191340359</v>
      </c>
      <c r="I179" s="47">
        <v>2613.3577955184546</v>
      </c>
      <c r="J179" s="47">
        <v>2609.6971377509144</v>
      </c>
      <c r="K179" s="47">
        <v>2684.9977489929165</v>
      </c>
      <c r="L179" s="47">
        <v>2776.8754883649294</v>
      </c>
      <c r="M179" s="47">
        <v>3318.8663031741535</v>
      </c>
      <c r="N179" s="47">
        <v>3249.3779839268391</v>
      </c>
      <c r="O179" s="47">
        <v>3629.2211176879364</v>
      </c>
      <c r="P179" s="47">
        <v>3282.9687655286884</v>
      </c>
      <c r="Q179" s="47">
        <v>3301.9934567227297</v>
      </c>
      <c r="R179" s="47">
        <v>3107.9858120712738</v>
      </c>
      <c r="S179" s="47">
        <v>3180.4093358825062</v>
      </c>
      <c r="T179" s="47">
        <v>2907.0444254866629</v>
      </c>
      <c r="U179" s="47">
        <v>3005.795024734377</v>
      </c>
      <c r="V179" s="47">
        <v>2945.3785752582644</v>
      </c>
      <c r="W179" s="47">
        <v>3047.3338933552268</v>
      </c>
      <c r="X179" s="47">
        <v>3309.0147114383249</v>
      </c>
      <c r="Y179" s="47">
        <v>3680.0018373663111</v>
      </c>
      <c r="Z179" s="47">
        <v>4020.260415764797</v>
      </c>
      <c r="AA179" s="47">
        <v>3969.0692164810407</v>
      </c>
      <c r="AB179" s="47">
        <v>4551.0908392476003</v>
      </c>
      <c r="AC179" s="47">
        <v>4767.9179780754657</v>
      </c>
      <c r="AD179" s="47">
        <v>4863.2935413635696</v>
      </c>
      <c r="AE179" s="47">
        <v>4942.9046611168169</v>
      </c>
      <c r="AF179" s="47">
        <v>4366.7491536803991</v>
      </c>
      <c r="AG179" s="47">
        <v>4550.4103322898472</v>
      </c>
      <c r="AH179" s="47">
        <v>4738.4376631409132</v>
      </c>
      <c r="AI179" s="47">
        <v>4708.4525075905412</v>
      </c>
      <c r="AJ179" s="47">
        <v>4881.5848868316089</v>
      </c>
      <c r="AK179" s="47">
        <v>5179.0651134314921</v>
      </c>
      <c r="AL179" s="47">
        <v>5657.7498715836891</v>
      </c>
      <c r="AM179" s="47">
        <v>6183.9174293091401</v>
      </c>
      <c r="AN179" s="47">
        <v>6550.0114703138688</v>
      </c>
      <c r="AO179" s="47">
        <v>6782.9139207376966</v>
      </c>
      <c r="AP179" s="47">
        <v>7208.0015222334632</v>
      </c>
      <c r="AQ179" s="47">
        <v>7596.8585166129687</v>
      </c>
      <c r="AR179" s="47">
        <v>7865.4684317700167</v>
      </c>
      <c r="AS179" s="47">
        <v>8286.7929717241568</v>
      </c>
      <c r="AT179" s="47">
        <v>8553.0690715443307</v>
      </c>
      <c r="AU179" s="47">
        <v>8758.6756476407136</v>
      </c>
      <c r="AV179" s="47">
        <v>9115.2989754647042</v>
      </c>
      <c r="AW179" s="47">
        <v>9552.836678712938</v>
      </c>
      <c r="AX179" s="47">
        <v>10018.446417078574</v>
      </c>
      <c r="AY179" s="47">
        <v>10437.044860369151</v>
      </c>
      <c r="AZ179" s="47">
        <v>10593.356111480252</v>
      </c>
      <c r="BA179" s="47">
        <v>11232.36256112893</v>
      </c>
      <c r="BB179" s="47">
        <v>11501.417835795603</v>
      </c>
      <c r="BC179" s="47">
        <v>12182.59727240861</v>
      </c>
      <c r="BD179" s="47">
        <v>12640.628411464062</v>
      </c>
      <c r="BE179" s="47">
        <v>12957.618192804919</v>
      </c>
      <c r="BF179" s="47">
        <v>13297.165765801705</v>
      </c>
      <c r="BG179" s="47">
        <v>13740.813150417875</v>
      </c>
      <c r="BH179" s="47">
        <v>14529.241737293289</v>
      </c>
    </row>
    <row r="180" spans="1:60">
      <c r="A180" s="43" t="s">
        <v>319</v>
      </c>
      <c r="B180" s="47">
        <v>1455.3613551578314</v>
      </c>
      <c r="C180" s="47">
        <v>1458.0187449765776</v>
      </c>
      <c r="D180" s="47">
        <v>1459.7729378481222</v>
      </c>
      <c r="E180" s="47">
        <v>1468.4836003490575</v>
      </c>
      <c r="F180" s="47">
        <v>1476.2790254136271</v>
      </c>
      <c r="G180" s="47">
        <v>1483.1644464956612</v>
      </c>
      <c r="H180" s="47">
        <v>1451.3221343534883</v>
      </c>
      <c r="I180" s="47">
        <v>1419.8231686735896</v>
      </c>
      <c r="J180" s="47">
        <v>1388.9378881701759</v>
      </c>
      <c r="K180" s="47">
        <v>1358.4139965836741</v>
      </c>
      <c r="L180" s="47">
        <v>1328.6986512746798</v>
      </c>
      <c r="M180" s="47">
        <v>1341.4369683226157</v>
      </c>
      <c r="N180" s="47">
        <v>1354.4103811373923</v>
      </c>
      <c r="O180" s="47">
        <v>1367.3894463802244</v>
      </c>
      <c r="P180" s="47">
        <v>1380.5081777109872</v>
      </c>
      <c r="Q180" s="47">
        <v>1393.9844537462052</v>
      </c>
      <c r="R180" s="47">
        <v>1436.0404244685747</v>
      </c>
      <c r="S180" s="47">
        <v>1479.5234977010616</v>
      </c>
      <c r="T180" s="47">
        <v>1524.1193488969541</v>
      </c>
      <c r="U180" s="47">
        <v>1569.6176264270091</v>
      </c>
      <c r="V180" s="47">
        <v>1616.2270122302871</v>
      </c>
      <c r="W180" s="47">
        <v>1664.5221094743576</v>
      </c>
      <c r="X180" s="47">
        <v>1669.0205135807864</v>
      </c>
      <c r="Y180" s="47">
        <v>1694.2793012368591</v>
      </c>
      <c r="Z180" s="47">
        <v>1750.8270438314194</v>
      </c>
      <c r="AA180" s="47">
        <v>1830.9668997820818</v>
      </c>
      <c r="AB180" s="47">
        <v>1992.4665366769304</v>
      </c>
      <c r="AC180" s="47">
        <v>2049.8516574032606</v>
      </c>
      <c r="AD180" s="47">
        <v>2068.8460665616358</v>
      </c>
      <c r="AE180" s="47">
        <v>2121.9328139310555</v>
      </c>
      <c r="AF180" s="47">
        <v>2272.1497395838678</v>
      </c>
      <c r="AG180" s="47">
        <v>2169.380256321846</v>
      </c>
      <c r="AH180" s="47">
        <v>2336.929103958516</v>
      </c>
      <c r="AI180" s="47">
        <v>2261.6598250613597</v>
      </c>
      <c r="AJ180" s="47">
        <v>2293.822236705153</v>
      </c>
      <c r="AK180" s="47">
        <v>2373.9027239499983</v>
      </c>
      <c r="AL180" s="47">
        <v>2494.5886311003328</v>
      </c>
      <c r="AM180" s="47">
        <v>2377.9107282585001</v>
      </c>
      <c r="AN180" s="47">
        <v>2557.8697534263893</v>
      </c>
      <c r="AO180" s="47">
        <v>2554.7570434243744</v>
      </c>
      <c r="AP180" s="47">
        <v>2590.7618692345673</v>
      </c>
      <c r="AQ180" s="47">
        <v>2708.2788691954152</v>
      </c>
      <c r="AR180" s="47">
        <v>2544.0636724708397</v>
      </c>
      <c r="AS180" s="47">
        <v>2465.7740573611495</v>
      </c>
      <c r="AT180" s="47">
        <v>2666.5296391137626</v>
      </c>
      <c r="AU180" s="47">
        <v>2440.9825644973075</v>
      </c>
      <c r="AV180" s="47">
        <v>2685.6635207289878</v>
      </c>
      <c r="AW180" s="47">
        <v>2573.3524917489603</v>
      </c>
      <c r="AX180" s="47">
        <v>2724.0788221146213</v>
      </c>
      <c r="AY180" s="47">
        <v>2672.4818663613405</v>
      </c>
      <c r="AZ180" s="47">
        <v>2652.1262000198517</v>
      </c>
      <c r="BA180" s="47">
        <v>2771.0934201551736</v>
      </c>
      <c r="BB180" s="47">
        <v>2811.8187319868766</v>
      </c>
      <c r="BC180" s="47">
        <v>2934.2385725696954</v>
      </c>
      <c r="BD180" s="47">
        <v>3061.7802941812542</v>
      </c>
      <c r="BE180" s="47">
        <v>3103.8624936312644</v>
      </c>
      <c r="BF180" s="47">
        <v>3294.0919768097415</v>
      </c>
      <c r="BG180" s="47">
        <v>3318.9859155729018</v>
      </c>
      <c r="BH180" s="47">
        <v>3464.9343732164421</v>
      </c>
    </row>
    <row r="181" spans="1:60">
      <c r="A181" s="43" t="s">
        <v>66</v>
      </c>
      <c r="B181" s="47">
        <v>1133.420416551131</v>
      </c>
      <c r="C181" s="47">
        <v>1155.4554337020925</v>
      </c>
      <c r="D181" s="47">
        <v>1178.1077824473259</v>
      </c>
      <c r="E181" s="47">
        <v>1199.0607686453095</v>
      </c>
      <c r="F181" s="47">
        <v>1206.608967480674</v>
      </c>
      <c r="G181" s="47">
        <v>1258.7969517841127</v>
      </c>
      <c r="H181" s="47">
        <v>1242.2142573461958</v>
      </c>
      <c r="I181" s="47">
        <v>1246.1520977598302</v>
      </c>
      <c r="J181" s="47">
        <v>1280.3224901064386</v>
      </c>
      <c r="K181" s="47">
        <v>1322.7584373403893</v>
      </c>
      <c r="L181" s="47">
        <v>1327.3322143676978</v>
      </c>
      <c r="M181" s="47">
        <v>1337.4391169003875</v>
      </c>
      <c r="N181" s="47">
        <v>1399.7867196981424</v>
      </c>
      <c r="O181" s="47">
        <v>1321.2525166733017</v>
      </c>
      <c r="P181" s="47">
        <v>1349.3654783567079</v>
      </c>
      <c r="Q181" s="47">
        <v>1350.9180302871148</v>
      </c>
      <c r="R181" s="47">
        <v>1364.0533513635544</v>
      </c>
      <c r="S181" s="47">
        <v>1424.8884502039095</v>
      </c>
      <c r="T181" s="47">
        <v>1548.6767896660929</v>
      </c>
      <c r="U181" s="47">
        <v>1693.0276907074269</v>
      </c>
      <c r="V181" s="47">
        <v>1742.8516319676874</v>
      </c>
      <c r="W181" s="47">
        <v>1815.8298829837254</v>
      </c>
      <c r="X181" s="47">
        <v>1822.8043626599192</v>
      </c>
      <c r="Y181" s="47">
        <v>1872.9381327136311</v>
      </c>
      <c r="Z181" s="47">
        <v>1683.9462674076656</v>
      </c>
      <c r="AA181" s="47">
        <v>1403.6201180319288</v>
      </c>
      <c r="AB181" s="47">
        <v>1294.5695135189785</v>
      </c>
      <c r="AC181" s="47">
        <v>1263.0819616155741</v>
      </c>
      <c r="AD181" s="47">
        <v>1235.0495821316363</v>
      </c>
      <c r="AE181" s="47">
        <v>1214.6674690450538</v>
      </c>
      <c r="AF181" s="47">
        <v>1220.4739893585656</v>
      </c>
      <c r="AG181" s="47">
        <v>1216.5213504449532</v>
      </c>
      <c r="AH181" s="47">
        <v>1162.2195184987154</v>
      </c>
      <c r="AI181" s="47">
        <v>1063.2525607699183</v>
      </c>
      <c r="AJ181" s="47">
        <v>1022.4056411125906</v>
      </c>
      <c r="AK181" s="47">
        <v>920.35217840593782</v>
      </c>
      <c r="AL181" s="47">
        <v>928.19646039890472</v>
      </c>
      <c r="AM181" s="47">
        <v>980.12263658933557</v>
      </c>
      <c r="AN181" s="47">
        <v>1066.9269552453266</v>
      </c>
      <c r="AO181" s="47">
        <v>1113.5592122066691</v>
      </c>
      <c r="AP181" s="47">
        <v>1113.5608660685098</v>
      </c>
      <c r="AQ181" s="47">
        <v>1143.9018437312109</v>
      </c>
      <c r="AR181" s="47">
        <v>1031.6887926167519</v>
      </c>
      <c r="AS181" s="47">
        <v>1079.5600144693356</v>
      </c>
      <c r="AT181" s="47">
        <v>1074.9955890678157</v>
      </c>
      <c r="AU181" s="47">
        <v>1051.2692460199028</v>
      </c>
      <c r="AV181" s="47">
        <v>1089.0113956716068</v>
      </c>
      <c r="AW181" s="47">
        <v>1176.6346375819132</v>
      </c>
      <c r="AX181" s="47">
        <v>1289.4287976767519</v>
      </c>
      <c r="AY181" s="47">
        <v>1350.3628018099048</v>
      </c>
      <c r="AZ181" s="47">
        <v>1338.073566900699</v>
      </c>
      <c r="BA181" s="47">
        <v>1476.6290119533401</v>
      </c>
      <c r="BB181" s="47">
        <v>1550.8057624871399</v>
      </c>
      <c r="BC181" s="47">
        <v>1638.4395521928741</v>
      </c>
      <c r="BD181" s="47">
        <v>1726.6110206334567</v>
      </c>
      <c r="BE181" s="47">
        <v>1836.2598807879922</v>
      </c>
      <c r="BF181" s="47">
        <v>1959.4230362040996</v>
      </c>
      <c r="BG181" s="47">
        <v>2058.9234886275608</v>
      </c>
      <c r="BH181" s="47">
        <v>2159.7672431480246</v>
      </c>
    </row>
    <row r="182" spans="1:60">
      <c r="A182" s="43" t="s">
        <v>320</v>
      </c>
      <c r="B182" s="47">
        <v>2159.7048700967962</v>
      </c>
      <c r="C182" s="47">
        <v>2175.6757464279558</v>
      </c>
      <c r="D182" s="47">
        <v>2191.3245548895384</v>
      </c>
      <c r="E182" s="47">
        <v>2222.6735566866605</v>
      </c>
      <c r="F182" s="47">
        <v>2292.1265847570344</v>
      </c>
      <c r="G182" s="47">
        <v>2310.4435244958568</v>
      </c>
      <c r="H182" s="47">
        <v>2339.1415454799776</v>
      </c>
      <c r="I182" s="47">
        <v>2370.0345939963813</v>
      </c>
      <c r="J182" s="47">
        <v>2376.1034011449974</v>
      </c>
      <c r="K182" s="47">
        <v>2451.3043731727098</v>
      </c>
      <c r="L182" s="47">
        <v>2615.982459164994</v>
      </c>
      <c r="M182" s="47">
        <v>2578.8837750791604</v>
      </c>
      <c r="N182" s="47">
        <v>2868.8841309110967</v>
      </c>
      <c r="O182" s="47">
        <v>3076.3816661060064</v>
      </c>
      <c r="P182" s="47">
        <v>3485.6708717927154</v>
      </c>
      <c r="Q182" s="47">
        <v>3625.5671723994114</v>
      </c>
      <c r="R182" s="47">
        <v>3668.3874703049582</v>
      </c>
      <c r="S182" s="47">
        <v>3429.8554099490316</v>
      </c>
      <c r="T182" s="47">
        <v>3369.2126094444343</v>
      </c>
      <c r="U182" s="47">
        <v>3396.1472778732455</v>
      </c>
      <c r="V182" s="47">
        <v>3321.4405045387134</v>
      </c>
      <c r="W182" s="47">
        <v>3314.2632128858795</v>
      </c>
      <c r="X182" s="47">
        <v>3386.8080705108164</v>
      </c>
      <c r="Y182" s="47">
        <v>3401.3047761401285</v>
      </c>
      <c r="Z182" s="47">
        <v>3424.6717689702823</v>
      </c>
      <c r="AA182" s="47">
        <v>3333.9247532422819</v>
      </c>
      <c r="AB182" s="47">
        <v>3388.6605401979368</v>
      </c>
      <c r="AC182" s="47">
        <v>3504.7064139662562</v>
      </c>
      <c r="AD182" s="47">
        <v>3658.1669013482656</v>
      </c>
      <c r="AE182" s="47">
        <v>3702.900973826544</v>
      </c>
      <c r="AF182" s="47">
        <v>3767.4495716307774</v>
      </c>
      <c r="AG182" s="47">
        <v>3825.2729128154401</v>
      </c>
      <c r="AH182" s="47">
        <v>3788.5820880168903</v>
      </c>
      <c r="AI182" s="47">
        <v>3576.7609199489293</v>
      </c>
      <c r="AJ182" s="47">
        <v>3425.4621374474077</v>
      </c>
      <c r="AK182" s="47">
        <v>3340.9653447144219</v>
      </c>
      <c r="AL182" s="47">
        <v>3343.6544878714308</v>
      </c>
      <c r="AM182" s="47">
        <v>3339.2230956105218</v>
      </c>
      <c r="AN182" s="47">
        <v>3276.9488684567036</v>
      </c>
      <c r="AO182" s="47">
        <v>3363.6681012362392</v>
      </c>
      <c r="AP182" s="47">
        <v>3140.9610837709756</v>
      </c>
      <c r="AQ182" s="47">
        <v>3229.0423686384374</v>
      </c>
      <c r="AR182" s="47">
        <v>3443.5381629137996</v>
      </c>
      <c r="AS182" s="47">
        <v>3284.4668532126998</v>
      </c>
      <c r="AT182" s="47">
        <v>3415.0691528614252</v>
      </c>
      <c r="AU182" s="47">
        <v>3467.1877954989595</v>
      </c>
      <c r="AV182" s="47">
        <v>3482.532244594971</v>
      </c>
      <c r="AW182" s="47">
        <v>3542.7502431854291</v>
      </c>
      <c r="AX182" s="47">
        <v>3581.4477684314475</v>
      </c>
      <c r="AY182" s="47">
        <v>3629.7198406453895</v>
      </c>
      <c r="AZ182" s="47">
        <v>3660.5293428581385</v>
      </c>
      <c r="BA182" s="47">
        <v>3660.2797377703869</v>
      </c>
      <c r="BB182" s="47">
        <v>3703.3221262913939</v>
      </c>
      <c r="BC182" s="47">
        <v>3788.8909616169967</v>
      </c>
      <c r="BD182" s="47">
        <v>3992.2338070591427</v>
      </c>
      <c r="BE182" s="47">
        <v>4048.1059537872052</v>
      </c>
      <c r="BF182" s="47">
        <v>4291.5376090269674</v>
      </c>
      <c r="BG182" s="47">
        <v>4484.2312428831319</v>
      </c>
      <c r="BH182" s="47">
        <v>4570.8534956951062</v>
      </c>
    </row>
    <row r="183" spans="1:60">
      <c r="A183" s="43" t="s">
        <v>321</v>
      </c>
      <c r="B183" s="47">
        <v>617.03084620137508</v>
      </c>
      <c r="C183" s="47">
        <v>629.64161816324349</v>
      </c>
      <c r="D183" s="47">
        <v>642.03283231701141</v>
      </c>
      <c r="E183" s="47">
        <v>654.17573490604741</v>
      </c>
      <c r="F183" s="47">
        <v>666.61928772973295</v>
      </c>
      <c r="G183" s="47">
        <v>679.30633498171687</v>
      </c>
      <c r="H183" s="47">
        <v>691.6235374745246</v>
      </c>
      <c r="I183" s="47">
        <v>704.09237140816776</v>
      </c>
      <c r="J183" s="47">
        <v>716.65816979393776</v>
      </c>
      <c r="K183" s="47">
        <v>729.26765453146413</v>
      </c>
      <c r="L183" s="47">
        <v>760.88091109183028</v>
      </c>
      <c r="M183" s="47">
        <v>776.50308444355414</v>
      </c>
      <c r="N183" s="47">
        <v>840.81368194509116</v>
      </c>
      <c r="O183" s="47">
        <v>904.71139487833636</v>
      </c>
      <c r="P183" s="47">
        <v>888.10677420383888</v>
      </c>
      <c r="Q183" s="47">
        <v>934.90797576586476</v>
      </c>
      <c r="R183" s="47">
        <v>903.74283830468733</v>
      </c>
      <c r="S183" s="47">
        <v>888.52610983004547</v>
      </c>
      <c r="T183" s="47">
        <v>876.51001457287725</v>
      </c>
      <c r="U183" s="47">
        <v>832.0340019628577</v>
      </c>
      <c r="V183" s="47">
        <v>838.94748036351166</v>
      </c>
      <c r="W183" s="47">
        <v>867.10590002139475</v>
      </c>
      <c r="X183" s="47">
        <v>804.10846897092779</v>
      </c>
      <c r="Y183" s="47">
        <v>652.45183965945023</v>
      </c>
      <c r="Z183" s="47">
        <v>693.39911909182717</v>
      </c>
      <c r="AA183" s="47">
        <v>658.87457385262428</v>
      </c>
      <c r="AB183" s="47">
        <v>647.93714303757315</v>
      </c>
      <c r="AC183" s="47">
        <v>681.65446529982955</v>
      </c>
      <c r="AD183" s="47">
        <v>755.54526860930866</v>
      </c>
      <c r="AE183" s="47">
        <v>791.07254743548424</v>
      </c>
      <c r="AF183" s="47">
        <v>810.19388038531861</v>
      </c>
      <c r="AG183" s="47">
        <v>800.67721281714876</v>
      </c>
      <c r="AH183" s="47">
        <v>772.37933882571065</v>
      </c>
      <c r="AI183" s="47">
        <v>740.21253532914682</v>
      </c>
      <c r="AJ183" s="47">
        <v>600.32341137066817</v>
      </c>
      <c r="AK183" s="47">
        <v>596.17317185240097</v>
      </c>
      <c r="AL183" s="47">
        <v>608.38902129594499</v>
      </c>
      <c r="AM183" s="47">
        <v>572.28015259608037</v>
      </c>
      <c r="AN183" s="47">
        <v>589.48299264445222</v>
      </c>
      <c r="AO183" s="47">
        <v>574.1280342440607</v>
      </c>
      <c r="AP183" s="47">
        <v>546.94563572068921</v>
      </c>
      <c r="AQ183" s="47">
        <v>543.72952151777361</v>
      </c>
      <c r="AR183" s="47">
        <v>492.91014604779264</v>
      </c>
      <c r="AS183" s="47">
        <v>484.12926201600914</v>
      </c>
      <c r="AT183" s="47">
        <v>487.45502026518704</v>
      </c>
      <c r="AU183" s="47">
        <v>483.45253044597467</v>
      </c>
      <c r="AV183" s="47">
        <v>482.81127608806867</v>
      </c>
      <c r="AW183" s="47">
        <v>479.83495382946256</v>
      </c>
      <c r="AX183" s="47">
        <v>511.88466931406862</v>
      </c>
      <c r="AY183" s="47">
        <v>491.13797938375438</v>
      </c>
      <c r="AZ183" s="47">
        <v>467.0623776186996</v>
      </c>
      <c r="BA183" s="47">
        <v>482.12689248887136</v>
      </c>
      <c r="BB183" s="47">
        <v>478.54169189547292</v>
      </c>
      <c r="BC183" s="47">
        <v>481.80808841149826</v>
      </c>
      <c r="BD183" s="47">
        <v>460.46107344731939</v>
      </c>
      <c r="BE183" s="47">
        <v>480.78403053968066</v>
      </c>
      <c r="BF183" s="47">
        <v>489.96009041731838</v>
      </c>
      <c r="BG183" s="47">
        <v>487.59334869488055</v>
      </c>
      <c r="BH183" s="47">
        <v>514.43593039083305</v>
      </c>
    </row>
    <row r="184" spans="1:60">
      <c r="A184" s="43" t="s">
        <v>68</v>
      </c>
      <c r="B184" s="47">
        <v>752.68132376153039</v>
      </c>
      <c r="C184" s="47">
        <v>791.82151354634323</v>
      </c>
      <c r="D184" s="47">
        <v>830.25121767741393</v>
      </c>
      <c r="E184" s="47">
        <v>831.26513085444492</v>
      </c>
      <c r="F184" s="47">
        <v>867.34072331180084</v>
      </c>
      <c r="G184" s="47">
        <v>864.70256971547485</v>
      </c>
      <c r="H184" s="47">
        <v>820.72041789225489</v>
      </c>
      <c r="I184" s="47">
        <v>830.02375529120718</v>
      </c>
      <c r="J184" s="47">
        <v>797.19969395731061</v>
      </c>
      <c r="K184" s="47">
        <v>808.2419918735668</v>
      </c>
      <c r="L184" s="47">
        <v>820.27932632525119</v>
      </c>
      <c r="M184" s="47">
        <v>823.66254114968342</v>
      </c>
      <c r="N184" s="47">
        <v>845.71820667680754</v>
      </c>
      <c r="O184" s="47">
        <v>898.54425197797116</v>
      </c>
      <c r="P184" s="47">
        <v>910.13676976728118</v>
      </c>
      <c r="Q184" s="47">
        <v>943.5945476587907</v>
      </c>
      <c r="R184" s="47">
        <v>886.88706047911103</v>
      </c>
      <c r="S184" s="47">
        <v>727.63823972070327</v>
      </c>
      <c r="T184" s="47">
        <v>699.11825240859491</v>
      </c>
      <c r="U184" s="47">
        <v>861.30226448607766</v>
      </c>
      <c r="V184" s="47">
        <v>1094.0534295374368</v>
      </c>
      <c r="W184" s="47">
        <v>1187.5694935604931</v>
      </c>
      <c r="X184" s="47">
        <v>1196.624231266363</v>
      </c>
      <c r="Y184" s="47">
        <v>1261.6553315567114</v>
      </c>
      <c r="Z184" s="47">
        <v>1366.9152810937906</v>
      </c>
      <c r="AA184" s="47">
        <v>1286.8961580578712</v>
      </c>
      <c r="AB184" s="47">
        <v>1384.5834470485545</v>
      </c>
      <c r="AC184" s="47">
        <v>1392.5094390629947</v>
      </c>
      <c r="AD184" s="47">
        <v>1271.9706719399767</v>
      </c>
      <c r="AE184" s="47">
        <v>1320.4808199507981</v>
      </c>
      <c r="AF184" s="47">
        <v>1305.0631405774839</v>
      </c>
      <c r="AG184" s="47">
        <v>1164.2370865438706</v>
      </c>
      <c r="AH184" s="47">
        <v>1119.4263930568573</v>
      </c>
      <c r="AI184" s="47">
        <v>1022.6181256834564</v>
      </c>
      <c r="AJ184" s="47">
        <v>958.48394182016432</v>
      </c>
      <c r="AK184" s="47">
        <v>1016.6438193236991</v>
      </c>
      <c r="AL184" s="47">
        <v>1009.6158500937685</v>
      </c>
      <c r="AM184" s="47">
        <v>976.27086092489242</v>
      </c>
      <c r="AN184" s="47">
        <v>1045.6277904087763</v>
      </c>
      <c r="AO184" s="47">
        <v>1084.8158330123117</v>
      </c>
      <c r="AP184" s="47">
        <v>1112.3687226291058</v>
      </c>
      <c r="AQ184" s="47">
        <v>1149.4970976562008</v>
      </c>
      <c r="AR184" s="47">
        <v>1149.9929106075892</v>
      </c>
      <c r="AS184" s="47">
        <v>1146.2531435162402</v>
      </c>
      <c r="AT184" s="47">
        <v>1111.2771525405678</v>
      </c>
      <c r="AU184" s="47">
        <v>1112.7690939251088</v>
      </c>
      <c r="AV184" s="47">
        <v>1155.6513269884304</v>
      </c>
      <c r="AW184" s="47">
        <v>1161.0711120644094</v>
      </c>
      <c r="AX184" s="47">
        <v>1154.4600526370994</v>
      </c>
      <c r="AY184" s="47">
        <v>1139.1784703992255</v>
      </c>
      <c r="AZ184" s="47">
        <v>1161.0600127694033</v>
      </c>
      <c r="BA184" s="47">
        <v>1170.1208809337725</v>
      </c>
      <c r="BB184" s="47">
        <v>1161.3998080756612</v>
      </c>
      <c r="BC184" s="47">
        <v>1257.725084998377</v>
      </c>
      <c r="BD184" s="47">
        <v>1304.6962154627295</v>
      </c>
      <c r="BE184" s="47">
        <v>1346.237506505234</v>
      </c>
      <c r="BF184" s="47">
        <v>1400.1504639304521</v>
      </c>
      <c r="BG184" s="47">
        <v>1467.6918315502191</v>
      </c>
      <c r="BH184" s="47">
        <v>1524.4438379555268</v>
      </c>
    </row>
    <row r="185" spans="1:60">
      <c r="A185" s="43" t="s">
        <v>322</v>
      </c>
      <c r="B185" s="47">
        <v>546.90204796856256</v>
      </c>
      <c r="C185" s="47">
        <v>567.26607795234008</v>
      </c>
      <c r="D185" s="47">
        <v>573.66696443366902</v>
      </c>
      <c r="E185" s="47">
        <v>583.87581600873727</v>
      </c>
      <c r="F185" s="47">
        <v>604.17840242284626</v>
      </c>
      <c r="G185" s="47">
        <v>610.13822356476999</v>
      </c>
      <c r="H185" s="47">
        <v>619.52753730136499</v>
      </c>
      <c r="I185" s="47">
        <v>628.28132723508634</v>
      </c>
      <c r="J185" s="47">
        <v>631.298133487021</v>
      </c>
      <c r="K185" s="47">
        <v>652.01443043910308</v>
      </c>
      <c r="L185" s="47">
        <v>656.10798326765507</v>
      </c>
      <c r="M185" s="47">
        <v>625.03738138843778</v>
      </c>
      <c r="N185" s="47">
        <v>694.77797691781132</v>
      </c>
      <c r="O185" s="47">
        <v>610.99671085572629</v>
      </c>
      <c r="P185" s="47">
        <v>525.44133254133499</v>
      </c>
      <c r="Q185" s="47">
        <v>548.42345266009954</v>
      </c>
      <c r="R185" s="47">
        <v>570.48788257721515</v>
      </c>
      <c r="S185" s="47">
        <v>594.17964062328747</v>
      </c>
      <c r="T185" s="47">
        <v>618.19476915084545</v>
      </c>
      <c r="U185" s="47">
        <v>665.82628487610384</v>
      </c>
      <c r="V185" s="47">
        <v>716.76697467613849</v>
      </c>
      <c r="W185" s="47">
        <v>704.50462605758798</v>
      </c>
      <c r="X185" s="47">
        <v>686.76306520484241</v>
      </c>
      <c r="Y185" s="47">
        <v>687.54329743993594</v>
      </c>
      <c r="Z185" s="47">
        <v>700.15113884756465</v>
      </c>
      <c r="AA185" s="47">
        <v>805.64876268155933</v>
      </c>
      <c r="AB185" s="47">
        <v>766.28067846332056</v>
      </c>
      <c r="AC185" s="47">
        <v>779.21042081600581</v>
      </c>
      <c r="AD185" s="47">
        <v>826.94709790874367</v>
      </c>
      <c r="AE185" s="47">
        <v>876.26748763372962</v>
      </c>
      <c r="AF185" s="47">
        <v>952.08387277617226</v>
      </c>
      <c r="AG185" s="47">
        <v>981.72825769469648</v>
      </c>
      <c r="AH185" s="47">
        <v>1030.2925804105801</v>
      </c>
      <c r="AI185" s="47">
        <v>1057.3664943160925</v>
      </c>
      <c r="AJ185" s="47">
        <v>983.07677043876163</v>
      </c>
      <c r="AK185" s="47">
        <v>1000.072532559467</v>
      </c>
      <c r="AL185" s="47">
        <v>1024.7140694307247</v>
      </c>
      <c r="AM185" s="47">
        <v>983.48678895401952</v>
      </c>
      <c r="AN185" s="47">
        <v>917.80887104746296</v>
      </c>
      <c r="AO185" s="47">
        <v>906.53869604133217</v>
      </c>
      <c r="AP185" s="47">
        <v>877.28595654963794</v>
      </c>
      <c r="AQ185" s="47">
        <v>823.07512789232112</v>
      </c>
      <c r="AR185" s="47">
        <v>859.41599114024029</v>
      </c>
      <c r="AS185" s="47">
        <v>757.958669958109</v>
      </c>
      <c r="AT185" s="47">
        <v>455.59715633303995</v>
      </c>
      <c r="AU185" s="47">
        <v>706.5129210555134</v>
      </c>
      <c r="AV185" s="47">
        <v>667.79676063279737</v>
      </c>
      <c r="AW185" s="47">
        <v>652.73014805946013</v>
      </c>
      <c r="AX185" s="47">
        <v>677.17775237313856</v>
      </c>
      <c r="AY185" s="47">
        <v>713.84257468907288</v>
      </c>
      <c r="AZ185" s="47">
        <v>742.43112248072009</v>
      </c>
      <c r="BA185" s="47">
        <v>774.5143902246316</v>
      </c>
      <c r="BB185" s="47">
        <v>825.91204048281429</v>
      </c>
      <c r="BC185" s="47">
        <v>813.63142282994249</v>
      </c>
      <c r="BD185" s="47">
        <v>824.72455864966037</v>
      </c>
      <c r="BE185" s="47">
        <v>860.50389487308155</v>
      </c>
      <c r="BF185" s="47">
        <v>898.40706275153889</v>
      </c>
      <c r="BG185" s="47">
        <v>943.02210575836978</v>
      </c>
      <c r="BH185" s="47">
        <v>1020.0211799200536</v>
      </c>
    </row>
    <row r="186" spans="1:60">
      <c r="A186" s="43" t="s">
        <v>323</v>
      </c>
      <c r="B186" s="47">
        <v>820.35827892181487</v>
      </c>
      <c r="C186" s="47">
        <v>817.81160291074173</v>
      </c>
      <c r="D186" s="47">
        <v>816.51697188848709</v>
      </c>
      <c r="E186" s="47">
        <v>816.66666666666663</v>
      </c>
      <c r="F186" s="47">
        <v>849.91500849915008</v>
      </c>
      <c r="G186" s="47">
        <v>763.77704351868772</v>
      </c>
      <c r="H186" s="47">
        <v>805.96082043521892</v>
      </c>
      <c r="I186" s="47">
        <v>799.02160619649408</v>
      </c>
      <c r="J186" s="47">
        <v>875.44380137152871</v>
      </c>
      <c r="K186" s="47">
        <v>783.91220183339476</v>
      </c>
      <c r="L186" s="47">
        <v>867.46683910855961</v>
      </c>
      <c r="M186" s="47">
        <v>932.69081299549202</v>
      </c>
      <c r="N186" s="47">
        <v>994.72033055321754</v>
      </c>
      <c r="O186" s="47">
        <v>1054.8364250086645</v>
      </c>
      <c r="P186" s="47">
        <v>1111.9017968333037</v>
      </c>
      <c r="Q186" s="47">
        <v>1164.6358329329898</v>
      </c>
      <c r="R186" s="47">
        <v>1232.6921423042743</v>
      </c>
      <c r="S186" s="47">
        <v>1285.5467811886363</v>
      </c>
      <c r="T186" s="47">
        <v>1336.9728705921675</v>
      </c>
      <c r="U186" s="47">
        <v>1388.8506916751467</v>
      </c>
      <c r="V186" s="47">
        <v>1439.6110333962597</v>
      </c>
      <c r="W186" s="47">
        <v>1482.7678332888056</v>
      </c>
      <c r="X186" s="47">
        <v>1423.069390952412</v>
      </c>
      <c r="Y186" s="47">
        <v>1355.117486129222</v>
      </c>
      <c r="Z186" s="47">
        <v>1355.6428634189815</v>
      </c>
      <c r="AA186" s="47">
        <v>1421.4466896222139</v>
      </c>
      <c r="AB186" s="47">
        <v>1496.8637141227903</v>
      </c>
      <c r="AC186" s="47">
        <v>1612.9775565694272</v>
      </c>
      <c r="AD186" s="47">
        <v>1667.2821063703605</v>
      </c>
      <c r="AE186" s="47">
        <v>1808.2000784279553</v>
      </c>
      <c r="AF186" s="47">
        <v>2009.1207704818701</v>
      </c>
      <c r="AG186" s="47">
        <v>1420.5281876341467</v>
      </c>
      <c r="AH186" s="47">
        <v>1755.2225480149752</v>
      </c>
      <c r="AI186" s="47">
        <v>1567.6313883459504</v>
      </c>
      <c r="AJ186" s="47">
        <v>1406.1696907396454</v>
      </c>
      <c r="AK186" s="47">
        <v>1487.4748929397051</v>
      </c>
      <c r="AL186" s="47">
        <v>1471.0916610382762</v>
      </c>
      <c r="AM186" s="47">
        <v>1408.8959132987131</v>
      </c>
      <c r="AN186" s="47">
        <v>1401.1156052555054</v>
      </c>
      <c r="AO186" s="47">
        <v>1392.2788683007323</v>
      </c>
      <c r="AP186" s="47">
        <v>1390.7390186074178</v>
      </c>
      <c r="AQ186" s="47">
        <v>1355.0688554566011</v>
      </c>
      <c r="AR186" s="47">
        <v>1327.2824091367897</v>
      </c>
      <c r="AS186" s="47">
        <v>1306.5629662844904</v>
      </c>
      <c r="AT186" s="47">
        <v>1299.9308707282617</v>
      </c>
      <c r="AU186" s="47">
        <v>1284.2965557501459</v>
      </c>
      <c r="AV186" s="47">
        <v>1267.5527733913054</v>
      </c>
      <c r="AW186" s="47">
        <v>1243.123330196908</v>
      </c>
      <c r="AX186" s="47">
        <v>1231.8058940247424</v>
      </c>
      <c r="AY186" s="47">
        <v>1226.0437504033039</v>
      </c>
      <c r="AZ186" s="47">
        <v>1225.3982544326905</v>
      </c>
      <c r="BA186" s="47">
        <v>1235.4426700096292</v>
      </c>
      <c r="BB186" s="47">
        <v>1255.2350339617331</v>
      </c>
      <c r="BC186" s="47">
        <v>1295.2852752197157</v>
      </c>
      <c r="BD186" s="47">
        <v>1331.6238657811184</v>
      </c>
      <c r="BE186" s="47">
        <v>1364.5764482633631</v>
      </c>
      <c r="BF186" s="47">
        <v>1409.8763646880197</v>
      </c>
      <c r="BG186" s="47">
        <v>1446.2510071211598</v>
      </c>
      <c r="BH186" s="47">
        <v>1484.1544684689929</v>
      </c>
    </row>
    <row r="187" spans="1:60">
      <c r="A187" s="43" t="s">
        <v>324</v>
      </c>
      <c r="B187" s="47">
        <v>1258.8983876315187</v>
      </c>
      <c r="C187" s="47">
        <v>1281.4199509234793</v>
      </c>
      <c r="D187" s="47">
        <v>1303.2454372581653</v>
      </c>
      <c r="E187" s="47">
        <v>1324.3135303992963</v>
      </c>
      <c r="F187" s="47">
        <v>1345.7311588650118</v>
      </c>
      <c r="G187" s="47">
        <v>1367.3717868277026</v>
      </c>
      <c r="H187" s="47">
        <v>1387.9945850095144</v>
      </c>
      <c r="I187" s="47">
        <v>1408.6439759379152</v>
      </c>
      <c r="J187" s="47">
        <v>1429.060233152044</v>
      </c>
      <c r="K187" s="47">
        <v>1448.2229792571125</v>
      </c>
      <c r="L187" s="47">
        <v>1444.6390453789054</v>
      </c>
      <c r="M187" s="47">
        <v>1474.6589854378215</v>
      </c>
      <c r="N187" s="47">
        <v>1487.1211203366097</v>
      </c>
      <c r="O187" s="47">
        <v>1506.896485174512</v>
      </c>
      <c r="P187" s="47">
        <v>1499.3809486757773</v>
      </c>
      <c r="Q187" s="47">
        <v>1510.6266331237064</v>
      </c>
      <c r="R187" s="47">
        <v>1508.1150485846106</v>
      </c>
      <c r="S187" s="47">
        <v>1448.8563878214143</v>
      </c>
      <c r="T187" s="47">
        <v>1499.0147528945211</v>
      </c>
      <c r="U187" s="47">
        <v>1361.6891579762498</v>
      </c>
      <c r="V187" s="47">
        <v>1435.1735782406449</v>
      </c>
      <c r="W187" s="47">
        <v>1390.2704899980943</v>
      </c>
      <c r="X187" s="47">
        <v>1435.6540986328621</v>
      </c>
      <c r="Y187" s="47">
        <v>1315.1581684335897</v>
      </c>
      <c r="Z187" s="47">
        <v>1329.4774361748841</v>
      </c>
      <c r="AA187" s="47">
        <v>1396.0794114920013</v>
      </c>
      <c r="AB187" s="47">
        <v>1487.4304185997021</v>
      </c>
      <c r="AC187" s="47">
        <v>1402.918221920597</v>
      </c>
      <c r="AD187" s="47">
        <v>1305.9112343406043</v>
      </c>
      <c r="AE187" s="47">
        <v>1353.96153917117</v>
      </c>
      <c r="AF187" s="47">
        <v>1268.1912476636114</v>
      </c>
      <c r="AG187" s="47">
        <v>1218.7153940534777</v>
      </c>
      <c r="AH187" s="47">
        <v>1359.6043142216372</v>
      </c>
      <c r="AI187" s="47">
        <v>1350.7375580096095</v>
      </c>
      <c r="AJ187" s="47">
        <v>1248.1895313639986</v>
      </c>
      <c r="AK187" s="47">
        <v>1255.0040691073041</v>
      </c>
      <c r="AL187" s="47">
        <v>1274.4018294925886</v>
      </c>
      <c r="AM187" s="47">
        <v>1284.8357483595667</v>
      </c>
      <c r="AN187" s="47">
        <v>1308.11251060111</v>
      </c>
      <c r="AO187" s="47">
        <v>1241.6992413111179</v>
      </c>
      <c r="AP187" s="47">
        <v>1253.9009418255957</v>
      </c>
      <c r="AQ187" s="47">
        <v>1209.8655678285938</v>
      </c>
      <c r="AR187" s="47">
        <v>1199.0455705019351</v>
      </c>
      <c r="AS187" s="47">
        <v>1138.5372595097501</v>
      </c>
      <c r="AT187" s="47">
        <v>1137.8705842845548</v>
      </c>
      <c r="AU187" s="47">
        <v>1162.6033798625608</v>
      </c>
      <c r="AV187" s="47">
        <v>1186.9478360348883</v>
      </c>
      <c r="AW187" s="47">
        <v>1211.7669990442987</v>
      </c>
      <c r="AX187" s="47">
        <v>1244.7596664308621</v>
      </c>
      <c r="AY187" s="47">
        <v>1273.7630472056355</v>
      </c>
      <c r="AZ187" s="47">
        <v>1313.1201606085865</v>
      </c>
      <c r="BA187" s="47">
        <v>1337.0430411103623</v>
      </c>
      <c r="BB187" s="47">
        <v>1314.7036265820088</v>
      </c>
      <c r="BC187" s="47">
        <v>1363.0500348320654</v>
      </c>
      <c r="BD187" s="47">
        <v>1402.1000767667169</v>
      </c>
      <c r="BE187" s="47">
        <v>1439.7942318167245</v>
      </c>
      <c r="BF187" s="47">
        <v>1433.7876393013189</v>
      </c>
      <c r="BG187" s="47">
        <v>1460.1833887423988</v>
      </c>
      <c r="BH187" s="47">
        <v>1456.1479872032846</v>
      </c>
    </row>
    <row r="188" spans="1:60">
      <c r="A188" s="43" t="s">
        <v>325</v>
      </c>
      <c r="B188" s="47">
        <v>1912.258165761654</v>
      </c>
      <c r="C188" s="47">
        <v>2018.6800777797803</v>
      </c>
      <c r="D188" s="47">
        <v>2049.663573418431</v>
      </c>
      <c r="E188" s="47">
        <v>2084.0456005547476</v>
      </c>
      <c r="F188" s="47">
        <v>2173.6325936439807</v>
      </c>
      <c r="G188" s="47">
        <v>2164.3599238485972</v>
      </c>
      <c r="H188" s="47">
        <v>2142.5151646332793</v>
      </c>
      <c r="I188" s="47">
        <v>2185.8869594680168</v>
      </c>
      <c r="J188" s="47">
        <v>2199.5835254367212</v>
      </c>
      <c r="K188" s="47">
        <v>2253.9556050778774</v>
      </c>
      <c r="L188" s="47">
        <v>2366.5239470203846</v>
      </c>
      <c r="M188" s="47">
        <v>2175.7772667267932</v>
      </c>
      <c r="N188" s="47">
        <v>2305.6402754794458</v>
      </c>
      <c r="O188" s="47">
        <v>2458.1439385866988</v>
      </c>
      <c r="P188" s="47">
        <v>2488.2320021703554</v>
      </c>
      <c r="Q188" s="47">
        <v>2434.5984568687873</v>
      </c>
      <c r="R188" s="47">
        <v>2434.4440004953099</v>
      </c>
      <c r="S188" s="47">
        <v>2381.1563792529096</v>
      </c>
      <c r="T188" s="47">
        <v>2521.6346545218898</v>
      </c>
      <c r="U188" s="47">
        <v>2455.2657375463955</v>
      </c>
      <c r="V188" s="47">
        <v>2569.9748132555183</v>
      </c>
      <c r="W188" s="47">
        <v>2909.7859617182276</v>
      </c>
      <c r="X188" s="47">
        <v>3025.5710059043222</v>
      </c>
      <c r="Y188" s="47">
        <v>3251.4910040432742</v>
      </c>
      <c r="Z188" s="47">
        <v>3244.758899096822</v>
      </c>
      <c r="AA188" s="47">
        <v>3307.0848516004185</v>
      </c>
      <c r="AB188" s="47">
        <v>3582.7221657481123</v>
      </c>
      <c r="AC188" s="47">
        <v>3786.892495054929</v>
      </c>
      <c r="AD188" s="47">
        <v>4008.884260580202</v>
      </c>
      <c r="AE188" s="47">
        <v>4615.0512894880303</v>
      </c>
      <c r="AF188" s="47">
        <v>4443.9012484524428</v>
      </c>
      <c r="AG188" s="47">
        <v>4095.4020733061693</v>
      </c>
      <c r="AH188" s="47">
        <v>3980.5091092164757</v>
      </c>
      <c r="AI188" s="47">
        <v>3878.5703688527474</v>
      </c>
      <c r="AJ188" s="47">
        <v>3989.0318994974791</v>
      </c>
      <c r="AK188" s="47">
        <v>4324.4832673812161</v>
      </c>
      <c r="AL188" s="47">
        <v>4372.185345055198</v>
      </c>
      <c r="AM188" s="47">
        <v>4549.360219381766</v>
      </c>
      <c r="AN188" s="47">
        <v>4690.1706618673506</v>
      </c>
      <c r="AO188" s="47">
        <v>4898.6150607497311</v>
      </c>
      <c r="AP188" s="47">
        <v>5169.4915254237294</v>
      </c>
      <c r="AQ188" s="47">
        <v>5246.158355315496</v>
      </c>
      <c r="AR188" s="47">
        <v>5542.2388380849907</v>
      </c>
      <c r="AS188" s="47">
        <v>5836.7115683733855</v>
      </c>
      <c r="AT188" s="47">
        <v>5638.5145616661948</v>
      </c>
      <c r="AU188" s="47">
        <v>5605.1567442046689</v>
      </c>
      <c r="AV188" s="47">
        <v>6101.9098185276171</v>
      </c>
      <c r="AW188" s="47">
        <v>6779.6610169491523</v>
      </c>
      <c r="AX188" s="47">
        <v>7100.8370694793575</v>
      </c>
      <c r="AY188" s="47">
        <v>6808.5542060739472</v>
      </c>
      <c r="AZ188" s="47">
        <v>6367.0128098233918</v>
      </c>
      <c r="BA188" s="47">
        <v>6149.2023499183015</v>
      </c>
      <c r="BB188" s="47">
        <v>6151.0015408320496</v>
      </c>
      <c r="BC188" s="47">
        <v>5728.2843179075917</v>
      </c>
      <c r="BD188" s="47">
        <v>5495.9623960467634</v>
      </c>
      <c r="BE188" s="47">
        <v>5745.8932360584604</v>
      </c>
      <c r="BF188" s="47">
        <v>5813.8163635934807</v>
      </c>
      <c r="BG188" s="47">
        <v>6020.8629903619521</v>
      </c>
      <c r="BH188" s="47">
        <v>6108.897742363878</v>
      </c>
    </row>
    <row r="189" spans="1:60">
      <c r="A189" s="43" t="s">
        <v>326</v>
      </c>
      <c r="B189" s="47">
        <v>656.26840042332276</v>
      </c>
      <c r="C189" s="47">
        <v>684.5663198421862</v>
      </c>
      <c r="D189" s="47">
        <v>696.5772006078588</v>
      </c>
      <c r="E189" s="47">
        <v>713.73141860941564</v>
      </c>
      <c r="F189" s="47">
        <v>743.88969769780056</v>
      </c>
      <c r="G189" s="47">
        <v>759.50452195718844</v>
      </c>
      <c r="H189" s="47">
        <v>777.47873080181921</v>
      </c>
      <c r="I189" s="47">
        <v>795.30655976659125</v>
      </c>
      <c r="J189" s="47">
        <v>806.5000362388563</v>
      </c>
      <c r="K189" s="47">
        <v>840.86183592595376</v>
      </c>
      <c r="L189" s="47">
        <v>855.64826705163853</v>
      </c>
      <c r="M189" s="47">
        <v>858.42529115546211</v>
      </c>
      <c r="N189" s="47">
        <v>884.10629973628465</v>
      </c>
      <c r="O189" s="47">
        <v>885.73175365060899</v>
      </c>
      <c r="P189" s="47">
        <v>882.722247270764</v>
      </c>
      <c r="Q189" s="47">
        <v>931.50929607029889</v>
      </c>
      <c r="R189" s="47">
        <v>975.92524891144751</v>
      </c>
      <c r="S189" s="47">
        <v>954.8921246803734</v>
      </c>
      <c r="T189" s="47">
        <v>1032.4681124617498</v>
      </c>
      <c r="U189" s="47">
        <v>1108.8161335691002</v>
      </c>
      <c r="V189" s="47">
        <v>1128.9070824707649</v>
      </c>
      <c r="W189" s="47">
        <v>1101.0917614278012</v>
      </c>
      <c r="X189" s="47">
        <v>1071.8473863236138</v>
      </c>
      <c r="Y189" s="47">
        <v>1087.1449348682554</v>
      </c>
      <c r="Z189" s="47">
        <v>1112.8541259589815</v>
      </c>
      <c r="AA189" s="47">
        <v>1124.5461196033418</v>
      </c>
      <c r="AB189" s="47">
        <v>1070.1853305286202</v>
      </c>
      <c r="AC189" s="47">
        <v>1065.3017800311679</v>
      </c>
      <c r="AD189" s="47">
        <v>1048.1791162606778</v>
      </c>
      <c r="AE189" s="47">
        <v>1086.8325382099013</v>
      </c>
      <c r="AF189" s="47">
        <v>1115.9182186012977</v>
      </c>
      <c r="AG189" s="47">
        <v>1161.5447856187652</v>
      </c>
      <c r="AH189" s="47">
        <v>1157.4294529886404</v>
      </c>
      <c r="AI189" s="47">
        <v>1117.2497679999151</v>
      </c>
      <c r="AJ189" s="47">
        <v>1108.279213736032</v>
      </c>
      <c r="AK189" s="47">
        <v>1054.2135280888331</v>
      </c>
      <c r="AL189" s="47">
        <v>994.58337069043546</v>
      </c>
      <c r="AM189" s="47">
        <v>1023.2015862246016</v>
      </c>
      <c r="AN189" s="47">
        <v>1026.3545486580376</v>
      </c>
      <c r="AO189" s="47">
        <v>1024.5978471526398</v>
      </c>
      <c r="AP189" s="47">
        <v>1025.6895603258072</v>
      </c>
      <c r="AQ189" s="47">
        <v>918.96084289460907</v>
      </c>
      <c r="AR189" s="47">
        <v>844.88060162131796</v>
      </c>
      <c r="AS189" s="47">
        <v>855.08473345492848</v>
      </c>
      <c r="AT189" s="47">
        <v>865.08438289420417</v>
      </c>
      <c r="AU189" s="47">
        <v>766.05569480860368</v>
      </c>
      <c r="AV189" s="47">
        <v>568.71150848927903</v>
      </c>
      <c r="AW189" s="47">
        <v>454.32347788003023</v>
      </c>
      <c r="AX189" s="47">
        <v>441.4891218661698</v>
      </c>
      <c r="AY189" s="47">
        <v>403.53075599224047</v>
      </c>
      <c r="AZ189" s="47">
        <v>409.2936870134705</v>
      </c>
      <c r="BA189" s="47">
        <v>457.63072699398145</v>
      </c>
      <c r="BB189" s="47">
        <v>553.16651486271576</v>
      </c>
      <c r="BC189" s="47">
        <v>572.27410924583501</v>
      </c>
      <c r="BD189" s="47">
        <v>595.93187627408747</v>
      </c>
      <c r="BE189" s="47">
        <v>623.54444588381511</v>
      </c>
      <c r="BF189" s="47">
        <v>640.31506827671262</v>
      </c>
      <c r="BG189" s="47">
        <v>665.76088944094442</v>
      </c>
      <c r="BH189" s="47">
        <v>686.44243621772591</v>
      </c>
    </row>
    <row r="190" spans="1:60">
      <c r="A190" s="43" t="s">
        <v>327</v>
      </c>
      <c r="B190" s="47">
        <v>1056.633244897725</v>
      </c>
      <c r="C190" s="47">
        <v>1097.6603394043138</v>
      </c>
      <c r="D190" s="47">
        <v>1111.9931428408613</v>
      </c>
      <c r="E190" s="47">
        <v>1132.4680733357575</v>
      </c>
      <c r="F190" s="47">
        <v>1175.4519275238381</v>
      </c>
      <c r="G190" s="47">
        <v>1190.6075539803808</v>
      </c>
      <c r="H190" s="47">
        <v>1210.9619755738588</v>
      </c>
      <c r="I190" s="47">
        <v>1231.8305001231831</v>
      </c>
      <c r="J190" s="47">
        <v>1240.7682611478797</v>
      </c>
      <c r="K190" s="47">
        <v>1286.8728265025345</v>
      </c>
      <c r="L190" s="47">
        <v>1277.1487139027872</v>
      </c>
      <c r="M190" s="47">
        <v>1311.252408465069</v>
      </c>
      <c r="N190" s="47">
        <v>1340.8424841233536</v>
      </c>
      <c r="O190" s="47">
        <v>1363.8878114846348</v>
      </c>
      <c r="P190" s="47">
        <v>1190.8459862016246</v>
      </c>
      <c r="Q190" s="47">
        <v>1088.1939788021518</v>
      </c>
      <c r="R190" s="47">
        <v>1215.987961152777</v>
      </c>
      <c r="S190" s="47">
        <v>1257.8601678294024</v>
      </c>
      <c r="T190" s="47">
        <v>1251.6911951169209</v>
      </c>
      <c r="U190" s="47">
        <v>1071.1312010198062</v>
      </c>
      <c r="V190" s="47">
        <v>1138.2759891124747</v>
      </c>
      <c r="W190" s="47">
        <v>1141.2643834093954</v>
      </c>
      <c r="X190" s="47">
        <v>1228.3339162082004</v>
      </c>
      <c r="Y190" s="47">
        <v>1176.3493999346331</v>
      </c>
      <c r="Z190" s="47">
        <v>914.22112928407694</v>
      </c>
      <c r="AA190" s="47">
        <v>1201.6170470697141</v>
      </c>
      <c r="AB190" s="47">
        <v>1166.4104920322413</v>
      </c>
      <c r="AC190" s="47">
        <v>1420.2291609212639</v>
      </c>
      <c r="AD190" s="47">
        <v>1389.0369934743042</v>
      </c>
      <c r="AE190" s="47">
        <v>1180.5770781263357</v>
      </c>
      <c r="AF190" s="47">
        <v>1036.4965897449838</v>
      </c>
      <c r="AG190" s="47">
        <v>1112.0642327751852</v>
      </c>
      <c r="AH190" s="47">
        <v>1151.0844634791204</v>
      </c>
      <c r="AI190" s="47">
        <v>1014.5840213831318</v>
      </c>
      <c r="AJ190" s="47">
        <v>1014.1951944581775</v>
      </c>
      <c r="AK190" s="47">
        <v>1055.3470374646649</v>
      </c>
      <c r="AL190" s="47">
        <v>1050.7932550867642</v>
      </c>
      <c r="AM190" s="47">
        <v>1067.7215623119796</v>
      </c>
      <c r="AN190" s="47">
        <v>1063.7024651185382</v>
      </c>
      <c r="AO190" s="47">
        <v>1086.1129909252147</v>
      </c>
      <c r="AP190" s="47">
        <v>1080.5377973047971</v>
      </c>
      <c r="AQ190" s="47">
        <v>1006.2679432424661</v>
      </c>
      <c r="AR190" s="47">
        <v>905.13525281084878</v>
      </c>
      <c r="AS190" s="47">
        <v>907.38985113299168</v>
      </c>
      <c r="AT190" s="47">
        <v>910.05740337524185</v>
      </c>
      <c r="AU190" s="47">
        <v>916.61534433146767</v>
      </c>
      <c r="AV190" s="47">
        <v>919.95102721019828</v>
      </c>
      <c r="AW190" s="47">
        <v>895.26376730963023</v>
      </c>
      <c r="AX190" s="47">
        <v>867.74199291219611</v>
      </c>
      <c r="AY190" s="47">
        <v>857.75815124740279</v>
      </c>
      <c r="AZ190" s="47">
        <v>847.58131974098137</v>
      </c>
      <c r="BA190" s="47">
        <v>835.34740211678161</v>
      </c>
      <c r="BB190" s="47">
        <v>847.94055298488752</v>
      </c>
      <c r="BC190" s="47">
        <v>860.99705367248646</v>
      </c>
      <c r="BD190" s="47">
        <v>878.54234788078247</v>
      </c>
      <c r="BE190" s="47">
        <v>896.66332245980516</v>
      </c>
      <c r="BF190" s="47">
        <v>918.14338141653877</v>
      </c>
      <c r="BG190" s="47">
        <v>949.5664313898701</v>
      </c>
      <c r="BH190" s="47">
        <v>978.06534928618703</v>
      </c>
    </row>
    <row r="191" spans="1:60">
      <c r="A191" s="43" t="s">
        <v>328</v>
      </c>
      <c r="B191" s="47">
        <v>2534.9459559812576</v>
      </c>
      <c r="C191" s="47">
        <v>2591.1064082425642</v>
      </c>
      <c r="D191" s="47">
        <v>2618.9923806008483</v>
      </c>
      <c r="E191" s="47">
        <v>2674.9482926436626</v>
      </c>
      <c r="F191" s="47">
        <v>2763.328988708121</v>
      </c>
      <c r="G191" s="47">
        <v>2830.0960948253546</v>
      </c>
      <c r="H191" s="47">
        <v>2913.7624649572667</v>
      </c>
      <c r="I191" s="47">
        <v>2951.0920124745098</v>
      </c>
      <c r="J191" s="47">
        <v>2939.0056042941737</v>
      </c>
      <c r="K191" s="47">
        <v>2994.7280921500801</v>
      </c>
      <c r="L191" s="47">
        <v>3041.4726678782977</v>
      </c>
      <c r="M191" s="47">
        <v>3091.6045542914749</v>
      </c>
      <c r="N191" s="47">
        <v>3178.6163639219717</v>
      </c>
      <c r="O191" s="47">
        <v>3320.9611964478454</v>
      </c>
      <c r="P191" s="47">
        <v>3449.9389822665621</v>
      </c>
      <c r="Q191" s="47">
        <v>3559.3596073349445</v>
      </c>
      <c r="R191" s="47">
        <v>3614.9999204277601</v>
      </c>
      <c r="S191" s="47">
        <v>3760.4165152093169</v>
      </c>
      <c r="T191" s="47">
        <v>3818.8554259447687</v>
      </c>
      <c r="U191" s="47">
        <v>3946.1837250695667</v>
      </c>
      <c r="V191" s="47">
        <v>4045.1475923000339</v>
      </c>
      <c r="W191" s="47">
        <v>4134.9251932151665</v>
      </c>
      <c r="X191" s="47">
        <v>4109.4205632934127</v>
      </c>
      <c r="Y191" s="47">
        <v>4175.194454399556</v>
      </c>
      <c r="Z191" s="47">
        <v>4299.3717827116407</v>
      </c>
      <c r="AA191" s="47">
        <v>4270.8511749580839</v>
      </c>
      <c r="AB191" s="47">
        <v>4267.0896929228256</v>
      </c>
      <c r="AC191" s="47">
        <v>4155.3402307531123</v>
      </c>
      <c r="AD191" s="47">
        <v>4174.0735933162623</v>
      </c>
      <c r="AE191" s="47">
        <v>4231.6458750589281</v>
      </c>
      <c r="AF191" s="47">
        <v>4390.0367161982049</v>
      </c>
      <c r="AG191" s="47">
        <v>4480.4954958031731</v>
      </c>
      <c r="AH191" s="47">
        <v>4323.0272797694915</v>
      </c>
      <c r="AI191" s="47">
        <v>4111.8829094596658</v>
      </c>
      <c r="AJ191" s="47">
        <v>4185.8392967335431</v>
      </c>
      <c r="AK191" s="47">
        <v>4006.4852266818766</v>
      </c>
      <c r="AL191" s="47">
        <v>3911.7388334999278</v>
      </c>
      <c r="AM191" s="47">
        <v>3897.3036068952465</v>
      </c>
      <c r="AN191" s="47">
        <v>3963.9938383266522</v>
      </c>
      <c r="AO191" s="47">
        <v>3955.6385522645637</v>
      </c>
      <c r="AP191" s="47">
        <v>3833.765292184095</v>
      </c>
      <c r="AQ191" s="47">
        <v>3715.9208632593763</v>
      </c>
      <c r="AR191" s="47">
        <v>3566.0611849018628</v>
      </c>
      <c r="AS191" s="47">
        <v>3533.9678800758493</v>
      </c>
      <c r="AT191" s="47">
        <v>3583.9432881755488</v>
      </c>
      <c r="AU191" s="47">
        <v>3645.5026995053818</v>
      </c>
      <c r="AV191" s="47">
        <v>3751.9548027795227</v>
      </c>
      <c r="AW191" s="47">
        <v>3800.9733532821424</v>
      </c>
      <c r="AX191" s="47">
        <v>3777.223217073029</v>
      </c>
      <c r="AY191" s="47">
        <v>3807.6621370861685</v>
      </c>
      <c r="AZ191" s="47">
        <v>3890.1255718021916</v>
      </c>
      <c r="BA191" s="47">
        <v>3950.2622146222548</v>
      </c>
      <c r="BB191" s="47">
        <v>4048.0107267509638</v>
      </c>
      <c r="BC191" s="47">
        <v>4129.6099056006342</v>
      </c>
      <c r="BD191" s="47">
        <v>4156.0937409172557</v>
      </c>
      <c r="BE191" s="47">
        <v>4315.8619044653606</v>
      </c>
      <c r="BF191" s="47">
        <v>4502.6601506595553</v>
      </c>
      <c r="BG191" s="47">
        <v>4689.0935085647316</v>
      </c>
      <c r="BH191" s="47">
        <v>4793.2717207136002</v>
      </c>
    </row>
    <row r="192" spans="1:60">
      <c r="A192" s="43" t="s">
        <v>329</v>
      </c>
      <c r="B192" s="47">
        <v>820.83681391957202</v>
      </c>
      <c r="C192" s="47">
        <v>836.98643094176305</v>
      </c>
      <c r="D192" s="47">
        <v>854.77176810660694</v>
      </c>
      <c r="E192" s="47">
        <v>870.98420769578672</v>
      </c>
      <c r="F192" s="47">
        <v>888.63842746728608</v>
      </c>
      <c r="G192" s="47">
        <v>906.84920747406113</v>
      </c>
      <c r="H192" s="47">
        <v>975.65646384006175</v>
      </c>
      <c r="I192" s="47">
        <v>936.41241210047417</v>
      </c>
      <c r="J192" s="47">
        <v>948.68107430514715</v>
      </c>
      <c r="K192" s="47">
        <v>1032.7272997706111</v>
      </c>
      <c r="L192" s="47">
        <v>1023.5380325371464</v>
      </c>
      <c r="M192" s="47">
        <v>995.97337651478654</v>
      </c>
      <c r="N192" s="47">
        <v>1036.5189503159784</v>
      </c>
      <c r="O192" s="47">
        <v>979.85315544333366</v>
      </c>
      <c r="P192" s="47">
        <v>944.20459009873787</v>
      </c>
      <c r="Q192" s="47">
        <v>984.2658994352189</v>
      </c>
      <c r="R192" s="47">
        <v>946.71302789413494</v>
      </c>
      <c r="S192" s="47">
        <v>892.85931200581524</v>
      </c>
      <c r="T192" s="47">
        <v>922.5584815964512</v>
      </c>
      <c r="U192" s="47">
        <v>953.60888092293271</v>
      </c>
      <c r="V192" s="47">
        <v>888.18119409859696</v>
      </c>
      <c r="W192" s="47">
        <v>923.10194475471337</v>
      </c>
      <c r="X192" s="47">
        <v>877.86641376585203</v>
      </c>
      <c r="Y192" s="47">
        <v>779.65861407505258</v>
      </c>
      <c r="Z192" s="47">
        <v>832.7041745444202</v>
      </c>
      <c r="AA192" s="47">
        <v>910.04808836031998</v>
      </c>
      <c r="AB192" s="47">
        <v>1044.1430262785811</v>
      </c>
      <c r="AC192" s="47">
        <v>1165.2615385852837</v>
      </c>
      <c r="AD192" s="47">
        <v>1107.760418661187</v>
      </c>
      <c r="AE192" s="47">
        <v>956.44472036811771</v>
      </c>
      <c r="AF192" s="47">
        <v>931.46945353054002</v>
      </c>
      <c r="AG192" s="47">
        <v>920.1084517749523</v>
      </c>
      <c r="AH192" s="47">
        <v>1002.6401319742436</v>
      </c>
      <c r="AI192" s="47">
        <v>958.29881779146365</v>
      </c>
      <c r="AJ192" s="47">
        <v>881.12419255432803</v>
      </c>
      <c r="AK192" s="47">
        <v>798.75113423832011</v>
      </c>
      <c r="AL192" s="47">
        <v>807.46101486809232</v>
      </c>
      <c r="AM192" s="47">
        <v>808.16180442501582</v>
      </c>
      <c r="AN192" s="47">
        <v>804.29034545397553</v>
      </c>
      <c r="AO192" s="47">
        <v>849.17173772031219</v>
      </c>
      <c r="AP192" s="47">
        <v>759.81987435889118</v>
      </c>
      <c r="AQ192" s="47">
        <v>786.03469188093004</v>
      </c>
      <c r="AR192" s="47">
        <v>799.96394096642007</v>
      </c>
      <c r="AS192" s="47">
        <v>801.3386292575658</v>
      </c>
      <c r="AT192" s="47">
        <v>796.00467122063196</v>
      </c>
      <c r="AU192" s="47">
        <v>798.35867833766213</v>
      </c>
      <c r="AV192" s="47">
        <v>819.22757828610077</v>
      </c>
      <c r="AW192" s="47">
        <v>879.08335977770332</v>
      </c>
      <c r="AX192" s="47">
        <v>905.30063797057642</v>
      </c>
      <c r="AY192" s="47">
        <v>950.63168919444945</v>
      </c>
      <c r="AZ192" s="47">
        <v>1016.9378213280636</v>
      </c>
      <c r="BA192" s="47">
        <v>1052.2083755889369</v>
      </c>
      <c r="BB192" s="47">
        <v>1089.0826013512667</v>
      </c>
      <c r="BC192" s="47">
        <v>1144.6010052725323</v>
      </c>
      <c r="BD192" s="47">
        <v>1186.650106777214</v>
      </c>
      <c r="BE192" s="47">
        <v>1239.1546165937407</v>
      </c>
      <c r="BF192" s="47">
        <v>1350.1748212227715</v>
      </c>
      <c r="BG192" s="47">
        <v>1457.4640856257736</v>
      </c>
      <c r="BH192" s="47">
        <v>1524.1013112015366</v>
      </c>
    </row>
    <row r="193" spans="1:60">
      <c r="A193" s="43" t="s">
        <v>330</v>
      </c>
      <c r="B193" s="47">
        <v>721.08907444747763</v>
      </c>
      <c r="C193" s="47">
        <v>745.22515208249524</v>
      </c>
      <c r="D193" s="47">
        <v>751.16451832060591</v>
      </c>
      <c r="E193" s="47">
        <v>762.29618149193595</v>
      </c>
      <c r="F193" s="47">
        <v>786.76765180390771</v>
      </c>
      <c r="G193" s="47">
        <v>792.76084367215026</v>
      </c>
      <c r="H193" s="47">
        <v>803.45116558524376</v>
      </c>
      <c r="I193" s="47">
        <v>814.17606155731005</v>
      </c>
      <c r="J193" s="47">
        <v>816.59251422895011</v>
      </c>
      <c r="K193" s="47">
        <v>842.73313557121207</v>
      </c>
      <c r="L193" s="47">
        <v>934.59715463995303</v>
      </c>
      <c r="M193" s="47">
        <v>1027.8828415671917</v>
      </c>
      <c r="N193" s="47">
        <v>1214.1471011886481</v>
      </c>
      <c r="O193" s="47">
        <v>1251.6773767489722</v>
      </c>
      <c r="P193" s="47">
        <v>1399.3958850472522</v>
      </c>
      <c r="Q193" s="47">
        <v>1576.6919645284047</v>
      </c>
      <c r="R193" s="47">
        <v>1601.8426341998677</v>
      </c>
      <c r="S193" s="47">
        <v>1709.2556650179661</v>
      </c>
      <c r="T193" s="47">
        <v>1588.3938118912417</v>
      </c>
      <c r="U193" s="47">
        <v>1612.2342398460203</v>
      </c>
      <c r="V193" s="47">
        <v>2035.5843186248981</v>
      </c>
      <c r="W193" s="47">
        <v>2014.6666698601382</v>
      </c>
      <c r="X193" s="47">
        <v>2200.9729433344914</v>
      </c>
      <c r="Y193" s="47">
        <v>2257.5651810067943</v>
      </c>
      <c r="Z193" s="47">
        <v>2443.3418667634228</v>
      </c>
      <c r="AA193" s="47">
        <v>2461.9076457193091</v>
      </c>
      <c r="AB193" s="47">
        <v>2471.7670558492478</v>
      </c>
      <c r="AC193" s="47">
        <v>2473.4581154013154</v>
      </c>
      <c r="AD193" s="47">
        <v>2462.1655411501142</v>
      </c>
      <c r="AE193" s="47">
        <v>2421.2302045611609</v>
      </c>
      <c r="AF193" s="47">
        <v>2397.1596791625093</v>
      </c>
      <c r="AG193" s="47">
        <v>2481.1309877723183</v>
      </c>
      <c r="AH193" s="47">
        <v>2548.0092447186844</v>
      </c>
      <c r="AI193" s="47">
        <v>2474.1776095506575</v>
      </c>
      <c r="AJ193" s="47">
        <v>2437.1226963122872</v>
      </c>
      <c r="AK193" s="47">
        <v>2497.2870379795759</v>
      </c>
      <c r="AL193" s="47">
        <v>2494.1473182856062</v>
      </c>
      <c r="AM193" s="47">
        <v>2606.5231648382128</v>
      </c>
      <c r="AN193" s="47">
        <v>2428.6142213981348</v>
      </c>
      <c r="AO193" s="47">
        <v>2477.5044722335392</v>
      </c>
      <c r="AP193" s="47">
        <v>2434.9548278575112</v>
      </c>
      <c r="AQ193" s="47">
        <v>2385.0161550452244</v>
      </c>
      <c r="AR193" s="47">
        <v>2324.0671215282682</v>
      </c>
      <c r="AS193" s="47">
        <v>2329.3212721263803</v>
      </c>
      <c r="AT193" s="47">
        <v>2394.6225738032899</v>
      </c>
      <c r="AU193" s="47">
        <v>2467.0373359579398</v>
      </c>
      <c r="AV193" s="47">
        <v>2499.3911615085995</v>
      </c>
      <c r="AW193" s="47">
        <v>2535.8326236668859</v>
      </c>
      <c r="AX193" s="47">
        <v>2564.3647179105865</v>
      </c>
      <c r="AY193" s="47">
        <v>2609.5799727529147</v>
      </c>
      <c r="AZ193" s="47">
        <v>2630.3221446271682</v>
      </c>
      <c r="BA193" s="47">
        <v>2646.8776382969045</v>
      </c>
      <c r="BB193" s="47">
        <v>2700.2421547436938</v>
      </c>
      <c r="BC193" s="47">
        <v>2751.7111240453764</v>
      </c>
      <c r="BD193" s="47">
        <v>2803.6208970356824</v>
      </c>
      <c r="BE193" s="47">
        <v>2864.9821169239526</v>
      </c>
      <c r="BF193" s="47">
        <v>2953.3570235511738</v>
      </c>
      <c r="BG193" s="47">
        <v>3065.1347759089058</v>
      </c>
      <c r="BH193" s="47">
        <v>3150.2089803988965</v>
      </c>
    </row>
    <row r="194" spans="1:60">
      <c r="A194" s="43" t="s">
        <v>331</v>
      </c>
      <c r="B194" s="47">
        <v>423.71368929684735</v>
      </c>
      <c r="C194" s="47">
        <v>465.94593369171582</v>
      </c>
      <c r="D194" s="47">
        <v>464.15102560185056</v>
      </c>
      <c r="E194" s="47">
        <v>436.7559565690193</v>
      </c>
      <c r="F194" s="47">
        <v>460.58225906930033</v>
      </c>
      <c r="G194" s="47">
        <v>459.8729380386651</v>
      </c>
      <c r="H194" s="47">
        <v>453.57518543001402</v>
      </c>
      <c r="I194" s="47">
        <v>452.41887380597967</v>
      </c>
      <c r="J194" s="47">
        <v>444.21962037089054</v>
      </c>
      <c r="K194" s="47">
        <v>453.49997193644214</v>
      </c>
      <c r="L194" s="47">
        <v>459.11420466018342</v>
      </c>
      <c r="M194" s="47">
        <v>441.15425051536994</v>
      </c>
      <c r="N194" s="47">
        <v>467.61846636748555</v>
      </c>
      <c r="O194" s="47">
        <v>482.74254792451762</v>
      </c>
      <c r="P194" s="47">
        <v>494.32468507690788</v>
      </c>
      <c r="Q194" s="47">
        <v>497.0803493332262</v>
      </c>
      <c r="R194" s="47">
        <v>544.25782110384955</v>
      </c>
      <c r="S194" s="47">
        <v>549.36373431545132</v>
      </c>
      <c r="T194" s="47">
        <v>560.69522578696149</v>
      </c>
      <c r="U194" s="47">
        <v>553.93017107904234</v>
      </c>
      <c r="V194" s="47">
        <v>568.35660878063277</v>
      </c>
      <c r="W194" s="47">
        <v>574.33384487660078</v>
      </c>
      <c r="X194" s="47">
        <v>593.25383645597594</v>
      </c>
      <c r="Y194" s="47">
        <v>592.52250557727689</v>
      </c>
      <c r="Z194" s="47">
        <v>587.68434540773308</v>
      </c>
      <c r="AA194" s="47">
        <v>600.2675316280347</v>
      </c>
      <c r="AB194" s="47">
        <v>624.67330654777231</v>
      </c>
      <c r="AC194" s="47">
        <v>623.37506465111005</v>
      </c>
      <c r="AD194" s="47">
        <v>622.61088359923713</v>
      </c>
      <c r="AE194" s="47">
        <v>612.95404018533327</v>
      </c>
      <c r="AF194" s="47">
        <v>600.91337692278773</v>
      </c>
      <c r="AG194" s="47">
        <v>577.3310482220902</v>
      </c>
      <c r="AH194" s="47">
        <v>568.15390794172436</v>
      </c>
      <c r="AI194" s="47">
        <v>549.1748778779895</v>
      </c>
      <c r="AJ194" s="47">
        <v>546.36066227808692</v>
      </c>
      <c r="AK194" s="47">
        <v>529.08487301934031</v>
      </c>
      <c r="AL194" s="47">
        <v>530.02568348268142</v>
      </c>
      <c r="AM194" s="47">
        <v>539.30383155979155</v>
      </c>
      <c r="AN194" s="47">
        <v>544.42142649012897</v>
      </c>
      <c r="AO194" s="47">
        <v>546.10061433421049</v>
      </c>
      <c r="AP194" s="47">
        <v>549.37114216687655</v>
      </c>
      <c r="AQ194" s="47">
        <v>544.53257856683683</v>
      </c>
      <c r="AR194" s="47">
        <v>531.53126634212856</v>
      </c>
      <c r="AS194" s="47">
        <v>519.8648795278956</v>
      </c>
      <c r="AT194" s="47">
        <v>507.95792061028845</v>
      </c>
      <c r="AU194" s="47">
        <v>509.37878099937683</v>
      </c>
      <c r="AV194" s="47">
        <v>521.10500936136395</v>
      </c>
      <c r="AW194" s="47">
        <v>504.46005728041831</v>
      </c>
      <c r="AX194" s="47">
        <v>509.09273233975438</v>
      </c>
      <c r="AY194" s="47">
        <v>513.13663309093943</v>
      </c>
      <c r="AZ194" s="47">
        <v>524.85578034580919</v>
      </c>
      <c r="BA194" s="47">
        <v>543.60708978667265</v>
      </c>
      <c r="BB194" s="47">
        <v>569.31128962883781</v>
      </c>
      <c r="BC194" s="47">
        <v>588.19653753572106</v>
      </c>
      <c r="BD194" s="47">
        <v>614.19352327130844</v>
      </c>
      <c r="BE194" s="47">
        <v>645.71437497501358</v>
      </c>
      <c r="BF194" s="47">
        <v>674.74693230497178</v>
      </c>
      <c r="BG194" s="47">
        <v>694.97372082216782</v>
      </c>
      <c r="BH194" s="47">
        <v>744.38314500113177</v>
      </c>
    </row>
    <row r="195" spans="1:60">
      <c r="A195" s="43" t="s">
        <v>73</v>
      </c>
      <c r="B195" s="47">
        <v>573.99402038199366</v>
      </c>
      <c r="C195" s="47">
        <v>583.73733943129275</v>
      </c>
      <c r="D195" s="47">
        <v>593.14559912933998</v>
      </c>
      <c r="E195" s="47">
        <v>602.19190360128619</v>
      </c>
      <c r="F195" s="47">
        <v>611.38038280040598</v>
      </c>
      <c r="G195" s="47">
        <v>620.65291747181277</v>
      </c>
      <c r="H195" s="47">
        <v>629.95374342520449</v>
      </c>
      <c r="I195" s="47">
        <v>638.744959154247</v>
      </c>
      <c r="J195" s="47">
        <v>647.00772368707362</v>
      </c>
      <c r="K195" s="47">
        <v>655.73759542175935</v>
      </c>
      <c r="L195" s="47">
        <v>697.65741085269019</v>
      </c>
      <c r="M195" s="47">
        <v>727.57311724973067</v>
      </c>
      <c r="N195" s="47">
        <v>736.44707954104899</v>
      </c>
      <c r="O195" s="47">
        <v>753.61949884345802</v>
      </c>
      <c r="P195" s="47">
        <v>840.88753612915696</v>
      </c>
      <c r="Q195" s="47">
        <v>931.56965192345103</v>
      </c>
      <c r="R195" s="47">
        <v>991.38615366756846</v>
      </c>
      <c r="S195" s="47">
        <v>1019.3314623171101</v>
      </c>
      <c r="T195" s="47">
        <v>1042.9785037758261</v>
      </c>
      <c r="U195" s="47">
        <v>1125.6472337466998</v>
      </c>
      <c r="V195" s="47">
        <v>1075.366917726999</v>
      </c>
      <c r="W195" s="47">
        <v>1125.6300716299306</v>
      </c>
      <c r="X195" s="47">
        <v>1138.0307386637853</v>
      </c>
      <c r="Y195" s="47">
        <v>1067.1012310605627</v>
      </c>
      <c r="Z195" s="47">
        <v>1086.8239588387416</v>
      </c>
      <c r="AA195" s="47">
        <v>1055.5528193736375</v>
      </c>
      <c r="AB195" s="47">
        <v>1026.2552784802067</v>
      </c>
      <c r="AC195" s="47">
        <v>1057.3979733262902</v>
      </c>
      <c r="AD195" s="47">
        <v>1137.995625524029</v>
      </c>
      <c r="AE195" s="47">
        <v>1177.9099238516935</v>
      </c>
      <c r="AF195" s="47">
        <v>1096.5361004229712</v>
      </c>
      <c r="AG195" s="47">
        <v>998.01933055284553</v>
      </c>
      <c r="AH195" s="47">
        <v>927.56741779576589</v>
      </c>
      <c r="AI195" s="47">
        <v>847.16944163281892</v>
      </c>
      <c r="AJ195" s="47">
        <v>842.35309523153637</v>
      </c>
      <c r="AK195" s="47">
        <v>851.39074154213631</v>
      </c>
      <c r="AL195" s="47">
        <v>847.40828657668555</v>
      </c>
      <c r="AM195" s="47">
        <v>829.34783340534864</v>
      </c>
      <c r="AN195" s="47">
        <v>836.1608485305718</v>
      </c>
      <c r="AO195" s="47">
        <v>837.0061260296809</v>
      </c>
      <c r="AP195" s="47">
        <v>800.32800608762864</v>
      </c>
      <c r="AQ195" s="47">
        <v>768.27291435720804</v>
      </c>
      <c r="AR195" s="47">
        <v>713.51903495427553</v>
      </c>
      <c r="AS195" s="47">
        <v>599.95027779022769</v>
      </c>
      <c r="AT195" s="47">
        <v>700.19758050539019</v>
      </c>
      <c r="AU195" s="47">
        <v>707.8416855458072</v>
      </c>
      <c r="AV195" s="47">
        <v>740.75285502504619</v>
      </c>
      <c r="AW195" s="47">
        <v>677.63817176553903</v>
      </c>
      <c r="AX195" s="47">
        <v>643.57879193503959</v>
      </c>
      <c r="AY195" s="47">
        <v>643.75340971085643</v>
      </c>
      <c r="AZ195" s="47">
        <v>614.22154211206043</v>
      </c>
      <c r="BA195" s="47">
        <v>601.25723052082458</v>
      </c>
      <c r="BB195" s="47">
        <v>611.36606462277928</v>
      </c>
      <c r="BC195" s="47">
        <v>625.86469434887783</v>
      </c>
      <c r="BD195" s="47">
        <v>623.17803673230173</v>
      </c>
      <c r="BE195" s="47">
        <v>613.70472654491459</v>
      </c>
      <c r="BF195" s="47">
        <v>620.68570271029159</v>
      </c>
      <c r="BG195" s="47">
        <v>615.44354642810356</v>
      </c>
      <c r="BH195" s="47">
        <v>605.59788880519534</v>
      </c>
    </row>
    <row r="196" spans="1:60">
      <c r="A196" s="43" t="s">
        <v>332</v>
      </c>
      <c r="B196" s="47">
        <v>1114.5962594351395</v>
      </c>
      <c r="C196" s="47">
        <v>1106.1750642215798</v>
      </c>
      <c r="D196" s="47">
        <v>1219.7995302428299</v>
      </c>
      <c r="E196" s="47">
        <v>1243.5928330514391</v>
      </c>
      <c r="F196" s="47">
        <v>1248.9237985180771</v>
      </c>
      <c r="G196" s="47">
        <v>1164.0486288447896</v>
      </c>
      <c r="H196" s="47">
        <v>1223.3681296147624</v>
      </c>
      <c r="I196" s="47">
        <v>1158.9595856659439</v>
      </c>
      <c r="J196" s="47">
        <v>1291.3321250555696</v>
      </c>
      <c r="K196" s="47">
        <v>1216.9759344742542</v>
      </c>
      <c r="L196" s="47">
        <v>1342.610656769464</v>
      </c>
      <c r="M196" s="47">
        <v>1435.6857208346682</v>
      </c>
      <c r="N196" s="47">
        <v>1379.1424476709915</v>
      </c>
      <c r="O196" s="47">
        <v>1555.7487613602029</v>
      </c>
      <c r="P196" s="47">
        <v>1588.8502550183671</v>
      </c>
      <c r="Q196" s="47">
        <v>1652.8550609729675</v>
      </c>
      <c r="R196" s="47">
        <v>1654.1195109716759</v>
      </c>
      <c r="S196" s="47">
        <v>1605.1284576369808</v>
      </c>
      <c r="T196" s="47">
        <v>1734.9803974226681</v>
      </c>
      <c r="U196" s="47">
        <v>1759.9350745431952</v>
      </c>
      <c r="V196" s="47">
        <v>1826.876020646996</v>
      </c>
      <c r="W196" s="47">
        <v>1982.1741744835597</v>
      </c>
      <c r="X196" s="47">
        <v>2287.0362243795475</v>
      </c>
      <c r="Y196" s="47">
        <v>2220.8688164393002</v>
      </c>
      <c r="Z196" s="47">
        <v>2343.0867142272227</v>
      </c>
      <c r="AA196" s="47">
        <v>2446.0590685913553</v>
      </c>
      <c r="AB196" s="47">
        <v>2569.2230806386933</v>
      </c>
      <c r="AC196" s="47">
        <v>2592.378101473354</v>
      </c>
      <c r="AD196" s="47">
        <v>2700.4915234471837</v>
      </c>
      <c r="AE196" s="47">
        <v>2811.3934769371804</v>
      </c>
      <c r="AF196" s="47">
        <v>2943.6168354175848</v>
      </c>
      <c r="AG196" s="47">
        <v>3029.6490299603602</v>
      </c>
      <c r="AH196" s="47">
        <v>2957.3325302083763</v>
      </c>
      <c r="AI196" s="47">
        <v>3039.1144938340635</v>
      </c>
      <c r="AJ196" s="47">
        <v>3067.668022047415</v>
      </c>
      <c r="AK196" s="47">
        <v>3161.2591897561565</v>
      </c>
      <c r="AL196" s="47">
        <v>3036.6569872058371</v>
      </c>
      <c r="AM196" s="47">
        <v>3163.9050624582769</v>
      </c>
      <c r="AN196" s="47">
        <v>3099.0661994896891</v>
      </c>
      <c r="AO196" s="47">
        <v>3150.640403571284</v>
      </c>
      <c r="AP196" s="47">
        <v>3335.4016956511418</v>
      </c>
      <c r="AQ196" s="47">
        <v>3400.2535215003936</v>
      </c>
      <c r="AR196" s="47">
        <v>3597.4374707759271</v>
      </c>
      <c r="AS196" s="47">
        <v>3609.9733846962217</v>
      </c>
      <c r="AT196" s="47">
        <v>3661.6322241744688</v>
      </c>
      <c r="AU196" s="47">
        <v>3690.7308168391969</v>
      </c>
      <c r="AV196" s="47">
        <v>3895.2193568063085</v>
      </c>
      <c r="AW196" s="47">
        <v>4049.3567394822517</v>
      </c>
      <c r="AX196" s="47">
        <v>4190.4288603278055</v>
      </c>
      <c r="AY196" s="47">
        <v>4394.3780452299043</v>
      </c>
      <c r="AZ196" s="47">
        <v>4550.4843296922427</v>
      </c>
      <c r="BA196" s="47">
        <v>4722.2833144576425</v>
      </c>
      <c r="BB196" s="47">
        <v>4751.866468531558</v>
      </c>
      <c r="BC196" s="47">
        <v>4965.7903334545217</v>
      </c>
      <c r="BD196" s="47">
        <v>5210.0797220061559</v>
      </c>
      <c r="BE196" s="47">
        <v>5369.6755157559292</v>
      </c>
      <c r="BF196" s="47">
        <v>5598.4807449630762</v>
      </c>
      <c r="BG196" s="47">
        <v>5892.4970893503787</v>
      </c>
      <c r="BH196" s="47">
        <v>6102.7139298914053</v>
      </c>
    </row>
    <row r="197" spans="1:60">
      <c r="A197" s="43" t="s">
        <v>333</v>
      </c>
      <c r="B197" s="47">
        <v>686.85410343376657</v>
      </c>
      <c r="C197" s="47">
        <v>642.03063229914778</v>
      </c>
      <c r="D197" s="47">
        <v>664.14245565598117</v>
      </c>
      <c r="E197" s="47">
        <v>675.0621017894623</v>
      </c>
      <c r="F197" s="47">
        <v>647.78327586455111</v>
      </c>
      <c r="G197" s="47">
        <v>671.78432247926878</v>
      </c>
      <c r="H197" s="47">
        <v>689.79845227964006</v>
      </c>
      <c r="I197" s="47">
        <v>699.95272520472327</v>
      </c>
      <c r="J197" s="47">
        <v>685.13869203401543</v>
      </c>
      <c r="K197" s="47">
        <v>700.02443648590008</v>
      </c>
      <c r="L197" s="47">
        <v>712.89657139437929</v>
      </c>
      <c r="M197" s="47">
        <v>685.78423353983374</v>
      </c>
      <c r="N197" s="47">
        <v>693.53565317153345</v>
      </c>
      <c r="O197" s="47">
        <v>750.9603579135744</v>
      </c>
      <c r="P197" s="47">
        <v>784.84388030524678</v>
      </c>
      <c r="Q197" s="47">
        <v>778.93591618397886</v>
      </c>
      <c r="R197" s="47">
        <v>803.28845068563658</v>
      </c>
      <c r="S197" s="47">
        <v>821.56994441113329</v>
      </c>
      <c r="T197" s="47">
        <v>817.66313279490419</v>
      </c>
      <c r="U197" s="47">
        <v>880.9385989328606</v>
      </c>
      <c r="V197" s="47">
        <v>867.29598663597608</v>
      </c>
      <c r="W197" s="47">
        <v>869.26584917736136</v>
      </c>
      <c r="X197" s="47">
        <v>856.49624125258231</v>
      </c>
      <c r="Y197" s="47">
        <v>834.67469087996335</v>
      </c>
      <c r="Z197" s="47">
        <v>817.00923098844805</v>
      </c>
      <c r="AA197" s="47">
        <v>779.83026040582126</v>
      </c>
      <c r="AB197" s="47">
        <v>765.47083360106853</v>
      </c>
      <c r="AC197" s="47">
        <v>757.14486415828128</v>
      </c>
      <c r="AD197" s="47">
        <v>697.05731795475765</v>
      </c>
      <c r="AE197" s="47">
        <v>605.52470746733002</v>
      </c>
      <c r="AF197" s="47">
        <v>571.88777989711411</v>
      </c>
      <c r="AG197" s="47">
        <v>579.39098739028771</v>
      </c>
      <c r="AH197" s="47">
        <v>610.12017523949964</v>
      </c>
      <c r="AI197" s="47">
        <v>636.31189063735508</v>
      </c>
      <c r="AJ197" s="47">
        <v>563.46679535566363</v>
      </c>
      <c r="AK197" s="47">
        <v>555.78273418636581</v>
      </c>
      <c r="AL197" s="47">
        <v>538.21871890531725</v>
      </c>
      <c r="AM197" s="47">
        <v>549.83206711799403</v>
      </c>
      <c r="AN197" s="47">
        <v>565.50546868962977</v>
      </c>
      <c r="AO197" s="47">
        <v>583.12345176605845</v>
      </c>
      <c r="AP197" s="47">
        <v>584.67813314093826</v>
      </c>
      <c r="AQ197" s="47">
        <v>570.06868159443763</v>
      </c>
      <c r="AR197" s="47">
        <v>567.42766913694686</v>
      </c>
      <c r="AS197" s="47">
        <v>593.08618656475755</v>
      </c>
      <c r="AT197" s="47">
        <v>608.96510709926019</v>
      </c>
      <c r="AU197" s="47">
        <v>662.94445940639685</v>
      </c>
      <c r="AV197" s="47">
        <v>700.98346639077238</v>
      </c>
      <c r="AW197" s="47">
        <v>716.11509641525731</v>
      </c>
      <c r="AX197" s="47">
        <v>728.41960809060822</v>
      </c>
      <c r="AY197" s="47">
        <v>759.30994194897471</v>
      </c>
      <c r="AZ197" s="47">
        <v>773.00624457804031</v>
      </c>
      <c r="BA197" s="47">
        <v>786.75570783671867</v>
      </c>
      <c r="BB197" s="47">
        <v>814.54035812684606</v>
      </c>
      <c r="BC197" s="47">
        <v>822.84899583093386</v>
      </c>
      <c r="BD197" s="47">
        <v>834.59216151658791</v>
      </c>
      <c r="BE197" s="47">
        <v>856.40150372047049</v>
      </c>
      <c r="BF197" s="47">
        <v>916.20006681388736</v>
      </c>
      <c r="BG197" s="47">
        <v>958.47648302641437</v>
      </c>
      <c r="BH197" s="47">
        <v>1007.938925729722</v>
      </c>
    </row>
    <row r="198" spans="1:60">
      <c r="A198" s="38" t="s">
        <v>334</v>
      </c>
      <c r="B198" s="47">
        <v>569.74207419447396</v>
      </c>
      <c r="C198" s="47">
        <v>624.29891692784645</v>
      </c>
      <c r="D198" s="47">
        <v>668.34846688876246</v>
      </c>
      <c r="E198" s="47">
        <v>692.74565562768657</v>
      </c>
      <c r="F198" s="47">
        <v>720.45985736536795</v>
      </c>
      <c r="G198" s="47">
        <v>733.64358858626281</v>
      </c>
      <c r="H198" s="47">
        <v>767.53314021512472</v>
      </c>
      <c r="I198" s="47">
        <v>775.65338386269764</v>
      </c>
      <c r="J198" s="47">
        <v>737.6446358004913</v>
      </c>
      <c r="K198" s="47">
        <v>747.24117177478911</v>
      </c>
      <c r="L198" s="47">
        <v>747.91485473165505</v>
      </c>
      <c r="M198" s="47">
        <v>652.57038034791083</v>
      </c>
      <c r="N198" s="47">
        <v>767.47985531204881</v>
      </c>
      <c r="O198" s="47">
        <v>783.48300902752101</v>
      </c>
      <c r="P198" s="47">
        <v>747.37474214239319</v>
      </c>
      <c r="Q198" s="47">
        <v>737.99388237337371</v>
      </c>
      <c r="R198" s="47">
        <v>768.1383878396083</v>
      </c>
      <c r="S198" s="47">
        <v>737.7492593035289</v>
      </c>
      <c r="T198" s="47">
        <v>745.9873391897911</v>
      </c>
      <c r="U198" s="47">
        <v>792.09387643200273</v>
      </c>
      <c r="V198" s="47">
        <v>768.4214866737459</v>
      </c>
      <c r="W198" s="47">
        <v>795.32473960535549</v>
      </c>
      <c r="X198" s="47">
        <v>774.82780901178899</v>
      </c>
      <c r="Y198" s="47">
        <v>818.52016055302795</v>
      </c>
      <c r="Z198" s="47">
        <v>823.45553574160647</v>
      </c>
      <c r="AA198" s="47">
        <v>760.63111902620153</v>
      </c>
      <c r="AB198" s="47">
        <v>697.34432392657789</v>
      </c>
      <c r="AC198" s="47">
        <v>681.29715726376958</v>
      </c>
      <c r="AD198" s="47">
        <v>623.17236635751635</v>
      </c>
      <c r="AE198" s="47">
        <v>602.7491588670855</v>
      </c>
      <c r="AF198" s="47">
        <v>598.20361815085369</v>
      </c>
      <c r="AG198" s="47">
        <v>595.98505425500389</v>
      </c>
      <c r="AH198" s="47">
        <v>576.86022810785903</v>
      </c>
      <c r="AI198" s="47">
        <v>570.08785011884356</v>
      </c>
      <c r="AJ198" s="47">
        <v>585.16284326097218</v>
      </c>
      <c r="AK198" s="47">
        <v>570.10721249156154</v>
      </c>
      <c r="AL198" s="47">
        <v>579.07856771115303</v>
      </c>
      <c r="AM198" s="47">
        <v>576.0629479923623</v>
      </c>
      <c r="AN198" s="47">
        <v>561.20531525780655</v>
      </c>
      <c r="AO198" s="47">
        <v>540.06700788137118</v>
      </c>
      <c r="AP198" s="47">
        <v>510.19966523813156</v>
      </c>
      <c r="AQ198" s="47">
        <v>452.07452652212129</v>
      </c>
      <c r="AR198" s="47">
        <v>392.17911224038096</v>
      </c>
      <c r="AS198" s="47">
        <v>328.34241666211528</v>
      </c>
      <c r="AT198" s="47">
        <v>305.1900352935948</v>
      </c>
      <c r="AU198" s="47">
        <v>295.29829932213289</v>
      </c>
      <c r="AV198" s="47">
        <v>286.7913827876182</v>
      </c>
      <c r="AW198" s="47">
        <v>267.64626631819522</v>
      </c>
      <c r="AX198" s="47">
        <v>257.84339529282994</v>
      </c>
      <c r="AY198" s="47">
        <v>239.27845965340774</v>
      </c>
      <c r="AZ198" s="47">
        <v>217.67542656889938</v>
      </c>
      <c r="BA198" s="47">
        <v>206.53661371323858</v>
      </c>
      <c r="BB198" s="47">
        <v>207.17236300387825</v>
      </c>
      <c r="BC198" s="47">
        <v>212.69023989644893</v>
      </c>
      <c r="BD198" s="47">
        <v>219.98984137466871</v>
      </c>
      <c r="BE198" s="47">
        <v>230.13382223059321</v>
      </c>
      <c r="BF198" s="47">
        <v>235.60379604913149</v>
      </c>
      <c r="BG198" s="47">
        <v>242.6145593584117</v>
      </c>
      <c r="BH198" s="47">
        <v>249.43431136660627</v>
      </c>
    </row>
    <row r="199" spans="1:60">
      <c r="A199" s="43" t="s">
        <v>335</v>
      </c>
      <c r="B199" s="47">
        <v>660.9100089642086</v>
      </c>
      <c r="C199" s="47">
        <v>687.58738455392745</v>
      </c>
      <c r="D199" s="47">
        <v>714.83056971052645</v>
      </c>
      <c r="E199" s="47">
        <v>743.05527303375709</v>
      </c>
      <c r="F199" s="47">
        <v>771.94123819517313</v>
      </c>
      <c r="G199" s="47">
        <v>735.73243965141705</v>
      </c>
      <c r="H199" s="47">
        <v>803.20454064599608</v>
      </c>
      <c r="I199" s="47">
        <v>817.3574444515574</v>
      </c>
      <c r="J199" s="47">
        <v>776.02861307570913</v>
      </c>
      <c r="K199" s="47">
        <v>914.64279702592944</v>
      </c>
      <c r="L199" s="47">
        <v>959.80280303973291</v>
      </c>
      <c r="M199" s="47">
        <v>937.95251246713622</v>
      </c>
      <c r="N199" s="47">
        <v>905.05743029673215</v>
      </c>
      <c r="O199" s="47">
        <v>901.85108299901538</v>
      </c>
      <c r="P199" s="47">
        <v>996.2543518705063</v>
      </c>
      <c r="Q199" s="47">
        <v>1147.4027534511881</v>
      </c>
      <c r="R199" s="47">
        <v>1056.2322682138529</v>
      </c>
      <c r="S199" s="47">
        <v>1107.130519008798</v>
      </c>
      <c r="T199" s="47">
        <v>1092.1805790067835</v>
      </c>
      <c r="U199" s="47">
        <v>1056.2526547896668</v>
      </c>
      <c r="V199" s="47">
        <v>1073.1148552132056</v>
      </c>
      <c r="W199" s="47">
        <v>1042.1375821542192</v>
      </c>
      <c r="X199" s="47">
        <v>1104.9007464701467</v>
      </c>
      <c r="Y199" s="47">
        <v>1061.8916124352636</v>
      </c>
      <c r="Z199" s="47">
        <v>1114.3674501801534</v>
      </c>
      <c r="AA199" s="47">
        <v>1040.7434971076079</v>
      </c>
      <c r="AB199" s="47">
        <v>1070.9135721668483</v>
      </c>
      <c r="AC199" s="47">
        <v>989.76295709424994</v>
      </c>
      <c r="AD199" s="47">
        <v>967.23065711256504</v>
      </c>
      <c r="AE199" s="47">
        <v>910.44998451978211</v>
      </c>
      <c r="AF199" s="47">
        <v>910.58734506212807</v>
      </c>
      <c r="AG199" s="47">
        <v>936.01876043375671</v>
      </c>
      <c r="AH199" s="47">
        <v>877.33717099627393</v>
      </c>
      <c r="AI199" s="47">
        <v>827.91746877442574</v>
      </c>
      <c r="AJ199" s="47">
        <v>796.47863756166589</v>
      </c>
      <c r="AK199" s="47">
        <v>783.63376081834588</v>
      </c>
      <c r="AL199" s="47">
        <v>761.63236589647022</v>
      </c>
      <c r="AM199" s="47">
        <v>754.87627640359744</v>
      </c>
      <c r="AN199" s="47">
        <v>777.0668509380871</v>
      </c>
      <c r="AO199" s="47">
        <v>761.73967069567391</v>
      </c>
      <c r="AP199" s="47">
        <v>806.2476167937167</v>
      </c>
      <c r="AQ199" s="47">
        <v>783.20283199909591</v>
      </c>
      <c r="AR199" s="47">
        <v>748.71593500559993</v>
      </c>
      <c r="AS199" s="47">
        <v>778.77066457567366</v>
      </c>
      <c r="AT199" s="47">
        <v>658.47977432419236</v>
      </c>
      <c r="AU199" s="47">
        <v>627.10844339775008</v>
      </c>
      <c r="AV199" s="47">
        <v>653.32648486711048</v>
      </c>
      <c r="AW199" s="47">
        <v>659.67200260090851</v>
      </c>
      <c r="AX199" s="47">
        <v>632.54084693803873</v>
      </c>
      <c r="AY199" s="47">
        <v>632.2581900861876</v>
      </c>
      <c r="AZ199" s="47">
        <v>639.76799419750319</v>
      </c>
      <c r="BA199" s="47">
        <v>656.04774196106825</v>
      </c>
      <c r="BB199" s="47">
        <v>665.28249536799183</v>
      </c>
      <c r="BC199" s="47">
        <v>688.52253489997202</v>
      </c>
      <c r="BD199" s="47">
        <v>714.83136420220126</v>
      </c>
      <c r="BE199" s="47">
        <v>742.3047397115763</v>
      </c>
      <c r="BF199" s="47">
        <v>776.29372764767049</v>
      </c>
      <c r="BG199" s="47">
        <v>811.59163706005359</v>
      </c>
      <c r="BH199" s="47">
        <v>844.50673008879357</v>
      </c>
    </row>
    <row r="200" spans="1:60">
      <c r="A200" s="43" t="s">
        <v>76</v>
      </c>
      <c r="B200" s="47">
        <v>700.97937333145012</v>
      </c>
      <c r="C200" s="47">
        <v>721.80365517304494</v>
      </c>
      <c r="D200" s="47">
        <v>724.46198473371635</v>
      </c>
      <c r="E200" s="47">
        <v>759.64433352021501</v>
      </c>
      <c r="F200" s="47">
        <v>772.23742944716082</v>
      </c>
      <c r="G200" s="47">
        <v>808.44419373678693</v>
      </c>
      <c r="H200" s="47">
        <v>891.85064391446497</v>
      </c>
      <c r="I200" s="47">
        <v>923.66592254150737</v>
      </c>
      <c r="J200" s="47">
        <v>906.4446567983216</v>
      </c>
      <c r="K200" s="47">
        <v>925.1476801716102</v>
      </c>
      <c r="L200" s="47">
        <v>937.93638537467473</v>
      </c>
      <c r="M200" s="47">
        <v>955.52855148779599</v>
      </c>
      <c r="N200" s="47">
        <v>938.81436348573175</v>
      </c>
      <c r="O200" s="47">
        <v>901.0922116941191</v>
      </c>
      <c r="P200" s="47">
        <v>953.43822917031707</v>
      </c>
      <c r="Q200" s="47">
        <v>983.50746765609347</v>
      </c>
      <c r="R200" s="47">
        <v>967.3901827060497</v>
      </c>
      <c r="S200" s="47">
        <v>1014.5268717500309</v>
      </c>
      <c r="T200" s="47">
        <v>999.2619615117859</v>
      </c>
      <c r="U200" s="47">
        <v>1085.7864722065192</v>
      </c>
      <c r="V200" s="47">
        <v>1282.4288389811945</v>
      </c>
      <c r="W200" s="47">
        <v>1353.2278230818233</v>
      </c>
      <c r="X200" s="47">
        <v>1423.2738198318245</v>
      </c>
      <c r="Y200" s="47">
        <v>1431.8682148082232</v>
      </c>
      <c r="Z200" s="47">
        <v>1427.2904082358384</v>
      </c>
      <c r="AA200" s="47">
        <v>1401.8108747410238</v>
      </c>
      <c r="AB200" s="47">
        <v>1357.0555342959767</v>
      </c>
      <c r="AC200" s="47">
        <v>1220.6969866640209</v>
      </c>
      <c r="AD200" s="47">
        <v>1232.115448242211</v>
      </c>
      <c r="AE200" s="47">
        <v>1210.6635969805718</v>
      </c>
      <c r="AF200" s="47">
        <v>1295.4032709769417</v>
      </c>
      <c r="AG200" s="47">
        <v>1407.1458078455851</v>
      </c>
      <c r="AH200" s="47">
        <v>1404.5657422146517</v>
      </c>
      <c r="AI200" s="47">
        <v>1374.3096919104419</v>
      </c>
      <c r="AJ200" s="47">
        <v>1296.8963067819864</v>
      </c>
      <c r="AK200" s="47">
        <v>1335.2042547107128</v>
      </c>
      <c r="AL200" s="47">
        <v>1321.6499716169699</v>
      </c>
      <c r="AM200" s="47">
        <v>1257.3131235909073</v>
      </c>
      <c r="AN200" s="47">
        <v>1325.5164958917044</v>
      </c>
      <c r="AO200" s="47">
        <v>1367.8279726799212</v>
      </c>
      <c r="AP200" s="47">
        <v>1355.4490311385023</v>
      </c>
      <c r="AQ200" s="47">
        <v>1391.4478698429677</v>
      </c>
      <c r="AR200" s="47">
        <v>1232.8113462258164</v>
      </c>
      <c r="AS200" s="47">
        <v>1219.6977023193363</v>
      </c>
      <c r="AT200" s="47">
        <v>1277.6821357758035</v>
      </c>
      <c r="AU200" s="47">
        <v>1271.8320869803035</v>
      </c>
      <c r="AV200" s="47">
        <v>1384.5606946820553</v>
      </c>
      <c r="AW200" s="47">
        <v>1403.0392382783839</v>
      </c>
      <c r="AX200" s="47">
        <v>1426.6484384665566</v>
      </c>
      <c r="AY200" s="47">
        <v>1401.4225423200971</v>
      </c>
      <c r="AZ200" s="47">
        <v>1320.1325716316169</v>
      </c>
      <c r="BA200" s="47">
        <v>1279.3381786346397</v>
      </c>
      <c r="BB200" s="47">
        <v>1202.6782028038558</v>
      </c>
      <c r="BC200" s="47">
        <v>1082.2208556577884</v>
      </c>
      <c r="BD200" s="47">
        <v>1048.2276763124744</v>
      </c>
      <c r="BE200" s="47">
        <v>1014.5650961770596</v>
      </c>
      <c r="BF200" s="47">
        <v>958.47951625759708</v>
      </c>
      <c r="BG200" s="47">
        <v>900.27367375889253</v>
      </c>
      <c r="BH200" s="47">
        <v>778.93511349800895</v>
      </c>
    </row>
    <row r="201" spans="1:60">
      <c r="A201" s="43" t="s">
        <v>336</v>
      </c>
      <c r="B201" s="47">
        <v>752.04723970809425</v>
      </c>
      <c r="C201" s="47">
        <v>773.70471159489898</v>
      </c>
      <c r="D201" s="47">
        <v>790.65496837380135</v>
      </c>
      <c r="E201" s="47">
        <v>827.31099593644296</v>
      </c>
      <c r="F201" s="47">
        <v>857.13623833020597</v>
      </c>
      <c r="G201" s="47">
        <v>858.27464788732402</v>
      </c>
      <c r="H201" s="47">
        <v>897.04808594972349</v>
      </c>
      <c r="I201" s="47">
        <v>907.54843546541451</v>
      </c>
      <c r="J201" s="47">
        <v>912.30683299199404</v>
      </c>
      <c r="K201" s="47">
        <v>929.17251051893413</v>
      </c>
      <c r="L201" s="47">
        <v>955.42450499126926</v>
      </c>
      <c r="M201" s="47">
        <v>956.46539755021445</v>
      </c>
      <c r="N201" s="47">
        <v>964.73671327160923</v>
      </c>
      <c r="O201" s="47">
        <v>965.35449962458426</v>
      </c>
      <c r="P201" s="47">
        <v>971.53889269477486</v>
      </c>
      <c r="Q201" s="47">
        <v>969.75294389286535</v>
      </c>
      <c r="R201" s="47">
        <v>971.59940209267575</v>
      </c>
      <c r="S201" s="47">
        <v>964.54794196964622</v>
      </c>
      <c r="T201" s="47">
        <v>950.58755364029764</v>
      </c>
      <c r="U201" s="47">
        <v>947.48127893350181</v>
      </c>
      <c r="V201" s="47">
        <v>936.72177840056656</v>
      </c>
      <c r="W201" s="47">
        <v>998.10209374598298</v>
      </c>
      <c r="X201" s="47">
        <v>1085.90825214334</v>
      </c>
      <c r="Y201" s="47">
        <v>1173.0920115481008</v>
      </c>
      <c r="Z201" s="47">
        <v>1244.0373974432359</v>
      </c>
      <c r="AA201" s="47">
        <v>1423.7821282231698</v>
      </c>
      <c r="AB201" s="47">
        <v>1532.8510186721467</v>
      </c>
      <c r="AC201" s="47">
        <v>1428.2542736623993</v>
      </c>
      <c r="AD201" s="47">
        <v>1341.1170716314296</v>
      </c>
      <c r="AE201" s="47">
        <v>1259.903426937321</v>
      </c>
      <c r="AF201" s="47">
        <v>1207.5887418832028</v>
      </c>
      <c r="AG201" s="47">
        <v>1157.6242284506568</v>
      </c>
      <c r="AH201" s="47">
        <v>1117.504502885791</v>
      </c>
      <c r="AI201" s="47">
        <v>1107.8894911121729</v>
      </c>
      <c r="AJ201" s="47">
        <v>1128.7307521703317</v>
      </c>
      <c r="AK201" s="47">
        <v>1147.8954614272802</v>
      </c>
      <c r="AL201" s="47">
        <v>1166.0524723612562</v>
      </c>
      <c r="AM201" s="47">
        <v>1196.461031583731</v>
      </c>
      <c r="AN201" s="47">
        <v>1214.8595062756367</v>
      </c>
      <c r="AO201" s="47">
        <v>1232.5767410146466</v>
      </c>
      <c r="AP201" s="47">
        <v>1243.2134707687464</v>
      </c>
      <c r="AQ201" s="47">
        <v>1211.4767024873036</v>
      </c>
      <c r="AR201" s="47">
        <v>1174.5837478212197</v>
      </c>
      <c r="AS201" s="47">
        <v>1152.8308401742056</v>
      </c>
      <c r="AT201" s="47">
        <v>1141.9005289646946</v>
      </c>
      <c r="AU201" s="47">
        <v>1140.631663318416</v>
      </c>
      <c r="AV201" s="47">
        <v>1175.2186869647016</v>
      </c>
      <c r="AW201" s="47">
        <v>1177.5822526958561</v>
      </c>
      <c r="AX201" s="47">
        <v>1187.8926327812678</v>
      </c>
      <c r="AY201" s="47">
        <v>1192.0864812554298</v>
      </c>
      <c r="AZ201" s="47">
        <v>1197.2038403756467</v>
      </c>
      <c r="BA201" s="47">
        <v>1211.4699441048604</v>
      </c>
      <c r="BB201" s="47">
        <v>1210.4150895786022</v>
      </c>
      <c r="BC201" s="47">
        <v>1208.9573266621735</v>
      </c>
      <c r="BD201" s="47">
        <v>1229.2517757903647</v>
      </c>
      <c r="BE201" s="47">
        <v>1254.9396560931325</v>
      </c>
      <c r="BF201" s="47">
        <v>1275.198086513574</v>
      </c>
      <c r="BG201" s="47">
        <v>1313.9375887993081</v>
      </c>
      <c r="BH201" s="47">
        <v>1350.0869300577265</v>
      </c>
    </row>
    <row r="202" spans="1:60" s="41" customFormat="1" ht="12.75">
      <c r="A202" s="44" t="s">
        <v>337</v>
      </c>
      <c r="B202" s="48">
        <v>889.03473991180999</v>
      </c>
      <c r="C202" s="48">
        <v>911.59266757684486</v>
      </c>
      <c r="D202" s="48">
        <v>926.60383327872387</v>
      </c>
      <c r="E202" s="48">
        <v>940.2462535275107</v>
      </c>
      <c r="F202" s="48">
        <v>963.87100961355497</v>
      </c>
      <c r="G202" s="48">
        <v>974.8728398512493</v>
      </c>
      <c r="H202" s="48">
        <v>991.70978185181934</v>
      </c>
      <c r="I202" s="48">
        <v>1004.7426740777787</v>
      </c>
      <c r="J202" s="48">
        <v>1003.9696151772765</v>
      </c>
      <c r="K202" s="48">
        <v>1034.6037673165636</v>
      </c>
      <c r="L202" s="48">
        <v>1055.1146781813661</v>
      </c>
      <c r="M202" s="48">
        <v>1053.24079964362</v>
      </c>
      <c r="N202" s="48">
        <v>1069.7330916597198</v>
      </c>
      <c r="O202" s="48">
        <v>1117.905139619704</v>
      </c>
      <c r="P202" s="48">
        <v>1148.6727535379166</v>
      </c>
      <c r="Q202" s="48">
        <v>1181.084115663529</v>
      </c>
      <c r="R202" s="48">
        <v>1184.0489887449999</v>
      </c>
      <c r="S202" s="48">
        <v>1176.5928423648966</v>
      </c>
      <c r="T202" s="48">
        <v>1204.4129907392614</v>
      </c>
      <c r="U202" s="48">
        <v>1265.2322407873116</v>
      </c>
      <c r="V202" s="48">
        <v>1335.2416733812552</v>
      </c>
      <c r="W202" s="48">
        <v>1359.8029831788251</v>
      </c>
      <c r="X202" s="48">
        <v>1373.6061144799799</v>
      </c>
      <c r="Y202" s="48">
        <v>1386.5603881305315</v>
      </c>
      <c r="Z202" s="48">
        <v>1413.7327034441437</v>
      </c>
      <c r="AA202" s="48">
        <v>1395.368452690602</v>
      </c>
      <c r="AB202" s="48">
        <v>1450.0198243767895</v>
      </c>
      <c r="AC202" s="48">
        <v>1469.9039407707967</v>
      </c>
      <c r="AD202" s="48">
        <v>1464.729367796419</v>
      </c>
      <c r="AE202" s="48">
        <v>1490.7006021168531</v>
      </c>
      <c r="AF202" s="48">
        <v>1514.5581189156005</v>
      </c>
      <c r="AG202" s="48">
        <v>1484.9135157495621</v>
      </c>
      <c r="AH202" s="48">
        <v>1485.7066103418408</v>
      </c>
      <c r="AI202" s="48">
        <v>1450.3973255220899</v>
      </c>
      <c r="AJ202" s="48">
        <v>1439.6982719231112</v>
      </c>
      <c r="AK202" s="48">
        <v>1443.744673009116</v>
      </c>
      <c r="AL202" s="48">
        <v>1434.9348075757644</v>
      </c>
      <c r="AM202" s="48">
        <v>1418.9393499618081</v>
      </c>
      <c r="AN202" s="48">
        <v>1438.3563551525046</v>
      </c>
      <c r="AO202" s="48">
        <v>1443.6744974016237</v>
      </c>
      <c r="AP202" s="48">
        <v>1424.7971091673901</v>
      </c>
      <c r="AQ202" s="48">
        <v>1396.8835176507193</v>
      </c>
      <c r="AR202" s="48">
        <v>1362.0890159804123</v>
      </c>
      <c r="AS202" s="48">
        <v>1340.0390818920191</v>
      </c>
      <c r="AT202" s="48">
        <v>1336.9894814086799</v>
      </c>
      <c r="AU202" s="48">
        <v>1343.7582201324744</v>
      </c>
      <c r="AV202" s="48">
        <v>1385.8450046211281</v>
      </c>
      <c r="AW202" s="48">
        <v>1399.8431045867371</v>
      </c>
      <c r="AX202" s="48">
        <v>1418.1866293576882</v>
      </c>
      <c r="AY202" s="48">
        <v>1430.752576192883</v>
      </c>
      <c r="AZ202" s="48">
        <v>1447.0717008106908</v>
      </c>
      <c r="BA202" s="48">
        <v>1471.1565315067994</v>
      </c>
      <c r="BB202" s="48">
        <v>1482.6293515273842</v>
      </c>
      <c r="BC202" s="48">
        <v>1517.9356435622453</v>
      </c>
      <c r="BD202" s="48">
        <v>1558.0994612443592</v>
      </c>
      <c r="BE202" s="48">
        <v>1603.686517163467</v>
      </c>
      <c r="BF202" s="48">
        <v>1663.5313180232263</v>
      </c>
      <c r="BG202" s="48">
        <v>1724.2267756478388</v>
      </c>
      <c r="BH202" s="48">
        <v>1780.2654740369667</v>
      </c>
    </row>
    <row r="203" spans="1:60">
      <c r="A203" s="37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  <c r="AA203" s="45"/>
      <c r="AB203" s="45"/>
      <c r="AC203" s="45"/>
      <c r="AD203" s="45"/>
      <c r="AE203" s="45"/>
      <c r="AF203" s="45"/>
      <c r="AG203" s="45"/>
      <c r="AH203" s="45"/>
      <c r="AI203" s="45"/>
      <c r="AJ203" s="45"/>
      <c r="AK203" s="45"/>
      <c r="AL203" s="45"/>
      <c r="AM203" s="45"/>
      <c r="AN203" s="45"/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  <c r="BB203" s="45"/>
      <c r="BC203" s="45"/>
      <c r="BD203" s="45"/>
      <c r="BE203" s="45"/>
      <c r="BF203" s="45"/>
      <c r="BG203" s="45"/>
      <c r="BH203" s="45"/>
    </row>
    <row r="204" spans="1:60" s="41" customFormat="1" ht="12.75">
      <c r="A204" s="50"/>
      <c r="B204" s="36"/>
      <c r="C204" s="36"/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  <c r="AV204" s="36"/>
      <c r="AW204" s="36"/>
      <c r="AX204" s="36"/>
      <c r="AY204" s="36"/>
      <c r="AZ204" s="36"/>
      <c r="BA204" s="36"/>
      <c r="BB204" s="36"/>
      <c r="BC204" s="36"/>
      <c r="BD204" s="51"/>
      <c r="BE204" s="51"/>
      <c r="BF204" s="51"/>
      <c r="BG204" s="51"/>
      <c r="BH204" s="51"/>
    </row>
    <row r="205" spans="1:60">
      <c r="A205" s="43"/>
      <c r="B205" s="36" t="s">
        <v>178</v>
      </c>
      <c r="C205" s="36" t="s">
        <v>178</v>
      </c>
      <c r="D205" s="36" t="s">
        <v>178</v>
      </c>
      <c r="E205" s="36" t="s">
        <v>178</v>
      </c>
      <c r="F205" s="36" t="s">
        <v>178</v>
      </c>
      <c r="G205" s="36" t="s">
        <v>178</v>
      </c>
      <c r="H205" s="36" t="s">
        <v>178</v>
      </c>
      <c r="I205" s="36" t="s">
        <v>178</v>
      </c>
      <c r="J205" s="36" t="s">
        <v>178</v>
      </c>
      <c r="K205" s="36" t="s">
        <v>178</v>
      </c>
      <c r="L205" s="36" t="s">
        <v>178</v>
      </c>
      <c r="M205" s="36" t="s">
        <v>178</v>
      </c>
      <c r="N205" s="36" t="s">
        <v>178</v>
      </c>
      <c r="O205" s="36" t="s">
        <v>178</v>
      </c>
      <c r="P205" s="36" t="s">
        <v>178</v>
      </c>
      <c r="Q205" s="36" t="s">
        <v>178</v>
      </c>
      <c r="R205" s="36" t="s">
        <v>178</v>
      </c>
      <c r="S205" s="36" t="s">
        <v>178</v>
      </c>
      <c r="T205" s="36" t="s">
        <v>178</v>
      </c>
      <c r="U205" s="36" t="s">
        <v>178</v>
      </c>
      <c r="V205" s="36" t="s">
        <v>178</v>
      </c>
      <c r="W205" s="36" t="s">
        <v>178</v>
      </c>
      <c r="X205" s="36" t="s">
        <v>178</v>
      </c>
      <c r="Y205" s="36" t="s">
        <v>178</v>
      </c>
      <c r="Z205" s="36" t="s">
        <v>178</v>
      </c>
      <c r="AA205" s="36" t="s">
        <v>178</v>
      </c>
      <c r="AB205" s="36" t="s">
        <v>178</v>
      </c>
      <c r="AC205" s="36" t="s">
        <v>178</v>
      </c>
      <c r="AD205" s="36" t="s">
        <v>178</v>
      </c>
      <c r="AE205" s="36" t="s">
        <v>178</v>
      </c>
      <c r="AF205" s="36" t="s">
        <v>178</v>
      </c>
      <c r="AG205" s="36" t="s">
        <v>178</v>
      </c>
      <c r="AH205" s="36" t="s">
        <v>178</v>
      </c>
      <c r="AI205" s="36" t="s">
        <v>178</v>
      </c>
      <c r="AJ205" s="36" t="s">
        <v>178</v>
      </c>
      <c r="AK205" s="36" t="s">
        <v>178</v>
      </c>
      <c r="AL205" s="36" t="s">
        <v>178</v>
      </c>
      <c r="AM205" s="36" t="s">
        <v>178</v>
      </c>
      <c r="AN205" s="36" t="s">
        <v>178</v>
      </c>
      <c r="AO205" s="36" t="s">
        <v>178</v>
      </c>
      <c r="AP205" s="36" t="s">
        <v>178</v>
      </c>
      <c r="AQ205" s="36" t="s">
        <v>178</v>
      </c>
      <c r="AR205" s="36" t="s">
        <v>178</v>
      </c>
      <c r="AS205" s="36" t="s">
        <v>178</v>
      </c>
      <c r="AT205" s="36" t="s">
        <v>178</v>
      </c>
      <c r="AU205" s="36" t="s">
        <v>178</v>
      </c>
      <c r="AV205" s="36" t="s">
        <v>178</v>
      </c>
      <c r="AW205" s="36" t="s">
        <v>178</v>
      </c>
      <c r="AX205" s="36" t="s">
        <v>178</v>
      </c>
      <c r="AY205" s="36" t="s">
        <v>178</v>
      </c>
      <c r="AZ205" s="36" t="s">
        <v>178</v>
      </c>
      <c r="BA205" s="36" t="s">
        <v>178</v>
      </c>
      <c r="BB205" s="36" t="s">
        <v>178</v>
      </c>
      <c r="BC205" s="36" t="s">
        <v>178</v>
      </c>
      <c r="BD205" s="51" t="s">
        <v>178</v>
      </c>
      <c r="BE205" s="51" t="s">
        <v>178</v>
      </c>
      <c r="BF205" s="51" t="s">
        <v>178</v>
      </c>
      <c r="BG205" s="51" t="s">
        <v>178</v>
      </c>
      <c r="BH205" s="51" t="s">
        <v>178</v>
      </c>
    </row>
    <row r="206" spans="1:60" s="54" customFormat="1" ht="15.75">
      <c r="A206" s="52" t="s">
        <v>338</v>
      </c>
      <c r="B206" s="53">
        <v>2110.7375878729968</v>
      </c>
      <c r="C206" s="53">
        <v>2197.005536460234</v>
      </c>
      <c r="D206" s="53">
        <v>2257.9803276936786</v>
      </c>
      <c r="E206" s="53">
        <v>2328.9879060093858</v>
      </c>
      <c r="F206" s="53">
        <v>2363.4138861859774</v>
      </c>
      <c r="G206" s="53">
        <v>2466.7170170727891</v>
      </c>
      <c r="H206" s="53">
        <v>2533.8230115051974</v>
      </c>
      <c r="I206" s="53">
        <v>2577.8009482567736</v>
      </c>
      <c r="J206" s="53">
        <v>2606.8812108084485</v>
      </c>
      <c r="K206" s="53">
        <v>2674.7974032347111</v>
      </c>
      <c r="L206" s="53">
        <v>2772.5805907823415</v>
      </c>
      <c r="M206" s="53">
        <v>2830.9087657252162</v>
      </c>
      <c r="N206" s="53">
        <v>2913.6118041886625</v>
      </c>
      <c r="O206" s="53">
        <v>2977.9747285397052</v>
      </c>
      <c r="P206" s="53">
        <v>3130.2484095494196</v>
      </c>
      <c r="Q206" s="53">
        <v>3228.2647858678115</v>
      </c>
      <c r="R206" s="53">
        <v>3335.1518491409033</v>
      </c>
      <c r="S206" s="53">
        <v>3390.2571637920305</v>
      </c>
      <c r="T206" s="53">
        <v>3504.5040609263178</v>
      </c>
      <c r="U206" s="53">
        <v>3623.574254992016</v>
      </c>
      <c r="V206" s="53">
        <v>3729.4373347707365</v>
      </c>
      <c r="W206" s="53">
        <v>3802.9663296976064</v>
      </c>
      <c r="X206" s="53">
        <v>3904.4384942976121</v>
      </c>
      <c r="Y206" s="53">
        <v>4082.588683315711</v>
      </c>
      <c r="Z206" s="53">
        <v>4099.3797890259157</v>
      </c>
      <c r="AA206" s="53">
        <v>4087.2687804037168</v>
      </c>
      <c r="AB206" s="53">
        <v>4213.3919211859211</v>
      </c>
      <c r="AC206" s="53">
        <v>4309.2265360553329</v>
      </c>
      <c r="AD206" s="53">
        <v>4422.311835214161</v>
      </c>
      <c r="AE206" s="53">
        <v>4499.7738959830458</v>
      </c>
      <c r="AF206" s="53">
        <v>4511.7389212823982</v>
      </c>
      <c r="AG206" s="53">
        <v>4523.4433726844918</v>
      </c>
      <c r="AH206" s="53">
        <v>4501.1927230085485</v>
      </c>
      <c r="AI206" s="53">
        <v>4541.033317666007</v>
      </c>
      <c r="AJ206" s="53">
        <v>4668.1745199810985</v>
      </c>
      <c r="AK206" s="53">
        <v>4748.0223900302653</v>
      </c>
      <c r="AL206" s="53">
        <v>4832.7726342695896</v>
      </c>
      <c r="AM206" s="53">
        <v>4932.1727078853737</v>
      </c>
      <c r="AN206" s="53">
        <v>5056.2792467739146</v>
      </c>
      <c r="AO206" s="53">
        <v>5130.0360798357133</v>
      </c>
      <c r="AP206" s="53">
        <v>5149.731181777448</v>
      </c>
      <c r="AQ206" s="53">
        <v>5137.2637069414914</v>
      </c>
      <c r="AR206" s="53">
        <v>5165.3310712911225</v>
      </c>
      <c r="AS206" s="53">
        <v>5199.8756070077879</v>
      </c>
      <c r="AT206" s="53">
        <v>5303.7772264938212</v>
      </c>
      <c r="AU206" s="53">
        <v>5446.0671888067191</v>
      </c>
      <c r="AV206" s="53">
        <v>5551.7740884886516</v>
      </c>
      <c r="AW206" s="53">
        <v>5690.0199595115228</v>
      </c>
      <c r="AX206" s="53">
        <v>5708.7309541273362</v>
      </c>
      <c r="AY206" s="53">
        <v>5833.2554919139293</v>
      </c>
      <c r="AZ206" s="53">
        <v>6037.6758874956095</v>
      </c>
      <c r="BA206" s="53">
        <v>6131.7054714729165</v>
      </c>
      <c r="BB206" s="53">
        <v>6261.7342670542766</v>
      </c>
      <c r="BC206" s="53">
        <v>6469.1195749421013</v>
      </c>
      <c r="BD206" s="53">
        <v>6738.2813332867345</v>
      </c>
      <c r="BE206" s="53">
        <v>6960.0310347543327</v>
      </c>
      <c r="BF206" s="53">
        <v>7238.3834833498449</v>
      </c>
      <c r="BG206" s="53">
        <v>7467.6482323114678</v>
      </c>
      <c r="BH206" s="53">
        <v>7613.9229239427013</v>
      </c>
    </row>
  </sheetData>
  <hyperlinks>
    <hyperlink ref="A3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60"/>
  <sheetViews>
    <sheetView tabSelected="1" workbookViewId="0">
      <selection activeCell="L11" sqref="L11"/>
    </sheetView>
  </sheetViews>
  <sheetFormatPr defaultRowHeight="15"/>
  <cols>
    <col min="2" max="2" width="12.140625" bestFit="1" customWidth="1"/>
    <col min="3" max="3" width="13.7109375" bestFit="1" customWidth="1"/>
    <col min="5" max="5" width="13.28515625" bestFit="1" customWidth="1"/>
    <col min="6" max="6" width="14.140625" bestFit="1" customWidth="1"/>
    <col min="8" max="8" width="12.5703125" bestFit="1" customWidth="1"/>
    <col min="9" max="9" width="14.140625" bestFit="1" customWidth="1"/>
    <col min="11" max="11" width="13.85546875" bestFit="1" customWidth="1"/>
    <col min="12" max="12" width="14.7109375" bestFit="1" customWidth="1"/>
  </cols>
  <sheetData>
    <row r="1" spans="1:15">
      <c r="A1" t="s">
        <v>339</v>
      </c>
      <c r="B1" t="s">
        <v>340</v>
      </c>
      <c r="C1" t="s">
        <v>341</v>
      </c>
      <c r="D1" t="s">
        <v>344</v>
      </c>
      <c r="E1" t="s">
        <v>342</v>
      </c>
      <c r="F1" t="s">
        <v>343</v>
      </c>
      <c r="G1" t="s">
        <v>347</v>
      </c>
      <c r="H1" t="s">
        <v>350</v>
      </c>
      <c r="I1" t="s">
        <v>351</v>
      </c>
      <c r="J1" t="s">
        <v>344</v>
      </c>
      <c r="K1" t="s">
        <v>345</v>
      </c>
      <c r="L1" t="s">
        <v>346</v>
      </c>
      <c r="M1" t="s">
        <v>347</v>
      </c>
      <c r="N1" t="s">
        <v>348</v>
      </c>
      <c r="O1" t="s">
        <v>349</v>
      </c>
    </row>
    <row r="2" spans="1:15">
      <c r="A2">
        <v>1950</v>
      </c>
      <c r="B2">
        <v>9561.3478600652797</v>
      </c>
      <c r="C2">
        <v>1682.188013925118</v>
      </c>
      <c r="D2">
        <v>1980</v>
      </c>
      <c r="E2">
        <v>25531.081530818221</v>
      </c>
      <c r="F2">
        <v>4849.9114292709501</v>
      </c>
      <c r="G2">
        <v>1971</v>
      </c>
      <c r="H2">
        <v>18619.344991622209</v>
      </c>
      <c r="I2">
        <v>3849.9509649197148</v>
      </c>
      <c r="J2">
        <v>1970</v>
      </c>
      <c r="K2">
        <v>18228.813520472857</v>
      </c>
      <c r="L2">
        <v>2425.5967656566418</v>
      </c>
      <c r="M2">
        <v>1971</v>
      </c>
      <c r="N2">
        <v>18619.344991622209</v>
      </c>
      <c r="O2">
        <v>2553.574661576291</v>
      </c>
    </row>
    <row r="3" spans="1:15">
      <c r="A3">
        <v>1951</v>
      </c>
      <c r="B3">
        <v>10116.246335825619</v>
      </c>
      <c r="C3">
        <v>1735.3805784588706</v>
      </c>
      <c r="D3">
        <v>1981</v>
      </c>
      <c r="E3">
        <v>25924.537845889463</v>
      </c>
      <c r="F3">
        <v>4857.9284931580132</v>
      </c>
      <c r="G3">
        <v>1972</v>
      </c>
      <c r="H3">
        <v>19438.544425601645</v>
      </c>
      <c r="I3">
        <v>3965.9453293225438</v>
      </c>
      <c r="J3">
        <v>1971</v>
      </c>
      <c r="K3">
        <v>18622.122285840869</v>
      </c>
      <c r="L3">
        <v>2471.0543541407883</v>
      </c>
      <c r="M3">
        <v>1972</v>
      </c>
      <c r="N3">
        <v>19438.544425601645</v>
      </c>
      <c r="O3">
        <v>2642.118916844131</v>
      </c>
    </row>
    <row r="4" spans="1:15">
      <c r="A4">
        <v>1952</v>
      </c>
      <c r="B4">
        <v>10315.544610385077</v>
      </c>
      <c r="C4">
        <v>1765.7699719472046</v>
      </c>
      <c r="D4">
        <v>1982</v>
      </c>
      <c r="E4">
        <v>25170.073903532939</v>
      </c>
      <c r="F4">
        <v>4838.0287203454554</v>
      </c>
      <c r="G4">
        <v>1973</v>
      </c>
      <c r="H4">
        <v>20392.136416610439</v>
      </c>
      <c r="I4">
        <v>4154.9331913729347</v>
      </c>
      <c r="J4">
        <v>1972</v>
      </c>
      <c r="K4">
        <v>19441.137125052413</v>
      </c>
      <c r="L4">
        <v>2560.3568511602725</v>
      </c>
      <c r="M4">
        <v>1973</v>
      </c>
      <c r="N4">
        <v>20392.136416610439</v>
      </c>
      <c r="O4">
        <v>2769.7710780536408</v>
      </c>
    </row>
    <row r="5" spans="1:15">
      <c r="A5">
        <v>1953</v>
      </c>
      <c r="B5">
        <v>10612.608000799082</v>
      </c>
      <c r="C5">
        <v>1829.2709826119356</v>
      </c>
      <c r="D5">
        <v>1983</v>
      </c>
      <c r="E5">
        <v>26067.187932537247</v>
      </c>
      <c r="F5">
        <v>4858.8836485811535</v>
      </c>
      <c r="G5">
        <v>1974</v>
      </c>
      <c r="H5">
        <v>20100.117813163284</v>
      </c>
      <c r="I5">
        <v>4223.5879723958533</v>
      </c>
      <c r="J5">
        <v>1973</v>
      </c>
      <c r="K5">
        <v>20395.022972124832</v>
      </c>
      <c r="L5">
        <v>2678.419298899561</v>
      </c>
      <c r="M5">
        <v>1974</v>
      </c>
      <c r="N5">
        <v>20100.117813163284</v>
      </c>
      <c r="O5">
        <v>2785.7548920625768</v>
      </c>
    </row>
    <row r="6" spans="1:15">
      <c r="A6">
        <v>1954</v>
      </c>
      <c r="B6">
        <v>10359.108363083189</v>
      </c>
      <c r="C6">
        <v>1848.6437824050072</v>
      </c>
      <c r="D6">
        <v>1984</v>
      </c>
      <c r="E6">
        <v>27701.897598584557</v>
      </c>
      <c r="F6">
        <v>4965.1430358002153</v>
      </c>
      <c r="G6">
        <v>1975</v>
      </c>
      <c r="H6">
        <v>19867.275362184639</v>
      </c>
      <c r="I6">
        <v>4248.3423063374257</v>
      </c>
      <c r="J6">
        <v>1974</v>
      </c>
      <c r="K6">
        <v>20104.25303711879</v>
      </c>
      <c r="L6">
        <v>2690.4306104354455</v>
      </c>
      <c r="M6">
        <v>1975</v>
      </c>
      <c r="N6">
        <v>19867.275362184639</v>
      </c>
      <c r="O6">
        <v>2778.3805676009611</v>
      </c>
    </row>
    <row r="7" spans="1:15">
      <c r="A7">
        <v>1955</v>
      </c>
      <c r="B7">
        <v>10896.854716719601</v>
      </c>
      <c r="C7">
        <v>1975.1960524438507</v>
      </c>
      <c r="D7">
        <v>1985</v>
      </c>
      <c r="E7">
        <v>28586.43937029337</v>
      </c>
      <c r="F7">
        <v>5059.6661417605492</v>
      </c>
      <c r="G7">
        <v>1976</v>
      </c>
      <c r="H7">
        <v>20741.592766156467</v>
      </c>
      <c r="I7">
        <v>4382.828670790067</v>
      </c>
      <c r="J7">
        <v>1975</v>
      </c>
      <c r="K7">
        <v>19868.012862718959</v>
      </c>
      <c r="L7">
        <v>2676.4746197571931</v>
      </c>
      <c r="M7">
        <v>1976</v>
      </c>
      <c r="N7">
        <v>20741.592766156467</v>
      </c>
      <c r="O7">
        <v>2859.1688523135208</v>
      </c>
    </row>
    <row r="8" spans="1:15">
      <c r="A8">
        <v>1956</v>
      </c>
      <c r="B8">
        <v>10914.282161950941</v>
      </c>
      <c r="C8">
        <v>2013.7158246173083</v>
      </c>
      <c r="D8">
        <v>1986</v>
      </c>
      <c r="E8">
        <v>29294.599247941602</v>
      </c>
      <c r="F8">
        <v>5139.8650319498911</v>
      </c>
      <c r="G8">
        <v>1977</v>
      </c>
      <c r="H8">
        <v>21486.978469192745</v>
      </c>
      <c r="I8">
        <v>4486.0009989624623</v>
      </c>
      <c r="J8">
        <v>1976</v>
      </c>
      <c r="K8">
        <v>20746.445327585025</v>
      </c>
      <c r="L8">
        <v>2752.1642082450157</v>
      </c>
      <c r="M8">
        <v>1977</v>
      </c>
      <c r="N8">
        <v>21486.978469192745</v>
      </c>
      <c r="O8">
        <v>2917.8418503149433</v>
      </c>
    </row>
    <row r="9" spans="1:15">
      <c r="A9">
        <v>1957</v>
      </c>
      <c r="B9">
        <v>10919.986742952833</v>
      </c>
      <c r="C9">
        <v>2060.7623561880387</v>
      </c>
      <c r="D9">
        <v>1987</v>
      </c>
      <c r="E9">
        <v>29953.072575512007</v>
      </c>
      <c r="F9">
        <v>5243.963411084138</v>
      </c>
      <c r="G9">
        <v>1978</v>
      </c>
      <c r="H9">
        <v>22457.550453894146</v>
      </c>
      <c r="I9">
        <v>4588.523765654465</v>
      </c>
      <c r="J9">
        <v>1977</v>
      </c>
      <c r="K9">
        <v>21491.858576364772</v>
      </c>
      <c r="L9">
        <v>2807.1862587127666</v>
      </c>
      <c r="M9">
        <v>1978</v>
      </c>
      <c r="N9">
        <v>22457.550453894146</v>
      </c>
      <c r="O9">
        <v>2980.3809827520354</v>
      </c>
    </row>
    <row r="10" spans="1:15">
      <c r="A10">
        <v>1958</v>
      </c>
      <c r="B10">
        <v>10630.528013174597</v>
      </c>
      <c r="C10">
        <v>2092.4184858748604</v>
      </c>
      <c r="D10">
        <v>1988</v>
      </c>
      <c r="E10">
        <v>30899.512886230474</v>
      </c>
      <c r="F10">
        <v>5395.9489364536857</v>
      </c>
      <c r="G10">
        <v>1979</v>
      </c>
      <c r="H10">
        <v>22908.962888594706</v>
      </c>
      <c r="I10">
        <v>4692.4611030138667</v>
      </c>
      <c r="J10">
        <v>1978</v>
      </c>
      <c r="K10">
        <v>22461.989500640208</v>
      </c>
      <c r="L10">
        <v>2863.9842063913675</v>
      </c>
      <c r="M10">
        <v>1979</v>
      </c>
      <c r="N10">
        <v>22908.962888594706</v>
      </c>
      <c r="O10">
        <v>3065.0556776184912</v>
      </c>
    </row>
    <row r="11" spans="1:15">
      <c r="A11">
        <v>1959</v>
      </c>
      <c r="B11">
        <v>11230.16926277906</v>
      </c>
      <c r="C11">
        <v>2183.8854433037986</v>
      </c>
      <c r="D11">
        <v>1989</v>
      </c>
      <c r="E11">
        <v>31700.152749290992</v>
      </c>
      <c r="F11">
        <v>5502.2101337555141</v>
      </c>
      <c r="G11">
        <v>1980</v>
      </c>
      <c r="H11">
        <v>22580.39486049024</v>
      </c>
      <c r="I11">
        <v>4739.3506589118742</v>
      </c>
      <c r="J11">
        <v>1979</v>
      </c>
      <c r="K11">
        <v>22914.155797471733</v>
      </c>
      <c r="L11">
        <v>2941.231755787398</v>
      </c>
      <c r="M11">
        <v>1980</v>
      </c>
      <c r="N11">
        <v>22580.39486049024</v>
      </c>
      <c r="O11">
        <v>3086.3410857499766</v>
      </c>
    </row>
    <row r="12" spans="1:15">
      <c r="A12">
        <v>1960</v>
      </c>
      <c r="B12">
        <v>11328.475516269904</v>
      </c>
      <c r="C12">
        <v>2249.6088791196362</v>
      </c>
      <c r="D12">
        <v>1990</v>
      </c>
      <c r="E12">
        <v>31926.144633348929</v>
      </c>
      <c r="F12">
        <v>5562.8799288628707</v>
      </c>
      <c r="G12">
        <v>1981</v>
      </c>
      <c r="H12">
        <v>22924.785224861742</v>
      </c>
      <c r="I12">
        <v>4728.81408944951</v>
      </c>
      <c r="J12">
        <v>1980</v>
      </c>
      <c r="K12">
        <v>22630.180772362201</v>
      </c>
      <c r="L12">
        <v>2969.9113488692378</v>
      </c>
      <c r="M12">
        <v>1981</v>
      </c>
      <c r="N12">
        <v>22924.785224861742</v>
      </c>
      <c r="O12">
        <v>3070.8062387917353</v>
      </c>
    </row>
    <row r="13" spans="1:15">
      <c r="A13">
        <v>1961</v>
      </c>
      <c r="B13">
        <v>11401.734434457867</v>
      </c>
      <c r="C13">
        <v>2304.1776213878957</v>
      </c>
      <c r="D13">
        <v>1991</v>
      </c>
      <c r="E13">
        <v>31419.750895207009</v>
      </c>
      <c r="F13">
        <v>5570.8747369374323</v>
      </c>
      <c r="G13">
        <v>1982</v>
      </c>
      <c r="H13">
        <v>22256.965437649105</v>
      </c>
      <c r="I13">
        <v>4720.3822215475111</v>
      </c>
      <c r="J13">
        <v>1981</v>
      </c>
      <c r="K13">
        <v>22978.931667436573</v>
      </c>
      <c r="L13">
        <v>2977.2625469497498</v>
      </c>
      <c r="M13">
        <v>1982</v>
      </c>
      <c r="N13">
        <v>22256.965437649105</v>
      </c>
      <c r="O13">
        <v>3051.375037637159</v>
      </c>
    </row>
    <row r="14" spans="1:15">
      <c r="A14">
        <v>1962</v>
      </c>
      <c r="B14">
        <v>11904.984507178162</v>
      </c>
      <c r="C14">
        <v>2387.7502188888029</v>
      </c>
      <c r="D14">
        <v>1992</v>
      </c>
      <c r="E14">
        <v>32042.305689980247</v>
      </c>
      <c r="F14">
        <v>5549.702557191943</v>
      </c>
      <c r="G14">
        <v>1983</v>
      </c>
      <c r="H14">
        <v>23052.028523511413</v>
      </c>
      <c r="I14">
        <v>4762.6644696453068</v>
      </c>
      <c r="J14">
        <v>1982</v>
      </c>
      <c r="K14">
        <v>22310.191669832177</v>
      </c>
      <c r="L14">
        <v>2966.3552707934</v>
      </c>
      <c r="M14">
        <v>1983</v>
      </c>
      <c r="N14">
        <v>23052.028523511413</v>
      </c>
      <c r="O14">
        <v>3060.1889681681973</v>
      </c>
    </row>
    <row r="15" spans="1:15">
      <c r="A15">
        <v>1963</v>
      </c>
      <c r="B15">
        <v>12242.340495238901</v>
      </c>
      <c r="C15">
        <v>2427.8045948158438</v>
      </c>
      <c r="D15">
        <v>1993</v>
      </c>
      <c r="E15">
        <v>32530.903865921664</v>
      </c>
      <c r="F15">
        <v>5543.739656908836</v>
      </c>
      <c r="G15">
        <v>1984</v>
      </c>
      <c r="H15">
        <v>24495.240995964363</v>
      </c>
      <c r="I15">
        <v>4851.4181324162955</v>
      </c>
      <c r="J15">
        <v>1983</v>
      </c>
      <c r="K15">
        <v>23105.373520052017</v>
      </c>
      <c r="L15">
        <v>2975.2711032656689</v>
      </c>
      <c r="M15">
        <v>1984</v>
      </c>
      <c r="N15">
        <v>24495.240995964363</v>
      </c>
      <c r="O15">
        <v>3109.911406300439</v>
      </c>
    </row>
    <row r="16" spans="1:15">
      <c r="A16">
        <v>1964</v>
      </c>
      <c r="B16">
        <v>12772.566431634954</v>
      </c>
      <c r="C16">
        <v>2572.0908596731097</v>
      </c>
      <c r="D16">
        <v>1994</v>
      </c>
      <c r="E16">
        <v>33456.594945390898</v>
      </c>
      <c r="F16">
        <v>5616.225706568689</v>
      </c>
      <c r="G16">
        <v>1985</v>
      </c>
      <c r="H16">
        <v>25276.550694741432</v>
      </c>
      <c r="I16">
        <v>4926.2507251226898</v>
      </c>
      <c r="J16">
        <v>1984</v>
      </c>
      <c r="K16">
        <v>24554.343678575216</v>
      </c>
      <c r="L16">
        <v>3036.9023059293208</v>
      </c>
      <c r="M16">
        <v>1985</v>
      </c>
      <c r="N16">
        <v>25276.550694741432</v>
      </c>
      <c r="O16">
        <v>3157.4825045792072</v>
      </c>
    </row>
    <row r="17" spans="1:15">
      <c r="A17">
        <v>1965</v>
      </c>
      <c r="B17">
        <v>13418.701718450051</v>
      </c>
      <c r="C17">
        <v>2647.2678783564929</v>
      </c>
      <c r="D17">
        <v>1995</v>
      </c>
      <c r="E17">
        <v>33903.289049727093</v>
      </c>
      <c r="F17">
        <v>5724.3420681942853</v>
      </c>
      <c r="G17">
        <v>1986</v>
      </c>
      <c r="H17">
        <v>25906.740401274707</v>
      </c>
      <c r="I17">
        <v>5014.2647073598428</v>
      </c>
      <c r="J17">
        <v>1985</v>
      </c>
      <c r="K17">
        <v>25338.381760562195</v>
      </c>
      <c r="L17">
        <v>3098.9678595273335</v>
      </c>
      <c r="M17">
        <v>1986</v>
      </c>
      <c r="N17">
        <v>25906.740401274707</v>
      </c>
      <c r="O17">
        <v>3201.4974618692536</v>
      </c>
    </row>
    <row r="18" spans="1:15">
      <c r="A18">
        <v>1966</v>
      </c>
      <c r="B18">
        <v>14133.526658526658</v>
      </c>
      <c r="C18">
        <v>2726.3117454048665</v>
      </c>
      <c r="D18">
        <v>1996</v>
      </c>
      <c r="E18">
        <v>34779.542239028699</v>
      </c>
      <c r="F18">
        <v>5851.0064399892117</v>
      </c>
      <c r="G18">
        <v>1987</v>
      </c>
      <c r="H18">
        <v>26489.167898601154</v>
      </c>
      <c r="I18">
        <v>5108.2666656586198</v>
      </c>
      <c r="J18">
        <v>1986</v>
      </c>
      <c r="K18">
        <v>25966.078868793549</v>
      </c>
      <c r="L18">
        <v>3145.6220883222481</v>
      </c>
      <c r="M18">
        <v>1987</v>
      </c>
      <c r="N18">
        <v>26489.167898601154</v>
      </c>
      <c r="O18">
        <v>3257.2036580381964</v>
      </c>
    </row>
    <row r="19" spans="1:15">
      <c r="A19">
        <v>1967</v>
      </c>
      <c r="B19">
        <v>14330.030395748621</v>
      </c>
      <c r="C19">
        <v>2747.2504707220501</v>
      </c>
      <c r="D19">
        <v>1997</v>
      </c>
      <c r="E19">
        <v>35911.786611677308</v>
      </c>
      <c r="F19">
        <v>5990.1098038132441</v>
      </c>
      <c r="G19">
        <v>1988</v>
      </c>
      <c r="H19">
        <v>27325.829079290463</v>
      </c>
      <c r="I19">
        <v>5240.1670599629479</v>
      </c>
      <c r="J19">
        <v>1987</v>
      </c>
      <c r="K19">
        <v>26549.734928123031</v>
      </c>
      <c r="L19">
        <v>3206.0394976706484</v>
      </c>
      <c r="M19">
        <v>1988</v>
      </c>
      <c r="N19">
        <v>27325.829079290463</v>
      </c>
      <c r="O19">
        <v>3346.0995579827113</v>
      </c>
    </row>
    <row r="20" spans="1:15">
      <c r="A20">
        <v>1968</v>
      </c>
      <c r="B20">
        <v>14862.938825944417</v>
      </c>
      <c r="C20">
        <v>2862.9929951771182</v>
      </c>
      <c r="D20">
        <v>1998</v>
      </c>
      <c r="E20">
        <v>37057.646441650882</v>
      </c>
      <c r="F20">
        <v>6022.057777304859</v>
      </c>
      <c r="G20">
        <v>1989</v>
      </c>
      <c r="H20">
        <v>28033.793206595336</v>
      </c>
      <c r="I20">
        <v>5337.8028771171239</v>
      </c>
      <c r="J20">
        <v>1988</v>
      </c>
      <c r="K20">
        <v>27388.638493408969</v>
      </c>
      <c r="L20">
        <v>3306.9160949963707</v>
      </c>
      <c r="M20">
        <v>1989</v>
      </c>
      <c r="N20">
        <v>28033.793206595336</v>
      </c>
      <c r="O20">
        <v>3413.3441365505014</v>
      </c>
    </row>
    <row r="21" spans="1:15">
      <c r="A21">
        <v>1969</v>
      </c>
      <c r="B21">
        <v>15179.408615679135</v>
      </c>
      <c r="C21">
        <v>2964.7338110804435</v>
      </c>
      <c r="D21">
        <v>1999</v>
      </c>
      <c r="E21">
        <v>38418.506315724073</v>
      </c>
      <c r="F21">
        <v>6133.462762595932</v>
      </c>
      <c r="G21">
        <v>1990</v>
      </c>
      <c r="H21">
        <v>28235.505494022327</v>
      </c>
      <c r="I21">
        <v>5242.8117054561417</v>
      </c>
      <c r="J21">
        <v>1989</v>
      </c>
      <c r="K21">
        <v>28098.307796401412</v>
      </c>
      <c r="L21">
        <v>3375.455660063195</v>
      </c>
      <c r="M21">
        <v>1990</v>
      </c>
      <c r="N21">
        <v>28235.505494022327</v>
      </c>
      <c r="O21">
        <v>3422.648927839989</v>
      </c>
    </row>
    <row r="22" spans="1:15">
      <c r="A22">
        <v>1970</v>
      </c>
      <c r="B22">
        <v>15029.846087821626</v>
      </c>
      <c r="C22">
        <v>3066.2937600015562</v>
      </c>
      <c r="D22">
        <v>2000</v>
      </c>
      <c r="E22">
        <v>39577.633507299863</v>
      </c>
      <c r="F22">
        <v>6351.6622899306631</v>
      </c>
      <c r="G22">
        <v>1991</v>
      </c>
      <c r="H22">
        <v>27789.460813315978</v>
      </c>
      <c r="I22">
        <v>5252.1715756676786</v>
      </c>
      <c r="J22">
        <v>1990</v>
      </c>
      <c r="K22">
        <v>28298.621957912532</v>
      </c>
      <c r="L22">
        <v>3432.7848018348432</v>
      </c>
      <c r="M22">
        <v>1991</v>
      </c>
      <c r="N22">
        <v>27789.460813315978</v>
      </c>
      <c r="O22">
        <v>3440.9530760718571</v>
      </c>
    </row>
    <row r="23" spans="1:15">
      <c r="A23">
        <v>1971</v>
      </c>
      <c r="B23">
        <v>15304.298833194485</v>
      </c>
      <c r="C23">
        <v>3159.4876873103535</v>
      </c>
      <c r="D23">
        <v>2001</v>
      </c>
      <c r="E23">
        <v>39601.939080400574</v>
      </c>
      <c r="F23">
        <v>6431.4479196128368</v>
      </c>
      <c r="G23">
        <v>1992</v>
      </c>
      <c r="H23">
        <v>28356.481733755769</v>
      </c>
      <c r="I23">
        <v>5267.8986332002005</v>
      </c>
      <c r="J23">
        <v>1991</v>
      </c>
      <c r="K23">
        <v>27849.765851980977</v>
      </c>
      <c r="L23">
        <v>3455.4461828549834</v>
      </c>
      <c r="M23">
        <v>1992</v>
      </c>
      <c r="N23">
        <v>28356.481733755769</v>
      </c>
      <c r="O23">
        <v>3448.0269913791717</v>
      </c>
    </row>
    <row r="24" spans="1:15">
      <c r="A24">
        <v>1972</v>
      </c>
      <c r="B24">
        <v>15943.867439112702</v>
      </c>
      <c r="C24">
        <v>3255.8716187835485</v>
      </c>
      <c r="D24">
        <v>2002</v>
      </c>
      <c r="E24">
        <v>39944.198143586538</v>
      </c>
      <c r="F24">
        <v>6535.3719725434257</v>
      </c>
      <c r="G24">
        <v>1993</v>
      </c>
      <c r="H24">
        <v>28794.453707901434</v>
      </c>
      <c r="I24">
        <v>5291.8381345611933</v>
      </c>
      <c r="J24">
        <v>1992</v>
      </c>
      <c r="K24">
        <v>28401.584525600942</v>
      </c>
      <c r="L24">
        <v>3456.4351114038409</v>
      </c>
      <c r="M24">
        <v>1993</v>
      </c>
      <c r="N24">
        <v>28794.453707901434</v>
      </c>
      <c r="O24">
        <v>3440.3242269725765</v>
      </c>
    </row>
    <row r="25" spans="1:15">
      <c r="A25">
        <v>1973</v>
      </c>
      <c r="B25">
        <v>16689.343067071241</v>
      </c>
      <c r="C25">
        <v>3413.9026022956855</v>
      </c>
      <c r="D25">
        <v>2003</v>
      </c>
      <c r="E25">
        <v>40588.166422272756</v>
      </c>
      <c r="F25">
        <v>6698.1198441243241</v>
      </c>
      <c r="G25">
        <v>1994</v>
      </c>
      <c r="H25">
        <v>29618.147311685108</v>
      </c>
      <c r="I25">
        <v>5388.5712111707944</v>
      </c>
      <c r="J25">
        <v>1993</v>
      </c>
      <c r="K25">
        <v>28834.667042424753</v>
      </c>
      <c r="L25">
        <v>3448.8085667728205</v>
      </c>
      <c r="M25">
        <v>1994</v>
      </c>
      <c r="N25">
        <v>29618.147311685108</v>
      </c>
      <c r="O25">
        <v>3491.4648698379297</v>
      </c>
    </row>
    <row r="26" spans="1:15">
      <c r="A26">
        <v>1974</v>
      </c>
      <c r="B26">
        <v>16491.269744779151</v>
      </c>
      <c r="C26">
        <v>3396.3994101538788</v>
      </c>
      <c r="D26">
        <v>2004</v>
      </c>
      <c r="E26">
        <v>41652.846321804238</v>
      </c>
      <c r="F26">
        <v>6969.1099053848102</v>
      </c>
      <c r="G26">
        <v>1995</v>
      </c>
      <c r="H26">
        <v>30016.174771557606</v>
      </c>
      <c r="I26">
        <v>5509.6535245098876</v>
      </c>
      <c r="J26">
        <v>1994</v>
      </c>
      <c r="K26">
        <v>29655.178952289014</v>
      </c>
      <c r="L26">
        <v>3498.6955402302724</v>
      </c>
      <c r="M26">
        <v>1995</v>
      </c>
      <c r="N26">
        <v>30016.174771557606</v>
      </c>
      <c r="O26">
        <v>3544.4300039122427</v>
      </c>
    </row>
    <row r="27" spans="1:15">
      <c r="A27">
        <v>1975</v>
      </c>
      <c r="B27">
        <v>16283.632676306759</v>
      </c>
      <c r="C27">
        <v>3401.3565372006756</v>
      </c>
      <c r="D27">
        <v>2005</v>
      </c>
      <c r="E27">
        <v>42534.479785496682</v>
      </c>
      <c r="F27">
        <v>7223.0097492343275</v>
      </c>
      <c r="G27">
        <v>1996</v>
      </c>
      <c r="H27">
        <v>30791.234418680524</v>
      </c>
      <c r="I27">
        <v>5654.7017491077077</v>
      </c>
      <c r="J27">
        <v>1995</v>
      </c>
      <c r="K27">
        <v>30051.118635411109</v>
      </c>
      <c r="L27">
        <v>3553.2075603617632</v>
      </c>
      <c r="M27">
        <v>1996</v>
      </c>
      <c r="N27">
        <v>30791.234418680524</v>
      </c>
      <c r="O27">
        <v>3607.8097380508971</v>
      </c>
    </row>
    <row r="28" spans="1:15">
      <c r="A28">
        <v>1976</v>
      </c>
      <c r="B28">
        <v>16975.086568670169</v>
      </c>
      <c r="C28">
        <v>3551.1725296120035</v>
      </c>
      <c r="D28">
        <v>2006</v>
      </c>
      <c r="E28">
        <v>43256.539834776791</v>
      </c>
      <c r="F28">
        <v>7551.9588920921396</v>
      </c>
      <c r="G28">
        <v>1997</v>
      </c>
      <c r="H28">
        <v>31796.305658746031</v>
      </c>
      <c r="I28">
        <v>5803.5706716763707</v>
      </c>
      <c r="J28">
        <v>1996</v>
      </c>
      <c r="K28">
        <v>30827.809902967401</v>
      </c>
      <c r="L28">
        <v>3616.2956094031451</v>
      </c>
      <c r="M28">
        <v>1997</v>
      </c>
      <c r="N28">
        <v>31796.305658746031</v>
      </c>
      <c r="O28">
        <v>3678.9856425987718</v>
      </c>
    </row>
    <row r="29" spans="1:15">
      <c r="A29">
        <v>1977</v>
      </c>
      <c r="B29">
        <v>17566.502753826528</v>
      </c>
      <c r="C29">
        <v>3620.0462844963599</v>
      </c>
      <c r="D29">
        <v>2007</v>
      </c>
      <c r="E29">
        <v>43662.144719820746</v>
      </c>
      <c r="F29">
        <v>7919.2537253594282</v>
      </c>
      <c r="G29">
        <v>1998</v>
      </c>
      <c r="H29">
        <v>32811.387848808998</v>
      </c>
      <c r="I29">
        <v>5851.3077934646308</v>
      </c>
      <c r="J29">
        <v>1997</v>
      </c>
      <c r="K29">
        <v>31831.406041289967</v>
      </c>
      <c r="L29">
        <v>3686.4741824539947</v>
      </c>
      <c r="M29">
        <v>1998</v>
      </c>
      <c r="N29">
        <v>32811.387848808998</v>
      </c>
      <c r="O29">
        <v>3684.571081093437</v>
      </c>
    </row>
    <row r="30" spans="1:15">
      <c r="A30">
        <v>1978</v>
      </c>
      <c r="B30">
        <v>18372.972123009189</v>
      </c>
      <c r="C30">
        <v>3712.4990756931447</v>
      </c>
      <c r="D30">
        <v>2008</v>
      </c>
      <c r="E30">
        <v>43260.879072720069</v>
      </c>
      <c r="F30">
        <v>8099.9154604786345</v>
      </c>
      <c r="G30">
        <v>1999</v>
      </c>
      <c r="H30">
        <v>34018.197244816132</v>
      </c>
      <c r="I30">
        <v>5973.8007870340434</v>
      </c>
      <c r="J30">
        <v>1998</v>
      </c>
      <c r="K30">
        <v>32847.070617065547</v>
      </c>
      <c r="L30">
        <v>3691.6783314860409</v>
      </c>
      <c r="M30">
        <v>1999</v>
      </c>
      <c r="N30">
        <v>34018.197244816132</v>
      </c>
      <c r="O30">
        <v>3729.5954169514762</v>
      </c>
    </row>
    <row r="31" spans="1:15">
      <c r="A31">
        <v>1979</v>
      </c>
      <c r="B31">
        <v>18789.393703761303</v>
      </c>
      <c r="C31">
        <v>3756.2299113891581</v>
      </c>
      <c r="D31">
        <v>2009</v>
      </c>
      <c r="E31">
        <v>41761.076378289938</v>
      </c>
      <c r="F31">
        <v>7952.2493261609843</v>
      </c>
      <c r="G31">
        <v>2000</v>
      </c>
      <c r="H31">
        <v>35050.79440394033</v>
      </c>
      <c r="I31">
        <v>6192.1181007179539</v>
      </c>
      <c r="J31">
        <v>1999</v>
      </c>
      <c r="K31">
        <v>34053.306432769496</v>
      </c>
      <c r="L31">
        <v>3738.3174300616001</v>
      </c>
      <c r="M31">
        <v>2000</v>
      </c>
      <c r="N31">
        <v>35050.79440394033</v>
      </c>
      <c r="O31">
        <v>3841.9982115474504</v>
      </c>
    </row>
    <row r="32" spans="1:15">
      <c r="A32">
        <v>1980</v>
      </c>
      <c r="B32">
        <v>18577.36665413365</v>
      </c>
      <c r="C32">
        <v>3751.6831423587992</v>
      </c>
      <c r="G32">
        <v>2001</v>
      </c>
      <c r="H32">
        <v>35076.191577810961</v>
      </c>
      <c r="I32">
        <v>6296.2648208103101</v>
      </c>
      <c r="J32">
        <v>2000</v>
      </c>
      <c r="K32">
        <v>35080.730901719522</v>
      </c>
      <c r="L32">
        <v>3852.2198385860438</v>
      </c>
      <c r="M32">
        <v>2001</v>
      </c>
      <c r="N32">
        <v>35076.191577810961</v>
      </c>
      <c r="O32">
        <v>3864.3027585387417</v>
      </c>
    </row>
    <row r="33" spans="1:15">
      <c r="A33">
        <v>1981</v>
      </c>
      <c r="B33">
        <v>18855.55486999598</v>
      </c>
      <c r="C33">
        <v>3778.8892215137216</v>
      </c>
      <c r="G33">
        <v>2002</v>
      </c>
      <c r="H33">
        <v>35374.793008279667</v>
      </c>
      <c r="I33">
        <v>6423.958447844574</v>
      </c>
      <c r="J33">
        <v>2001</v>
      </c>
      <c r="K33">
        <v>35102.274819174832</v>
      </c>
      <c r="L33">
        <v>3873.0267574982058</v>
      </c>
      <c r="M33">
        <v>2002</v>
      </c>
      <c r="N33">
        <v>35374.793008279667</v>
      </c>
      <c r="O33">
        <v>3892.6770773762946</v>
      </c>
    </row>
    <row r="34" spans="1:15">
      <c r="A34">
        <v>1982</v>
      </c>
      <c r="B34">
        <v>18325.120263083551</v>
      </c>
      <c r="C34">
        <v>3745.5260319792174</v>
      </c>
      <c r="G34">
        <v>2003</v>
      </c>
      <c r="H34">
        <v>35926.574232360719</v>
      </c>
      <c r="I34">
        <v>6620.5210616215745</v>
      </c>
      <c r="J34">
        <v>2002</v>
      </c>
      <c r="K34">
        <v>35405.645612986613</v>
      </c>
      <c r="L34">
        <v>3901.5643248072492</v>
      </c>
      <c r="M34">
        <v>2003</v>
      </c>
      <c r="N34">
        <v>35926.574232360719</v>
      </c>
      <c r="O34">
        <v>3950.5111827778937</v>
      </c>
    </row>
    <row r="35" spans="1:15">
      <c r="A35">
        <v>1983</v>
      </c>
      <c r="B35">
        <v>18920.156391092147</v>
      </c>
      <c r="C35">
        <v>3822.7048936289093</v>
      </c>
      <c r="G35">
        <v>2004</v>
      </c>
      <c r="H35">
        <v>36882.14339283036</v>
      </c>
      <c r="I35">
        <v>6908.2212961632422</v>
      </c>
      <c r="J35">
        <v>2003</v>
      </c>
      <c r="K35">
        <v>35976.444720762178</v>
      </c>
      <c r="L35">
        <v>3958.8532902253801</v>
      </c>
      <c r="M35">
        <v>2004</v>
      </c>
      <c r="N35">
        <v>36882.14339283036</v>
      </c>
      <c r="O35">
        <v>4069.2068236405066</v>
      </c>
    </row>
    <row r="36" spans="1:15">
      <c r="A36">
        <v>1984</v>
      </c>
      <c r="B36">
        <v>20122.667101821073</v>
      </c>
      <c r="C36">
        <v>3931.5182052777814</v>
      </c>
      <c r="G36">
        <v>2005</v>
      </c>
      <c r="H36">
        <v>37665.571079193069</v>
      </c>
      <c r="I36">
        <v>7186.5652956547237</v>
      </c>
      <c r="J36">
        <v>2004</v>
      </c>
      <c r="K36">
        <v>36920.153218266074</v>
      </c>
      <c r="L36">
        <v>4078.7124140228557</v>
      </c>
      <c r="M36">
        <v>2005</v>
      </c>
      <c r="N36">
        <v>37665.571079193069</v>
      </c>
      <c r="O36">
        <v>4170.1560889218918</v>
      </c>
    </row>
    <row r="37" spans="1:15">
      <c r="A37">
        <v>1985</v>
      </c>
      <c r="B37">
        <v>20717.322960076497</v>
      </c>
      <c r="C37">
        <v>3960.1303383856912</v>
      </c>
      <c r="G37">
        <v>2006</v>
      </c>
      <c r="H37">
        <v>38312.505856368385</v>
      </c>
      <c r="I37">
        <v>7539.9799862726368</v>
      </c>
      <c r="J37">
        <v>2005</v>
      </c>
      <c r="K37">
        <v>37701.613440945657</v>
      </c>
      <c r="L37">
        <v>4183.2437306036218</v>
      </c>
      <c r="M37">
        <v>2006</v>
      </c>
      <c r="N37">
        <v>38312.505856368385</v>
      </c>
      <c r="O37">
        <v>4306.1758706292139</v>
      </c>
    </row>
    <row r="38" spans="1:15">
      <c r="A38">
        <v>1986</v>
      </c>
      <c r="B38">
        <v>21236.085463351239</v>
      </c>
      <c r="C38">
        <v>4025.6963731731526</v>
      </c>
      <c r="G38">
        <v>2007</v>
      </c>
      <c r="H38">
        <v>38752.89739077408</v>
      </c>
      <c r="I38">
        <v>7934.1714807438248</v>
      </c>
      <c r="J38">
        <v>2006</v>
      </c>
      <c r="K38">
        <v>38341.631351036354</v>
      </c>
      <c r="L38">
        <v>4324.1013640393785</v>
      </c>
      <c r="M38">
        <v>2007</v>
      </c>
      <c r="N38">
        <v>38752.89739077408</v>
      </c>
      <c r="O38">
        <v>4452.61973241947</v>
      </c>
    </row>
    <row r="39" spans="1:15">
      <c r="A39">
        <v>1987</v>
      </c>
      <c r="B39">
        <v>21787.693674127881</v>
      </c>
      <c r="C39">
        <v>4110.7958351217167</v>
      </c>
      <c r="G39">
        <v>2008</v>
      </c>
      <c r="H39">
        <v>38558.849896069012</v>
      </c>
      <c r="I39">
        <v>8165.5267510077356</v>
      </c>
      <c r="J39">
        <v>2007</v>
      </c>
      <c r="K39">
        <v>38701.150467358086</v>
      </c>
      <c r="L39">
        <v>4478.1118362736597</v>
      </c>
      <c r="M39">
        <v>2008</v>
      </c>
      <c r="N39">
        <v>38558.849896069012</v>
      </c>
      <c r="O39">
        <v>4502.2051841919792</v>
      </c>
    </row>
    <row r="40" spans="1:15">
      <c r="A40">
        <v>1988</v>
      </c>
      <c r="B40">
        <v>22499.441620233243</v>
      </c>
      <c r="C40">
        <v>4220.6780780379559</v>
      </c>
      <c r="J40">
        <v>2008</v>
      </c>
      <c r="K40">
        <v>38345.477554690209</v>
      </c>
      <c r="L40">
        <v>4522.7827007120413</v>
      </c>
    </row>
    <row r="41" spans="1:15">
      <c r="A41">
        <v>1989</v>
      </c>
      <c r="B41">
        <v>23059.278193599523</v>
      </c>
      <c r="C41">
        <v>4269.747763182796</v>
      </c>
      <c r="J41">
        <v>2009</v>
      </c>
      <c r="K41">
        <v>37016.085924458625</v>
      </c>
      <c r="L41">
        <v>4382.8737697098586</v>
      </c>
    </row>
    <row r="42" spans="1:15">
      <c r="A42">
        <v>1990</v>
      </c>
      <c r="B42">
        <v>23200.559941388365</v>
      </c>
      <c r="C42">
        <v>4269.97439615854</v>
      </c>
    </row>
    <row r="43" spans="1:15">
      <c r="A43">
        <v>1991</v>
      </c>
      <c r="B43">
        <v>22848.529180676011</v>
      </c>
      <c r="C43">
        <v>4254.4541260313508</v>
      </c>
    </row>
    <row r="44" spans="1:15">
      <c r="A44">
        <v>1992</v>
      </c>
      <c r="B44">
        <v>23298.119448949757</v>
      </c>
      <c r="C44">
        <v>4303.1692286721254</v>
      </c>
    </row>
    <row r="45" spans="1:15">
      <c r="A45">
        <v>1993</v>
      </c>
      <c r="B45">
        <v>23616.074711866208</v>
      </c>
      <c r="C45">
        <v>4318.9381712893901</v>
      </c>
    </row>
    <row r="46" spans="1:15">
      <c r="A46">
        <v>1994</v>
      </c>
      <c r="B46">
        <v>24278.634744145471</v>
      </c>
      <c r="C46">
        <v>4413.7770659929229</v>
      </c>
    </row>
    <row r="47" spans="1:15">
      <c r="A47">
        <v>1995</v>
      </c>
      <c r="B47">
        <v>24603.174663290505</v>
      </c>
      <c r="C47">
        <v>4533.0192950845294</v>
      </c>
    </row>
    <row r="48" spans="1:15">
      <c r="A48">
        <v>1996</v>
      </c>
      <c r="B48">
        <v>25230.224231062657</v>
      </c>
      <c r="C48">
        <v>4630.3398895196224</v>
      </c>
    </row>
    <row r="49" spans="1:3">
      <c r="A49">
        <v>1997</v>
      </c>
      <c r="B49">
        <v>26051.550692973986</v>
      </c>
      <c r="C49">
        <v>4747.1760775182302</v>
      </c>
    </row>
    <row r="50" spans="1:3">
      <c r="A50">
        <v>1998</v>
      </c>
      <c r="B50">
        <v>26848.774125103857</v>
      </c>
      <c r="C50">
        <v>4728.5253622046894</v>
      </c>
    </row>
    <row r="51" spans="1:3">
      <c r="A51">
        <v>1999</v>
      </c>
      <c r="B51">
        <v>27734.749851852728</v>
      </c>
      <c r="C51">
        <v>4822.0966125754649</v>
      </c>
    </row>
    <row r="52" spans="1:3">
      <c r="A52">
        <v>2000</v>
      </c>
      <c r="B52">
        <v>28467.061008371198</v>
      </c>
      <c r="C52">
        <v>4994.8429894617648</v>
      </c>
    </row>
    <row r="53" spans="1:3">
      <c r="A53">
        <v>2001</v>
      </c>
      <c r="B53">
        <v>28405.464787743713</v>
      </c>
      <c r="C53">
        <v>5060.9513075711184</v>
      </c>
    </row>
    <row r="54" spans="1:3">
      <c r="A54">
        <v>2002</v>
      </c>
      <c r="B54">
        <v>28603.924855913545</v>
      </c>
      <c r="C54">
        <v>5203.0745620331545</v>
      </c>
    </row>
    <row r="55" spans="1:3">
      <c r="A55">
        <v>2003</v>
      </c>
      <c r="B55">
        <v>29074.234618222948</v>
      </c>
      <c r="C55">
        <v>5414.3997661744979</v>
      </c>
    </row>
    <row r="56" spans="1:3">
      <c r="A56">
        <v>2004</v>
      </c>
      <c r="B56">
        <v>29845.238827073219</v>
      </c>
      <c r="C56">
        <v>5676.3102114749463</v>
      </c>
    </row>
    <row r="57" spans="1:3">
      <c r="A57">
        <v>2005</v>
      </c>
      <c r="B57">
        <v>30481.353799102111</v>
      </c>
      <c r="C57">
        <v>5876.6580906833478</v>
      </c>
    </row>
    <row r="58" spans="1:3">
      <c r="A58">
        <v>2006</v>
      </c>
      <c r="B58">
        <v>31004.463178775106</v>
      </c>
      <c r="C58">
        <v>6141.0136166942466</v>
      </c>
    </row>
    <row r="59" spans="1:3">
      <c r="A59">
        <v>2007</v>
      </c>
      <c r="B59">
        <v>31357.365241635685</v>
      </c>
      <c r="C59">
        <v>6358.7444498504283</v>
      </c>
    </row>
    <row r="60" spans="1:3">
      <c r="A60">
        <v>2008</v>
      </c>
      <c r="B60">
        <v>31177.721971679133</v>
      </c>
      <c r="C60">
        <v>6498.06933126679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OECD-MER</vt:lpstr>
      <vt:lpstr>WDI-MER</vt:lpstr>
      <vt:lpstr>OECD-PPP</vt:lpstr>
      <vt:lpstr>WDI-PPP</vt:lpstr>
      <vt:lpstr>Maddison-PPP</vt:lpstr>
      <vt:lpstr>Sheet1</vt:lpstr>
    </vt:vector>
  </TitlesOfParts>
  <Company>NREL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jmacknick</dc:creator>
  <cp:lastModifiedBy>dinman</cp:lastModifiedBy>
  <dcterms:created xsi:type="dcterms:W3CDTF">2011-02-08T16:35:00Z</dcterms:created>
  <dcterms:modified xsi:type="dcterms:W3CDTF">2011-02-23T19:41:06Z</dcterms:modified>
</cp:coreProperties>
</file>