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5645" windowHeight="11355" activeTab="1"/>
  </bookViews>
  <sheets>
    <sheet name="US" sheetId="1" r:id="rId1"/>
    <sheet name="ROW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8" i="1"/>
  <c r="J8"/>
  <c r="K8"/>
  <c r="L8"/>
  <c r="M8"/>
  <c r="I9"/>
  <c r="J9"/>
  <c r="K9"/>
  <c r="L9"/>
  <c r="M9"/>
  <c r="I10"/>
  <c r="J10"/>
  <c r="K10"/>
  <c r="L10"/>
  <c r="M10"/>
  <c r="I11"/>
  <c r="J11"/>
  <c r="K11"/>
  <c r="L11"/>
  <c r="M11"/>
  <c r="I12"/>
  <c r="J12"/>
  <c r="K12"/>
  <c r="L12"/>
  <c r="M12"/>
  <c r="I13"/>
  <c r="J13"/>
  <c r="K13"/>
  <c r="L13"/>
  <c r="M13"/>
  <c r="I14"/>
  <c r="J14"/>
  <c r="K14"/>
  <c r="L14"/>
  <c r="M14"/>
  <c r="I15"/>
  <c r="J15"/>
  <c r="K15"/>
  <c r="L15"/>
  <c r="M15"/>
  <c r="I16"/>
  <c r="J16"/>
  <c r="K16"/>
  <c r="L16"/>
  <c r="M16"/>
  <c r="I17"/>
  <c r="J17"/>
  <c r="K17"/>
  <c r="L17"/>
  <c r="M17"/>
  <c r="I18"/>
  <c r="J18"/>
  <c r="K18"/>
  <c r="L18"/>
  <c r="M18"/>
  <c r="I19"/>
  <c r="J19"/>
  <c r="K19"/>
  <c r="L19"/>
  <c r="M19"/>
  <c r="I20"/>
  <c r="J20"/>
  <c r="K20"/>
  <c r="L20"/>
  <c r="M20"/>
  <c r="I21"/>
  <c r="J21"/>
  <c r="K21"/>
  <c r="L21"/>
  <c r="M21"/>
  <c r="I22"/>
  <c r="J22"/>
  <c r="K22"/>
  <c r="L22"/>
  <c r="M22"/>
  <c r="I23"/>
  <c r="J23"/>
  <c r="K23"/>
  <c r="L23"/>
  <c r="M23"/>
  <c r="I24"/>
  <c r="J24"/>
  <c r="K24"/>
  <c r="L24"/>
  <c r="M24"/>
  <c r="I25"/>
  <c r="J25"/>
  <c r="K25"/>
  <c r="L25"/>
  <c r="M25"/>
  <c r="I26"/>
  <c r="J26"/>
  <c r="K26"/>
  <c r="L26"/>
  <c r="M26"/>
  <c r="I27"/>
  <c r="J27"/>
  <c r="K27"/>
  <c r="L27"/>
  <c r="M27"/>
  <c r="I28"/>
  <c r="J28"/>
  <c r="K28"/>
  <c r="L28"/>
  <c r="M28"/>
  <c r="I29"/>
  <c r="J29"/>
  <c r="K29"/>
  <c r="L29"/>
  <c r="M29"/>
  <c r="I30"/>
  <c r="J30"/>
  <c r="K30"/>
  <c r="L30"/>
  <c r="M30"/>
  <c r="I31"/>
  <c r="J31"/>
  <c r="K31"/>
  <c r="L31"/>
  <c r="M31"/>
  <c r="I32"/>
  <c r="J32"/>
  <c r="K32"/>
  <c r="L32"/>
  <c r="M32"/>
  <c r="I33"/>
  <c r="J33"/>
  <c r="K33"/>
  <c r="L33"/>
  <c r="M33"/>
  <c r="I34"/>
  <c r="J34"/>
  <c r="K34"/>
  <c r="L34"/>
  <c r="M34"/>
  <c r="I35"/>
  <c r="J35"/>
  <c r="K35"/>
  <c r="L35"/>
  <c r="M35"/>
  <c r="I36"/>
  <c r="J36"/>
  <c r="K36"/>
  <c r="L36"/>
  <c r="M36"/>
  <c r="I37"/>
  <c r="J37"/>
  <c r="K37"/>
  <c r="L37"/>
  <c r="M37"/>
  <c r="I38"/>
  <c r="J38"/>
  <c r="K38"/>
  <c r="L38"/>
  <c r="M38"/>
  <c r="I39"/>
  <c r="J39"/>
  <c r="K39"/>
  <c r="L39"/>
  <c r="M39"/>
  <c r="I40"/>
  <c r="J40"/>
  <c r="K40"/>
  <c r="L40"/>
  <c r="M40"/>
  <c r="I41"/>
  <c r="J41"/>
  <c r="K41"/>
  <c r="L41"/>
  <c r="M41"/>
  <c r="I42"/>
  <c r="J42"/>
  <c r="K42"/>
  <c r="L42"/>
  <c r="M42"/>
  <c r="I43"/>
  <c r="J43"/>
  <c r="K43"/>
  <c r="L43"/>
  <c r="M43"/>
  <c r="I44"/>
  <c r="J44"/>
  <c r="K44"/>
  <c r="L44"/>
  <c r="M44"/>
  <c r="I45"/>
  <c r="J45"/>
  <c r="K45"/>
  <c r="L45"/>
  <c r="M45"/>
  <c r="I46"/>
  <c r="J46"/>
  <c r="K46"/>
  <c r="L46"/>
  <c r="M46"/>
  <c r="I47"/>
  <c r="J47"/>
  <c r="K47"/>
  <c r="L47"/>
  <c r="M47"/>
  <c r="I48"/>
  <c r="J48"/>
  <c r="K48"/>
  <c r="L48"/>
  <c r="M48"/>
  <c r="J7"/>
  <c r="K7"/>
  <c r="L7"/>
  <c r="M7"/>
  <c r="I7"/>
  <c r="A50" i="2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9"/>
  <c r="A50" i="1"/>
  <c r="A5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9"/>
</calcChain>
</file>

<file path=xl/sharedStrings.xml><?xml version="1.0" encoding="utf-8"?>
<sst xmlns="http://schemas.openxmlformats.org/spreadsheetml/2006/main" count="194" uniqueCount="9">
  <si>
    <t>US</t>
  </si>
  <si>
    <t>Year</t>
  </si>
  <si>
    <t>Region</t>
  </si>
  <si>
    <t>CGS</t>
  </si>
  <si>
    <t>Dairy</t>
  </si>
  <si>
    <t>Pig</t>
  </si>
  <si>
    <t>Poultry</t>
  </si>
  <si>
    <t>GDP ppp mad</t>
  </si>
  <si>
    <t>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</si>
</sst>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2"/>
  <sheetViews>
    <sheetView topLeftCell="A3" workbookViewId="0">
      <selection activeCell="I7" sqref="I7:M48"/>
    </sheetView>
  </sheetViews>
  <sheetFormatPr defaultRowHeight="15"/>
  <cols>
    <col min="3" max="3" width="12.85546875" bestFit="1" customWidth="1"/>
    <col min="4" max="4" width="12" bestFit="1" customWidth="1"/>
    <col min="5" max="5" width="9.28515625" bestFit="1" customWidth="1"/>
    <col min="6" max="7" width="12" bestFit="1" customWidth="1"/>
    <col min="10" max="11" width="12" bestFit="1" customWidth="1"/>
  </cols>
  <sheetData>
    <row r="1" spans="1:14">
      <c r="A1" t="s">
        <v>1</v>
      </c>
      <c r="B1" t="s">
        <v>2</v>
      </c>
      <c r="C1" t="s">
        <v>7</v>
      </c>
      <c r="D1" t="s">
        <v>3</v>
      </c>
      <c r="E1" t="s">
        <v>4</v>
      </c>
      <c r="F1" t="s">
        <v>5</v>
      </c>
      <c r="G1" t="s">
        <v>6</v>
      </c>
    </row>
    <row r="2" spans="1:14">
      <c r="A2">
        <v>1961</v>
      </c>
      <c r="B2" t="s">
        <v>0</v>
      </c>
      <c r="C2" s="2">
        <v>11401.73443</v>
      </c>
      <c r="D2">
        <v>4.4499999999999997E-5</v>
      </c>
      <c r="E2">
        <v>2.6984600000000002E-4</v>
      </c>
      <c r="F2">
        <v>2.7699999999999999E-5</v>
      </c>
      <c r="G2">
        <v>1.6399999999999999E-5</v>
      </c>
    </row>
    <row r="3" spans="1:14">
      <c r="A3">
        <v>1962</v>
      </c>
      <c r="B3" t="s">
        <v>0</v>
      </c>
      <c r="C3" s="2">
        <v>11904.98451</v>
      </c>
      <c r="D3">
        <v>4.4799999999999998E-5</v>
      </c>
      <c r="E3">
        <v>2.61537E-4</v>
      </c>
      <c r="F3">
        <v>2.8399999999999999E-5</v>
      </c>
      <c r="G3">
        <v>1.63E-5</v>
      </c>
    </row>
    <row r="4" spans="1:14">
      <c r="A4">
        <v>1963</v>
      </c>
      <c r="B4" t="s">
        <v>0</v>
      </c>
      <c r="C4" s="2">
        <v>12242.3405</v>
      </c>
      <c r="D4">
        <v>4.6799999999999999E-5</v>
      </c>
      <c r="E4">
        <v>2.6247599999999999E-4</v>
      </c>
      <c r="F4">
        <v>2.9300000000000001E-5</v>
      </c>
      <c r="G4">
        <v>1.66E-5</v>
      </c>
    </row>
    <row r="5" spans="1:14">
      <c r="A5">
        <v>1964</v>
      </c>
      <c r="B5" t="s">
        <v>0</v>
      </c>
      <c r="C5" s="2">
        <v>11849.686479999998</v>
      </c>
      <c r="D5">
        <v>4.5366666666666667E-5</v>
      </c>
      <c r="E5">
        <v>2.646196666666667E-4</v>
      </c>
      <c r="F5">
        <v>2.8466666666666663E-5</v>
      </c>
      <c r="G5">
        <v>1.6433333333333331E-5</v>
      </c>
      <c r="J5" s="6"/>
      <c r="K5" s="6"/>
      <c r="L5" s="6"/>
      <c r="M5" s="6"/>
      <c r="N5" s="6"/>
    </row>
    <row r="6" spans="1:14">
      <c r="A6">
        <v>1965</v>
      </c>
      <c r="B6" t="s">
        <v>0</v>
      </c>
      <c r="C6" s="2">
        <v>12306.63048</v>
      </c>
      <c r="D6">
        <v>4.7166666666666663E-5</v>
      </c>
      <c r="E6">
        <v>2.6222266666666669E-4</v>
      </c>
      <c r="F6">
        <v>2.8933333333333333E-5</v>
      </c>
      <c r="G6">
        <v>1.6666666666666664E-5</v>
      </c>
      <c r="I6" s="6"/>
      <c r="J6" s="6"/>
      <c r="K6" s="6"/>
      <c r="L6" s="6"/>
      <c r="M6" s="6"/>
      <c r="N6" s="6"/>
    </row>
    <row r="7" spans="1:14">
      <c r="A7">
        <v>1966</v>
      </c>
      <c r="B7" t="s">
        <v>0</v>
      </c>
      <c r="C7" s="2">
        <v>11941.075279999999</v>
      </c>
      <c r="D7">
        <v>4.5726666666666664E-5</v>
      </c>
      <c r="E7">
        <v>2.6414026666666667E-4</v>
      </c>
      <c r="F7">
        <v>2.8559999999999994E-5</v>
      </c>
      <c r="G7">
        <v>1.6479999999999998E-5</v>
      </c>
      <c r="I7" s="6">
        <f>AVERAGE(C2:C6)</f>
        <v>11941.075279999999</v>
      </c>
      <c r="J7" s="6">
        <f t="shared" ref="J7:N7" si="0">AVERAGE(D2:D6)</f>
        <v>4.5726666666666664E-5</v>
      </c>
      <c r="K7" s="6">
        <f t="shared" si="0"/>
        <v>2.6414026666666667E-4</v>
      </c>
      <c r="L7" s="6">
        <f t="shared" si="0"/>
        <v>2.8559999999999994E-5</v>
      </c>
      <c r="M7" s="6">
        <f t="shared" si="0"/>
        <v>1.6479999999999998E-5</v>
      </c>
      <c r="N7" s="6"/>
    </row>
    <row r="8" spans="1:14">
      <c r="A8">
        <v>1967</v>
      </c>
      <c r="B8" t="s">
        <v>0</v>
      </c>
      <c r="C8" s="2">
        <v>12222.968970666665</v>
      </c>
      <c r="D8">
        <v>4.6586666666666666E-5</v>
      </c>
      <c r="E8">
        <v>2.623972E-4</v>
      </c>
      <c r="F8">
        <v>2.8646666666666661E-5</v>
      </c>
      <c r="G8">
        <v>1.6653333333333332E-5</v>
      </c>
      <c r="I8" s="6">
        <f t="shared" ref="I8:I48" si="1">AVERAGE(C3:C7)</f>
        <v>12048.943449999999</v>
      </c>
      <c r="J8" s="6">
        <f t="shared" ref="J8:J48" si="2">AVERAGE(D3:D7)</f>
        <v>4.5972E-5</v>
      </c>
      <c r="K8" s="6">
        <f t="shared" ref="K8:K48" si="3">AVERAGE(E3:E7)</f>
        <v>2.6299911999999999E-4</v>
      </c>
      <c r="L8" s="6">
        <f t="shared" ref="L8:L48" si="4">AVERAGE(F3:F7)</f>
        <v>2.8731999999999999E-5</v>
      </c>
      <c r="M8" s="6">
        <f t="shared" ref="M8:M48" si="5">AVERAGE(G3:G7)</f>
        <v>1.6495999999999996E-5</v>
      </c>
      <c r="N8" s="6"/>
    </row>
    <row r="9" spans="1:14">
      <c r="A9">
        <v>1968</v>
      </c>
      <c r="B9" t="s">
        <v>0</v>
      </c>
      <c r="C9" s="2">
        <v>12530.291722666667</v>
      </c>
      <c r="D9">
        <v>4.7713333333333329E-5</v>
      </c>
      <c r="E9">
        <v>2.6195993333333334E-4</v>
      </c>
      <c r="F9">
        <v>2.8386666666666667E-5</v>
      </c>
      <c r="G9">
        <v>1.7019999999999996E-5</v>
      </c>
      <c r="I9" s="6">
        <f t="shared" si="1"/>
        <v>12112.540342133332</v>
      </c>
      <c r="J9" s="6">
        <f t="shared" si="2"/>
        <v>4.632933333333333E-5</v>
      </c>
      <c r="K9" s="6">
        <f t="shared" si="3"/>
        <v>2.6317115999999999E-4</v>
      </c>
      <c r="L9" s="6">
        <f t="shared" si="4"/>
        <v>2.8781333333333332E-5</v>
      </c>
      <c r="M9" s="6">
        <f t="shared" si="5"/>
        <v>1.6566666666666665E-5</v>
      </c>
      <c r="N9" s="6"/>
    </row>
    <row r="10" spans="1:14">
      <c r="A10">
        <v>1969</v>
      </c>
      <c r="B10" t="s">
        <v>0</v>
      </c>
      <c r="C10" s="2">
        <v>12873.974208</v>
      </c>
      <c r="D10">
        <v>4.8606666666666663E-5</v>
      </c>
      <c r="E10">
        <v>2.6042026666666664E-4</v>
      </c>
      <c r="F10">
        <v>2.7919999999999997E-5</v>
      </c>
      <c r="G10">
        <v>1.7519999999999998E-5</v>
      </c>
      <c r="I10" s="6">
        <f t="shared" si="1"/>
        <v>12170.130586666664</v>
      </c>
      <c r="J10" s="6">
        <f t="shared" si="2"/>
        <v>4.6511999999999998E-5</v>
      </c>
      <c r="K10" s="6">
        <f t="shared" si="3"/>
        <v>2.6306794666666668E-4</v>
      </c>
      <c r="L10" s="6">
        <f t="shared" si="4"/>
        <v>2.8598666666666664E-5</v>
      </c>
      <c r="M10" s="6">
        <f t="shared" si="5"/>
        <v>1.6650666666666663E-5</v>
      </c>
      <c r="N10" s="6"/>
    </row>
    <row r="11" spans="1:14">
      <c r="A11">
        <v>1970</v>
      </c>
      <c r="B11" t="s">
        <v>0</v>
      </c>
      <c r="C11" s="2">
        <v>13392.469971333334</v>
      </c>
      <c r="D11">
        <v>5.0040000000000002E-5</v>
      </c>
      <c r="E11">
        <v>2.5784473333333331E-4</v>
      </c>
      <c r="F11">
        <v>2.7860000000000001E-5</v>
      </c>
      <c r="G11">
        <v>1.8166666666666667E-5</v>
      </c>
      <c r="I11" s="6">
        <f t="shared" si="1"/>
        <v>12374.988132266666</v>
      </c>
      <c r="J11" s="6">
        <f t="shared" si="2"/>
        <v>4.7159999999999996E-5</v>
      </c>
      <c r="K11" s="6">
        <f t="shared" si="3"/>
        <v>2.6222806666666664E-4</v>
      </c>
      <c r="L11" s="6">
        <f t="shared" si="4"/>
        <v>2.8489333333333332E-5</v>
      </c>
      <c r="M11" s="6">
        <f t="shared" si="5"/>
        <v>1.6867999999999995E-5</v>
      </c>
      <c r="N11" s="6"/>
    </row>
    <row r="12" spans="1:14">
      <c r="A12">
        <v>1971</v>
      </c>
      <c r="B12" t="s">
        <v>0</v>
      </c>
      <c r="C12" s="2">
        <v>13889.302398666667</v>
      </c>
      <c r="D12">
        <v>5.1239999999999997E-5</v>
      </c>
      <c r="E12">
        <v>2.5520559999999998E-4</v>
      </c>
      <c r="F12">
        <v>2.7893333333333336E-5</v>
      </c>
      <c r="G12">
        <v>1.8859999999999999E-5</v>
      </c>
      <c r="I12" s="6">
        <f t="shared" si="1"/>
        <v>12592.156030533333</v>
      </c>
      <c r="J12" s="6">
        <f t="shared" si="2"/>
        <v>4.7734666666666669E-5</v>
      </c>
      <c r="K12" s="6">
        <f t="shared" si="3"/>
        <v>2.6135247999999999E-4</v>
      </c>
      <c r="L12" s="6">
        <f t="shared" si="4"/>
        <v>2.8274666666666665E-5</v>
      </c>
      <c r="M12" s="6">
        <f t="shared" si="5"/>
        <v>1.7167999999999999E-5</v>
      </c>
      <c r="N12" s="6"/>
    </row>
    <row r="13" spans="1:14">
      <c r="A13">
        <v>1972</v>
      </c>
      <c r="B13" t="s">
        <v>0</v>
      </c>
      <c r="C13" s="2">
        <v>14331.874724666666</v>
      </c>
      <c r="D13">
        <v>5.2280000000000001E-5</v>
      </c>
      <c r="E13">
        <v>2.5258146666666667E-4</v>
      </c>
      <c r="F13">
        <v>2.815333333333333E-5</v>
      </c>
      <c r="G13">
        <v>1.9533333333333335E-5</v>
      </c>
      <c r="I13" s="6">
        <f t="shared" si="1"/>
        <v>12981.801454266666</v>
      </c>
      <c r="J13" s="6">
        <f t="shared" si="2"/>
        <v>4.8837333333333334E-5</v>
      </c>
      <c r="K13" s="6">
        <f t="shared" si="3"/>
        <v>2.595655466666667E-4</v>
      </c>
      <c r="L13" s="6">
        <f t="shared" si="4"/>
        <v>2.8141333333333331E-5</v>
      </c>
      <c r="M13" s="6">
        <f t="shared" si="5"/>
        <v>1.7643999999999999E-5</v>
      </c>
      <c r="N13" s="6"/>
    </row>
    <row r="14" spans="1:14">
      <c r="A14">
        <v>1973</v>
      </c>
      <c r="B14" t="s">
        <v>0</v>
      </c>
      <c r="C14" s="2">
        <v>14677.791973333335</v>
      </c>
      <c r="D14">
        <v>5.3053333333333343E-5</v>
      </c>
      <c r="E14">
        <v>2.5018480000000003E-4</v>
      </c>
      <c r="F14">
        <v>2.8820000000000002E-5</v>
      </c>
      <c r="G14">
        <v>2.0160000000000003E-5</v>
      </c>
      <c r="I14" s="6">
        <f t="shared" si="1"/>
        <v>13403.582605066666</v>
      </c>
      <c r="J14" s="6">
        <f t="shared" si="2"/>
        <v>4.9976000000000004E-5</v>
      </c>
      <c r="K14" s="6">
        <f t="shared" si="3"/>
        <v>2.5760239999999998E-4</v>
      </c>
      <c r="L14" s="6">
        <f t="shared" si="4"/>
        <v>2.8042666666666665E-5</v>
      </c>
      <c r="M14" s="6">
        <f t="shared" si="5"/>
        <v>1.8219999999999998E-5</v>
      </c>
      <c r="N14" s="6"/>
    </row>
    <row r="15" spans="1:14">
      <c r="A15">
        <v>1974</v>
      </c>
      <c r="B15" t="s">
        <v>0</v>
      </c>
      <c r="C15" s="2">
        <v>14970.842212</v>
      </c>
      <c r="D15">
        <v>5.3779999999999997E-5</v>
      </c>
      <c r="E15">
        <v>2.4869273333333336E-4</v>
      </c>
      <c r="F15">
        <v>2.9586666666666669E-5</v>
      </c>
      <c r="G15">
        <v>2.0726666666666666E-5</v>
      </c>
      <c r="I15" s="6">
        <f t="shared" si="1"/>
        <v>13833.082655200002</v>
      </c>
      <c r="J15" s="6">
        <f t="shared" si="2"/>
        <v>5.1044000000000001E-5</v>
      </c>
      <c r="K15" s="6">
        <f t="shared" si="3"/>
        <v>2.5524737333333327E-4</v>
      </c>
      <c r="L15" s="6">
        <f t="shared" si="4"/>
        <v>2.8129333333333332E-5</v>
      </c>
      <c r="M15" s="6">
        <f t="shared" si="5"/>
        <v>1.8848E-5</v>
      </c>
      <c r="N15" s="6"/>
    </row>
    <row r="16" spans="1:14">
      <c r="A16">
        <v>1975</v>
      </c>
      <c r="B16" t="s">
        <v>0</v>
      </c>
      <c r="C16" s="2">
        <v>15278.243108666666</v>
      </c>
      <c r="D16">
        <v>5.4060000000000001E-5</v>
      </c>
      <c r="E16">
        <v>2.4802753333333334E-4</v>
      </c>
      <c r="F16">
        <v>2.9966666666666665E-5</v>
      </c>
      <c r="G16">
        <v>2.1186666666666668E-5</v>
      </c>
      <c r="I16" s="6">
        <f t="shared" si="1"/>
        <v>14252.456255999999</v>
      </c>
      <c r="J16" s="6">
        <f t="shared" si="2"/>
        <v>5.2078666666666673E-5</v>
      </c>
      <c r="K16" s="6">
        <f t="shared" si="3"/>
        <v>2.5290186666666664E-4</v>
      </c>
      <c r="L16" s="6">
        <f t="shared" si="4"/>
        <v>2.8462666666666671E-5</v>
      </c>
      <c r="M16" s="6">
        <f t="shared" si="5"/>
        <v>1.9489333333333333E-5</v>
      </c>
      <c r="N16" s="6"/>
    </row>
    <row r="17" spans="1:14">
      <c r="A17">
        <v>1976</v>
      </c>
      <c r="B17" t="s">
        <v>0</v>
      </c>
      <c r="C17" s="2">
        <v>15595.049935333333</v>
      </c>
      <c r="D17">
        <v>5.4253333333333338E-5</v>
      </c>
      <c r="E17">
        <v>2.4742679999999997E-4</v>
      </c>
      <c r="F17">
        <v>2.9960000000000001E-5</v>
      </c>
      <c r="G17">
        <v>2.1553333333333333E-5</v>
      </c>
      <c r="I17" s="6">
        <f t="shared" si="1"/>
        <v>14629.610883466667</v>
      </c>
      <c r="J17" s="6">
        <f t="shared" si="2"/>
        <v>5.2882666666666668E-5</v>
      </c>
      <c r="K17" s="6">
        <f t="shared" si="3"/>
        <v>2.5093842666666665E-4</v>
      </c>
      <c r="L17" s="6">
        <f t="shared" si="4"/>
        <v>2.8884E-5</v>
      </c>
      <c r="M17" s="6">
        <f t="shared" si="5"/>
        <v>2.0093333333333333E-5</v>
      </c>
      <c r="N17" s="6"/>
    </row>
    <row r="18" spans="1:14">
      <c r="A18">
        <v>1977</v>
      </c>
      <c r="B18" t="s">
        <v>0</v>
      </c>
      <c r="C18" s="2">
        <v>15887.853398666668</v>
      </c>
      <c r="D18">
        <v>5.4386666666666672E-5</v>
      </c>
      <c r="E18">
        <v>2.4604546666666665E-4</v>
      </c>
      <c r="F18">
        <v>2.9493333333333331E-5</v>
      </c>
      <c r="G18">
        <v>2.1726666666666663E-5</v>
      </c>
      <c r="I18" s="6">
        <f t="shared" si="1"/>
        <v>14970.760390799998</v>
      </c>
      <c r="J18" s="6">
        <f t="shared" si="2"/>
        <v>5.3485333333333334E-5</v>
      </c>
      <c r="K18" s="6">
        <f t="shared" si="3"/>
        <v>2.4938266666666667E-4</v>
      </c>
      <c r="L18" s="6">
        <f t="shared" si="4"/>
        <v>2.9297333333333328E-5</v>
      </c>
      <c r="M18" s="6">
        <f t="shared" si="5"/>
        <v>2.0632000000000002E-5</v>
      </c>
      <c r="N18" s="6"/>
    </row>
    <row r="19" spans="1:14">
      <c r="A19">
        <v>1978</v>
      </c>
      <c r="B19" t="s">
        <v>0</v>
      </c>
      <c r="C19" s="2">
        <v>16170.282428666667</v>
      </c>
      <c r="D19">
        <v>5.5046666666666676E-5</v>
      </c>
      <c r="E19">
        <v>2.4433479999999997E-4</v>
      </c>
      <c r="F19">
        <v>2.87E-5</v>
      </c>
      <c r="G19">
        <v>2.1859999999999997E-5</v>
      </c>
      <c r="I19" s="6">
        <f t="shared" si="1"/>
        <v>15281.956125600002</v>
      </c>
      <c r="J19" s="6">
        <f t="shared" si="2"/>
        <v>5.390666666666667E-5</v>
      </c>
      <c r="K19" s="6">
        <f t="shared" si="3"/>
        <v>2.4807546666666663E-4</v>
      </c>
      <c r="L19" s="6">
        <f t="shared" si="4"/>
        <v>2.9565333333333336E-5</v>
      </c>
      <c r="M19" s="6">
        <f t="shared" si="5"/>
        <v>2.1070666666666665E-5</v>
      </c>
      <c r="N19" s="6"/>
    </row>
    <row r="20" spans="1:14">
      <c r="A20">
        <v>1979</v>
      </c>
      <c r="B20" t="s">
        <v>0</v>
      </c>
      <c r="C20" s="2">
        <v>16473.429737999999</v>
      </c>
      <c r="D20">
        <v>5.583333333333334E-5</v>
      </c>
      <c r="E20">
        <v>2.4275293333333336E-4</v>
      </c>
      <c r="F20">
        <v>2.7659999999999999E-5</v>
      </c>
      <c r="G20">
        <v>2.196E-5</v>
      </c>
      <c r="I20" s="6">
        <f t="shared" si="1"/>
        <v>15580.454216666665</v>
      </c>
      <c r="J20" s="6">
        <f t="shared" si="2"/>
        <v>5.4305333333333344E-5</v>
      </c>
      <c r="K20" s="6">
        <f t="shared" si="3"/>
        <v>2.4690546666666664E-4</v>
      </c>
      <c r="L20" s="6">
        <f t="shared" si="4"/>
        <v>2.9541333333333335E-5</v>
      </c>
      <c r="M20" s="6">
        <f t="shared" si="5"/>
        <v>2.1410666666666665E-5</v>
      </c>
      <c r="N20" s="6"/>
    </row>
    <row r="21" spans="1:14">
      <c r="A21">
        <v>1980</v>
      </c>
      <c r="B21" t="s">
        <v>0</v>
      </c>
      <c r="C21" s="2">
        <v>16805.233211333332</v>
      </c>
      <c r="D21">
        <v>5.6740000000000002E-5</v>
      </c>
      <c r="E21">
        <v>2.4149313333333335E-4</v>
      </c>
      <c r="F21">
        <v>2.6959999999999999E-5</v>
      </c>
      <c r="G21">
        <v>2.2246666666666665E-5</v>
      </c>
      <c r="I21" s="6">
        <f t="shared" si="1"/>
        <v>15880.971721866666</v>
      </c>
      <c r="J21" s="6">
        <f t="shared" si="2"/>
        <v>5.4715999999999996E-5</v>
      </c>
      <c r="K21" s="6">
        <f t="shared" si="3"/>
        <v>2.4571750666666664E-4</v>
      </c>
      <c r="L21" s="6">
        <f t="shared" si="4"/>
        <v>2.9155999999999997E-5</v>
      </c>
      <c r="M21" s="6">
        <f t="shared" si="5"/>
        <v>2.1657333333333334E-5</v>
      </c>
      <c r="N21" s="6"/>
    </row>
    <row r="22" spans="1:14">
      <c r="A22">
        <v>1981</v>
      </c>
      <c r="B22" t="s">
        <v>0</v>
      </c>
      <c r="C22" s="2">
        <v>17178.859099333331</v>
      </c>
      <c r="D22">
        <v>5.6886666666666665E-5</v>
      </c>
      <c r="E22">
        <v>2.4086453333333331E-4</v>
      </c>
      <c r="F22">
        <v>2.681333333333333E-5</v>
      </c>
      <c r="G22">
        <v>2.2739999999999999E-5</v>
      </c>
      <c r="I22" s="6">
        <f t="shared" si="1"/>
        <v>16186.369742400002</v>
      </c>
      <c r="J22" s="6">
        <f t="shared" si="2"/>
        <v>5.5252000000000006E-5</v>
      </c>
      <c r="K22" s="6">
        <f t="shared" si="3"/>
        <v>2.4441062666666661E-4</v>
      </c>
      <c r="L22" s="6">
        <f t="shared" si="4"/>
        <v>2.8554666666666666E-5</v>
      </c>
      <c r="M22" s="6">
        <f t="shared" si="5"/>
        <v>2.1869333333333331E-5</v>
      </c>
      <c r="N22" s="6"/>
    </row>
    <row r="23" spans="1:14">
      <c r="A23">
        <v>1982</v>
      </c>
      <c r="B23" t="s">
        <v>0</v>
      </c>
      <c r="C23" s="2">
        <v>17597.224898</v>
      </c>
      <c r="D23">
        <v>5.6286666666666671E-5</v>
      </c>
      <c r="E23">
        <v>2.4117473333333333E-4</v>
      </c>
      <c r="F23">
        <v>2.7466666666666666E-5</v>
      </c>
      <c r="G23">
        <v>2.3546666666666669E-5</v>
      </c>
      <c r="I23" s="6">
        <f t="shared" si="1"/>
        <v>16503.131575200001</v>
      </c>
      <c r="J23" s="6">
        <f t="shared" si="2"/>
        <v>5.5778666666666675E-5</v>
      </c>
      <c r="K23" s="6">
        <f t="shared" si="3"/>
        <v>2.4309817333333333E-4</v>
      </c>
      <c r="L23" s="6">
        <f t="shared" si="4"/>
        <v>2.7925333333333328E-5</v>
      </c>
      <c r="M23" s="6">
        <f t="shared" si="5"/>
        <v>2.2106666666666663E-5</v>
      </c>
      <c r="N23" s="6"/>
    </row>
    <row r="24" spans="1:14">
      <c r="A24">
        <v>1983</v>
      </c>
      <c r="B24" t="s">
        <v>0</v>
      </c>
      <c r="C24" s="2">
        <v>18028.713313333334</v>
      </c>
      <c r="D24">
        <v>5.4686666666666666E-5</v>
      </c>
      <c r="E24">
        <v>2.4193599999999997E-4</v>
      </c>
      <c r="F24">
        <v>2.8540000000000001E-5</v>
      </c>
      <c r="G24">
        <v>2.450666666666667E-5</v>
      </c>
      <c r="I24" s="6">
        <f t="shared" si="1"/>
        <v>16845.005875066665</v>
      </c>
      <c r="J24" s="6">
        <f t="shared" si="2"/>
        <v>5.6158666666666675E-5</v>
      </c>
      <c r="K24" s="6">
        <f t="shared" si="3"/>
        <v>2.4212402666666665E-4</v>
      </c>
      <c r="L24" s="6">
        <f t="shared" si="4"/>
        <v>2.7519999999999997E-5</v>
      </c>
      <c r="M24" s="6">
        <f t="shared" si="5"/>
        <v>2.2470666666666668E-5</v>
      </c>
      <c r="N24" s="6"/>
    </row>
    <row r="25" spans="1:14">
      <c r="A25">
        <v>1984</v>
      </c>
      <c r="B25" t="s">
        <v>0</v>
      </c>
      <c r="C25" s="2">
        <v>18357.567965333332</v>
      </c>
      <c r="D25">
        <v>5.2819999999999992E-5</v>
      </c>
      <c r="E25">
        <v>2.4271299999999995E-4</v>
      </c>
      <c r="F25">
        <v>2.9606666666666669E-5</v>
      </c>
      <c r="G25">
        <v>2.5513333333333332E-5</v>
      </c>
      <c r="I25" s="6">
        <f t="shared" si="1"/>
        <v>17216.692051999999</v>
      </c>
      <c r="J25" s="6">
        <f t="shared" si="2"/>
        <v>5.6086666666666666E-5</v>
      </c>
      <c r="K25" s="6">
        <f t="shared" si="3"/>
        <v>2.4164426666666662E-4</v>
      </c>
      <c r="L25" s="6">
        <f t="shared" si="4"/>
        <v>2.7487999999999998E-5</v>
      </c>
      <c r="M25" s="6">
        <f t="shared" si="5"/>
        <v>2.2999999999999997E-5</v>
      </c>
      <c r="N25" s="6"/>
    </row>
    <row r="26" spans="1:14">
      <c r="A26">
        <v>1985</v>
      </c>
      <c r="B26" t="s">
        <v>0</v>
      </c>
      <c r="C26" s="2">
        <v>18569.985970666668</v>
      </c>
      <c r="D26">
        <v>5.1113333333333337E-5</v>
      </c>
      <c r="E26">
        <v>2.4363966666666667E-4</v>
      </c>
      <c r="F26">
        <v>3.0260000000000005E-5</v>
      </c>
      <c r="G26">
        <v>2.6486666666666665E-5</v>
      </c>
      <c r="I26" s="6">
        <f t="shared" si="1"/>
        <v>17593.519697466665</v>
      </c>
      <c r="J26" s="6">
        <f t="shared" si="2"/>
        <v>5.5483999999999999E-5</v>
      </c>
      <c r="K26" s="6">
        <f t="shared" si="3"/>
        <v>2.4163627999999998E-4</v>
      </c>
      <c r="L26" s="6">
        <f t="shared" si="4"/>
        <v>2.7877333333333332E-5</v>
      </c>
      <c r="M26" s="6">
        <f t="shared" si="5"/>
        <v>2.3710666666666666E-5</v>
      </c>
      <c r="N26" s="6"/>
    </row>
    <row r="27" spans="1:14">
      <c r="A27">
        <v>1986</v>
      </c>
      <c r="B27" t="s">
        <v>0</v>
      </c>
      <c r="C27" s="2">
        <v>18745.924316000001</v>
      </c>
      <c r="D27">
        <v>5.0153333333333333E-5</v>
      </c>
      <c r="E27">
        <v>2.4496079999999996E-4</v>
      </c>
      <c r="F27">
        <v>3.0426666666666671E-5</v>
      </c>
      <c r="G27">
        <v>2.738666666666667E-5</v>
      </c>
      <c r="I27" s="6">
        <f t="shared" si="1"/>
        <v>17946.470249333332</v>
      </c>
      <c r="J27" s="6">
        <f t="shared" si="2"/>
        <v>5.4358666666666672E-5</v>
      </c>
      <c r="K27" s="6">
        <f t="shared" si="3"/>
        <v>2.4206558666666663E-4</v>
      </c>
      <c r="L27" s="6">
        <f t="shared" si="4"/>
        <v>2.8537333333333332E-5</v>
      </c>
      <c r="M27" s="6">
        <f t="shared" si="5"/>
        <v>2.4558666666666666E-5</v>
      </c>
      <c r="N27" s="6"/>
    </row>
    <row r="28" spans="1:14">
      <c r="A28">
        <v>1987</v>
      </c>
      <c r="B28" t="s">
        <v>0</v>
      </c>
      <c r="C28" s="2">
        <v>19013.951914666664</v>
      </c>
      <c r="D28">
        <v>4.9893333333333339E-5</v>
      </c>
      <c r="E28">
        <v>2.4717666666666663E-4</v>
      </c>
      <c r="F28">
        <v>3.0279999999999998E-5</v>
      </c>
      <c r="G28">
        <v>2.8240000000000004E-5</v>
      </c>
      <c r="I28" s="6">
        <f t="shared" si="1"/>
        <v>18259.883292666669</v>
      </c>
      <c r="J28" s="6">
        <f t="shared" si="2"/>
        <v>5.3012E-5</v>
      </c>
      <c r="K28" s="6">
        <f t="shared" si="3"/>
        <v>2.4288484000000002E-4</v>
      </c>
      <c r="L28" s="6">
        <f t="shared" si="4"/>
        <v>2.9260000000000001E-5</v>
      </c>
      <c r="M28" s="6">
        <f t="shared" si="5"/>
        <v>2.5488000000000004E-5</v>
      </c>
      <c r="N28" s="6"/>
    </row>
    <row r="29" spans="1:14">
      <c r="A29">
        <v>1988</v>
      </c>
      <c r="B29" t="s">
        <v>0</v>
      </c>
      <c r="C29" s="2">
        <v>19404.202601333331</v>
      </c>
      <c r="D29">
        <v>5.0086666666666663E-5</v>
      </c>
      <c r="E29">
        <v>2.4999513333333329E-4</v>
      </c>
      <c r="F29">
        <v>2.9713333333333336E-5</v>
      </c>
      <c r="G29">
        <v>2.9073333333333338E-5</v>
      </c>
      <c r="I29" s="6">
        <f t="shared" si="1"/>
        <v>18543.228695999998</v>
      </c>
      <c r="J29" s="6">
        <f t="shared" si="2"/>
        <v>5.1733333333333342E-5</v>
      </c>
      <c r="K29" s="6">
        <f t="shared" si="3"/>
        <v>2.4408522666666664E-4</v>
      </c>
      <c r="L29" s="6">
        <f t="shared" si="4"/>
        <v>2.9822666666666665E-5</v>
      </c>
      <c r="M29" s="6">
        <f t="shared" si="5"/>
        <v>2.6426666666666669E-5</v>
      </c>
      <c r="N29" s="6"/>
    </row>
    <row r="30" spans="1:14">
      <c r="A30">
        <v>1989</v>
      </c>
      <c r="B30" t="s">
        <v>0</v>
      </c>
      <c r="C30" s="2">
        <v>19936.406621999999</v>
      </c>
      <c r="D30">
        <v>5.0226666666666665E-5</v>
      </c>
      <c r="E30">
        <v>2.5369753333333333E-4</v>
      </c>
      <c r="F30">
        <v>2.9226666666666666E-5</v>
      </c>
      <c r="G30">
        <v>3.0093333333333335E-5</v>
      </c>
      <c r="I30" s="6">
        <f t="shared" si="1"/>
        <v>18818.326553599996</v>
      </c>
      <c r="J30" s="6">
        <f t="shared" si="2"/>
        <v>5.0813333333333337E-5</v>
      </c>
      <c r="K30" s="6">
        <f t="shared" si="3"/>
        <v>2.4569705333333332E-4</v>
      </c>
      <c r="L30" s="6">
        <f t="shared" si="4"/>
        <v>3.0057333333333338E-5</v>
      </c>
      <c r="M30" s="6">
        <f t="shared" si="5"/>
        <v>2.7340000000000003E-5</v>
      </c>
      <c r="N30" s="6"/>
    </row>
    <row r="31" spans="1:14">
      <c r="A31">
        <v>1990</v>
      </c>
      <c r="B31" t="s">
        <v>0</v>
      </c>
      <c r="C31" s="2">
        <v>20564.565903999995</v>
      </c>
      <c r="D31">
        <v>5.0133333333333323E-5</v>
      </c>
      <c r="E31">
        <v>2.5653273333333331E-4</v>
      </c>
      <c r="F31">
        <v>2.898E-5</v>
      </c>
      <c r="G31">
        <v>3.1286666666666666E-5</v>
      </c>
      <c r="I31" s="6">
        <f t="shared" si="1"/>
        <v>19134.09428493333</v>
      </c>
      <c r="J31" s="6">
        <f t="shared" si="2"/>
        <v>5.0294666666666665E-5</v>
      </c>
      <c r="K31" s="6">
        <f t="shared" si="3"/>
        <v>2.4789395999999997E-4</v>
      </c>
      <c r="L31" s="6">
        <f t="shared" si="4"/>
        <v>2.9981333333333337E-5</v>
      </c>
      <c r="M31" s="6">
        <f t="shared" si="5"/>
        <v>2.8256000000000005E-5</v>
      </c>
      <c r="N31" s="6"/>
    </row>
    <row r="32" spans="1:14">
      <c r="A32">
        <v>1991</v>
      </c>
      <c r="B32" t="s">
        <v>0</v>
      </c>
      <c r="C32" s="2">
        <v>21229.797219333333</v>
      </c>
      <c r="D32">
        <v>4.9653333333333335E-5</v>
      </c>
      <c r="E32">
        <v>2.583304E-4</v>
      </c>
      <c r="F32">
        <v>2.898E-5</v>
      </c>
      <c r="G32">
        <v>3.2700000000000002E-5</v>
      </c>
      <c r="I32" s="6">
        <f t="shared" si="1"/>
        <v>19533.0102716</v>
      </c>
      <c r="J32" s="6">
        <f t="shared" si="2"/>
        <v>5.0098666666666669E-5</v>
      </c>
      <c r="K32" s="6">
        <f t="shared" si="3"/>
        <v>2.5047257333333329E-4</v>
      </c>
      <c r="L32" s="6">
        <f t="shared" si="4"/>
        <v>2.9725333333333335E-5</v>
      </c>
      <c r="M32" s="6">
        <f t="shared" si="5"/>
        <v>2.9216000000000003E-5</v>
      </c>
      <c r="N32" s="6"/>
    </row>
    <row r="33" spans="1:14">
      <c r="A33">
        <v>1992</v>
      </c>
      <c r="B33" t="s">
        <v>0</v>
      </c>
      <c r="C33" s="2">
        <v>21829.739439333331</v>
      </c>
      <c r="D33">
        <v>4.8833333333333325E-5</v>
      </c>
      <c r="E33">
        <v>2.5879366666666664E-4</v>
      </c>
      <c r="F33">
        <v>2.8913333333333333E-5</v>
      </c>
      <c r="G33">
        <v>3.425333333333334E-5</v>
      </c>
      <c r="I33" s="6">
        <f t="shared" si="1"/>
        <v>20029.784852266661</v>
      </c>
      <c r="J33" s="6">
        <f t="shared" si="2"/>
        <v>4.9998666666666666E-5</v>
      </c>
      <c r="K33" s="6">
        <f t="shared" si="3"/>
        <v>2.5314649333333332E-4</v>
      </c>
      <c r="L33" s="6">
        <f t="shared" si="4"/>
        <v>2.9436000000000001E-5</v>
      </c>
      <c r="M33" s="6">
        <f t="shared" si="5"/>
        <v>3.0278666666666669E-5</v>
      </c>
      <c r="N33" s="6"/>
    </row>
    <row r="34" spans="1:14">
      <c r="A34">
        <v>1993</v>
      </c>
      <c r="B34" t="s">
        <v>0</v>
      </c>
      <c r="C34" s="2">
        <v>22298.558891999997</v>
      </c>
      <c r="D34">
        <v>4.7706666666666662E-5</v>
      </c>
      <c r="E34">
        <v>2.5873533333333333E-4</v>
      </c>
      <c r="F34">
        <v>2.8886666666666669E-5</v>
      </c>
      <c r="G34">
        <v>3.5926666666666663E-5</v>
      </c>
      <c r="I34" s="6">
        <f t="shared" si="1"/>
        <v>20592.942357200001</v>
      </c>
      <c r="J34" s="6">
        <f t="shared" si="2"/>
        <v>4.9786666666666669E-5</v>
      </c>
      <c r="K34" s="6">
        <f t="shared" si="3"/>
        <v>2.5546989333333328E-4</v>
      </c>
      <c r="L34" s="6">
        <f t="shared" si="4"/>
        <v>2.9162666666666664E-5</v>
      </c>
      <c r="M34" s="6">
        <f t="shared" si="5"/>
        <v>3.148133333333334E-5</v>
      </c>
      <c r="N34" s="6"/>
    </row>
    <row r="35" spans="1:14">
      <c r="A35">
        <v>1994</v>
      </c>
      <c r="B35" t="s">
        <v>0</v>
      </c>
      <c r="C35" s="2">
        <v>22672.299324</v>
      </c>
      <c r="D35">
        <v>4.6566666666666662E-5</v>
      </c>
      <c r="E35">
        <v>2.581916666666667E-4</v>
      </c>
      <c r="F35">
        <v>2.9E-5</v>
      </c>
      <c r="G35">
        <v>3.758666666666667E-5</v>
      </c>
      <c r="I35" s="6">
        <f t="shared" si="1"/>
        <v>21171.813615333333</v>
      </c>
      <c r="J35" s="6">
        <f t="shared" si="2"/>
        <v>4.9310666666666662E-5</v>
      </c>
      <c r="K35" s="6">
        <f t="shared" si="3"/>
        <v>2.5721793333333332E-4</v>
      </c>
      <c r="L35" s="6">
        <f t="shared" si="4"/>
        <v>2.8997333333333334E-5</v>
      </c>
      <c r="M35" s="6">
        <f t="shared" si="5"/>
        <v>3.2852000000000003E-5</v>
      </c>
      <c r="N35" s="6"/>
    </row>
    <row r="36" spans="1:14">
      <c r="A36">
        <v>1995</v>
      </c>
      <c r="B36" t="s">
        <v>0</v>
      </c>
      <c r="C36" s="2">
        <v>22954.932829999998</v>
      </c>
      <c r="D36">
        <v>4.5460000000000002E-5</v>
      </c>
      <c r="E36">
        <v>2.5765706666666666E-4</v>
      </c>
      <c r="F36">
        <v>2.9186666666666663E-5</v>
      </c>
      <c r="G36">
        <v>3.9139999999999995E-5</v>
      </c>
      <c r="I36" s="6">
        <f t="shared" si="1"/>
        <v>21718.992155733333</v>
      </c>
      <c r="J36" s="6">
        <f t="shared" si="2"/>
        <v>4.8578666666666656E-5</v>
      </c>
      <c r="K36" s="6">
        <f t="shared" si="3"/>
        <v>2.5811675999999997E-4</v>
      </c>
      <c r="L36" s="6">
        <f t="shared" si="4"/>
        <v>2.8951999999999997E-5</v>
      </c>
      <c r="M36" s="6">
        <f t="shared" si="5"/>
        <v>3.435066666666667E-5</v>
      </c>
      <c r="N36" s="6"/>
    </row>
    <row r="37" spans="1:14">
      <c r="A37">
        <v>1996</v>
      </c>
      <c r="B37" t="s">
        <v>0</v>
      </c>
      <c r="C37" s="2">
        <v>23211.360524666667</v>
      </c>
      <c r="D37">
        <v>4.470666666666667E-5</v>
      </c>
      <c r="E37">
        <v>2.5768780000000004E-4</v>
      </c>
      <c r="F37">
        <v>2.9359999999999997E-5</v>
      </c>
      <c r="G37">
        <v>4.0513333333333331E-5</v>
      </c>
      <c r="I37" s="6">
        <f t="shared" si="1"/>
        <v>22197.065540933334</v>
      </c>
      <c r="J37" s="6">
        <f t="shared" si="2"/>
        <v>4.7643999999999993E-5</v>
      </c>
      <c r="K37" s="6">
        <f t="shared" si="3"/>
        <v>2.5834162666666668E-4</v>
      </c>
      <c r="L37" s="6">
        <f t="shared" si="4"/>
        <v>2.8993333333333336E-5</v>
      </c>
      <c r="M37" s="6">
        <f t="shared" si="5"/>
        <v>3.5921333333333331E-5</v>
      </c>
      <c r="N37" s="6"/>
    </row>
    <row r="38" spans="1:14">
      <c r="A38">
        <v>1997</v>
      </c>
      <c r="B38" t="s">
        <v>0</v>
      </c>
      <c r="C38" s="2">
        <v>23460.600815333335</v>
      </c>
      <c r="D38">
        <v>4.422E-5</v>
      </c>
      <c r="E38">
        <v>2.5809260000000001E-4</v>
      </c>
      <c r="F38">
        <v>2.9473333333333335E-5</v>
      </c>
      <c r="G38">
        <v>4.1626666666666666E-5</v>
      </c>
      <c r="I38" s="6">
        <f t="shared" si="1"/>
        <v>22593.378202</v>
      </c>
      <c r="J38" s="6">
        <f t="shared" si="2"/>
        <v>4.6654666666666672E-5</v>
      </c>
      <c r="K38" s="6">
        <f t="shared" si="3"/>
        <v>2.5821310666666669E-4</v>
      </c>
      <c r="L38" s="6">
        <f t="shared" si="4"/>
        <v>2.9069333333333333E-5</v>
      </c>
      <c r="M38" s="6">
        <f t="shared" si="5"/>
        <v>3.7483999999999996E-5</v>
      </c>
      <c r="N38" s="6"/>
    </row>
    <row r="39" spans="1:14">
      <c r="A39">
        <v>1998</v>
      </c>
      <c r="B39" t="s">
        <v>0</v>
      </c>
      <c r="C39" s="2">
        <v>23794.17857</v>
      </c>
      <c r="D39">
        <v>4.4100000000000001E-5</v>
      </c>
      <c r="E39">
        <v>2.5831666666666667E-4</v>
      </c>
      <c r="F39">
        <v>2.9540000000000002E-5</v>
      </c>
      <c r="G39">
        <v>4.2493333333333335E-5</v>
      </c>
      <c r="I39" s="6">
        <f t="shared" si="1"/>
        <v>22919.550477200002</v>
      </c>
      <c r="J39" s="6">
        <f t="shared" si="2"/>
        <v>4.5732000000000002E-5</v>
      </c>
      <c r="K39" s="6">
        <f t="shared" si="3"/>
        <v>2.5807289333333334E-4</v>
      </c>
      <c r="L39" s="6">
        <f t="shared" si="4"/>
        <v>2.9181333333333335E-5</v>
      </c>
      <c r="M39" s="6">
        <f t="shared" si="5"/>
        <v>3.895866666666667E-5</v>
      </c>
      <c r="N39" s="6"/>
    </row>
    <row r="40" spans="1:14">
      <c r="A40">
        <v>1999</v>
      </c>
      <c r="B40" t="s">
        <v>0</v>
      </c>
      <c r="C40" s="2">
        <v>24230.027970666666</v>
      </c>
      <c r="D40">
        <v>4.4013333333333334E-5</v>
      </c>
      <c r="E40">
        <v>2.5753273333333334E-4</v>
      </c>
      <c r="F40">
        <v>2.9393333333333335E-5</v>
      </c>
      <c r="G40">
        <v>4.3113333333333333E-5</v>
      </c>
      <c r="I40" s="6">
        <f t="shared" si="1"/>
        <v>23218.674412800003</v>
      </c>
      <c r="J40" s="6">
        <f t="shared" si="2"/>
        <v>4.5010666666666666E-5</v>
      </c>
      <c r="K40" s="6">
        <f t="shared" si="3"/>
        <v>2.5798916000000004E-4</v>
      </c>
      <c r="L40" s="6">
        <f t="shared" si="4"/>
        <v>2.9311999999999997E-5</v>
      </c>
      <c r="M40" s="6">
        <f t="shared" si="5"/>
        <v>4.0271999999999997E-5</v>
      </c>
      <c r="N40" s="6"/>
    </row>
    <row r="41" spans="1:14">
      <c r="A41">
        <v>2000</v>
      </c>
      <c r="B41" t="s">
        <v>0</v>
      </c>
      <c r="C41" s="2">
        <v>24787.883018</v>
      </c>
      <c r="D41">
        <v>4.4033333333333338E-5</v>
      </c>
      <c r="E41">
        <v>2.5635853333333332E-4</v>
      </c>
      <c r="F41">
        <v>2.9186666666666663E-5</v>
      </c>
      <c r="G41">
        <v>4.3619999999999999E-5</v>
      </c>
      <c r="I41" s="6">
        <f t="shared" si="1"/>
        <v>23530.220142133334</v>
      </c>
      <c r="J41" s="6">
        <f t="shared" si="2"/>
        <v>4.4500000000000011E-5</v>
      </c>
      <c r="K41" s="6">
        <f t="shared" si="3"/>
        <v>2.5785737333333333E-4</v>
      </c>
      <c r="L41" s="6">
        <f t="shared" si="4"/>
        <v>2.9390666666666666E-5</v>
      </c>
      <c r="M41" s="6">
        <f t="shared" si="5"/>
        <v>4.1377333333333328E-5</v>
      </c>
      <c r="N41" s="6"/>
    </row>
    <row r="42" spans="1:14">
      <c r="A42">
        <v>2001</v>
      </c>
      <c r="B42" t="s">
        <v>0</v>
      </c>
      <c r="C42" s="2">
        <v>25417.366069333333</v>
      </c>
      <c r="D42">
        <v>4.4060000000000002E-5</v>
      </c>
      <c r="E42">
        <v>2.5507013333333334E-4</v>
      </c>
      <c r="F42">
        <v>2.9060000000000003E-5</v>
      </c>
      <c r="G42">
        <v>4.4159999999999997E-5</v>
      </c>
      <c r="I42" s="6">
        <f t="shared" si="1"/>
        <v>23896.810179733333</v>
      </c>
      <c r="J42" s="6">
        <f t="shared" si="2"/>
        <v>4.4214666666666669E-5</v>
      </c>
      <c r="K42" s="6">
        <f t="shared" si="3"/>
        <v>2.5759766666666668E-4</v>
      </c>
      <c r="L42" s="6">
        <f t="shared" si="4"/>
        <v>2.9390666666666666E-5</v>
      </c>
      <c r="M42" s="6">
        <f t="shared" si="5"/>
        <v>4.2273333333333334E-5</v>
      </c>
      <c r="N42" s="6"/>
    </row>
    <row r="43" spans="1:14">
      <c r="A43">
        <v>2002</v>
      </c>
      <c r="B43" t="s">
        <v>0</v>
      </c>
      <c r="C43" s="2">
        <v>26120.879461333334</v>
      </c>
      <c r="D43">
        <v>4.4140000000000008E-5</v>
      </c>
      <c r="E43">
        <v>2.5417099999999998E-4</v>
      </c>
      <c r="F43">
        <v>2.9086666666666667E-5</v>
      </c>
      <c r="G43">
        <v>4.479333333333333E-5</v>
      </c>
      <c r="I43" s="6">
        <f t="shared" si="1"/>
        <v>24338.011288666668</v>
      </c>
      <c r="J43" s="6">
        <f t="shared" si="2"/>
        <v>4.408533333333333E-5</v>
      </c>
      <c r="K43" s="6">
        <f t="shared" si="3"/>
        <v>2.5707413333333335E-4</v>
      </c>
      <c r="L43" s="6">
        <f t="shared" si="4"/>
        <v>2.9330666666666667E-5</v>
      </c>
      <c r="M43" s="6">
        <f t="shared" si="5"/>
        <v>4.3002666666666667E-5</v>
      </c>
      <c r="N43" s="6"/>
    </row>
    <row r="44" spans="1:14">
      <c r="A44">
        <v>2003</v>
      </c>
      <c r="B44" t="s">
        <v>0</v>
      </c>
      <c r="C44" s="2">
        <v>26820.562262666666</v>
      </c>
      <c r="D44">
        <v>4.4080000000000005E-5</v>
      </c>
      <c r="E44">
        <v>2.5390126666666667E-4</v>
      </c>
      <c r="F44">
        <v>2.9166666666666663E-5</v>
      </c>
      <c r="G44">
        <v>4.5479999999999991E-5</v>
      </c>
      <c r="I44" s="6">
        <f t="shared" si="1"/>
        <v>24870.067017866666</v>
      </c>
      <c r="J44" s="6">
        <f t="shared" si="2"/>
        <v>4.4069333333333342E-5</v>
      </c>
      <c r="K44" s="6">
        <f t="shared" si="3"/>
        <v>2.5628981333333334E-4</v>
      </c>
      <c r="L44" s="6">
        <f t="shared" si="4"/>
        <v>2.925333333333333E-5</v>
      </c>
      <c r="M44" s="6">
        <f t="shared" si="5"/>
        <v>4.3636E-5</v>
      </c>
      <c r="N44" s="6"/>
    </row>
    <row r="45" spans="1:14">
      <c r="A45">
        <v>2004</v>
      </c>
      <c r="B45" t="s">
        <v>0</v>
      </c>
      <c r="C45" s="2">
        <v>27459.995668</v>
      </c>
      <c r="D45">
        <v>4.4060000000000002E-5</v>
      </c>
      <c r="E45">
        <v>2.5464206666666667E-4</v>
      </c>
      <c r="F45">
        <v>2.9366666666666668E-5</v>
      </c>
      <c r="G45">
        <v>4.6186666666666663E-5</v>
      </c>
      <c r="I45" s="6">
        <f t="shared" si="1"/>
        <v>25475.343756400001</v>
      </c>
      <c r="J45" s="6">
        <f t="shared" si="2"/>
        <v>4.4065333333333333E-5</v>
      </c>
      <c r="K45" s="6">
        <f t="shared" si="3"/>
        <v>2.5540673333333331E-4</v>
      </c>
      <c r="L45" s="6">
        <f t="shared" si="4"/>
        <v>2.9178666666666662E-5</v>
      </c>
      <c r="M45" s="6">
        <f t="shared" si="5"/>
        <v>4.4233333333333329E-5</v>
      </c>
      <c r="N45" s="6"/>
    </row>
    <row r="46" spans="1:14">
      <c r="A46">
        <v>2005</v>
      </c>
      <c r="B46" t="s">
        <v>0</v>
      </c>
      <c r="C46" s="2">
        <v>27990.200682666666</v>
      </c>
      <c r="D46">
        <v>4.3953333333333338E-5</v>
      </c>
      <c r="E46">
        <v>2.5616559999999997E-4</v>
      </c>
      <c r="F46">
        <v>2.9566666666666669E-5</v>
      </c>
      <c r="G46">
        <v>4.6926666666666659E-5</v>
      </c>
      <c r="I46" s="6">
        <f t="shared" si="1"/>
        <v>26121.337295866666</v>
      </c>
      <c r="J46" s="6">
        <f t="shared" si="2"/>
        <v>4.4074666666666673E-5</v>
      </c>
      <c r="K46" s="6">
        <f t="shared" si="3"/>
        <v>2.5482860000000001E-4</v>
      </c>
      <c r="L46" s="6">
        <f t="shared" si="4"/>
        <v>2.9173333333333334E-5</v>
      </c>
      <c r="M46" s="6">
        <f t="shared" si="5"/>
        <v>4.4848000000000002E-5</v>
      </c>
      <c r="N46" s="6"/>
    </row>
    <row r="47" spans="1:14">
      <c r="A47">
        <v>2006</v>
      </c>
      <c r="B47" t="s">
        <v>0</v>
      </c>
      <c r="C47" s="2">
        <v>28449.422258666666</v>
      </c>
      <c r="D47">
        <v>4.3833333333333333E-5</v>
      </c>
      <c r="E47">
        <v>2.5750866666666668E-4</v>
      </c>
      <c r="F47">
        <v>2.9633333333333333E-5</v>
      </c>
      <c r="G47">
        <v>4.7733333333333326E-5</v>
      </c>
      <c r="I47" s="6">
        <f t="shared" si="1"/>
        <v>26761.800828800002</v>
      </c>
      <c r="J47" s="6">
        <f t="shared" si="2"/>
        <v>4.4058666666666672E-5</v>
      </c>
      <c r="K47" s="6">
        <f t="shared" si="3"/>
        <v>2.5479001333333332E-4</v>
      </c>
      <c r="L47" s="6">
        <f t="shared" si="4"/>
        <v>2.9249333333333331E-5</v>
      </c>
      <c r="M47" s="6">
        <f t="shared" si="5"/>
        <v>4.5509333333333335E-5</v>
      </c>
      <c r="N47" s="6"/>
    </row>
    <row r="48" spans="1:14">
      <c r="A48">
        <v>2007</v>
      </c>
      <c r="B48" t="s">
        <v>0</v>
      </c>
      <c r="C48" s="2">
        <v>28872.771742666664</v>
      </c>
      <c r="D48">
        <v>4.3559999999999996E-5</v>
      </c>
      <c r="E48">
        <v>2.5819960000000001E-4</v>
      </c>
      <c r="F48">
        <v>2.9539999999999998E-5</v>
      </c>
      <c r="G48">
        <v>4.8599999999999995E-5</v>
      </c>
      <c r="I48" s="6">
        <f t="shared" si="1"/>
        <v>27368.212066666667</v>
      </c>
      <c r="J48" s="6">
        <f t="shared" si="2"/>
        <v>4.4013333333333334E-5</v>
      </c>
      <c r="K48" s="6">
        <f t="shared" si="3"/>
        <v>2.5527771999999998E-4</v>
      </c>
      <c r="L48" s="6">
        <f t="shared" si="4"/>
        <v>2.9364000000000002E-5</v>
      </c>
      <c r="M48" s="6">
        <f t="shared" si="5"/>
        <v>4.6223999999999997E-5</v>
      </c>
      <c r="N48" s="6"/>
    </row>
    <row r="49" spans="1:11">
      <c r="A49" s="4">
        <f>A48+1</f>
        <v>2008</v>
      </c>
      <c r="B49" s="4" t="s">
        <v>0</v>
      </c>
      <c r="C49" s="6">
        <v>28872.771742666664</v>
      </c>
      <c r="D49" s="6">
        <v>4.3559999999999996E-5</v>
      </c>
      <c r="E49" s="6">
        <v>2.5819960000000001E-4</v>
      </c>
      <c r="F49" s="6">
        <v>2.9539999999999998E-5</v>
      </c>
      <c r="G49" s="6">
        <v>4.8599999999999995E-5</v>
      </c>
    </row>
    <row r="50" spans="1:11">
      <c r="A50" s="4">
        <f t="shared" ref="A50:A91" si="6">A49+1</f>
        <v>2009</v>
      </c>
      <c r="B50" s="4" t="s">
        <v>0</v>
      </c>
      <c r="C50" s="6">
        <v>28872.771742666664</v>
      </c>
      <c r="D50" s="6">
        <v>4.3559999999999996E-5</v>
      </c>
      <c r="E50" s="6">
        <v>2.5819960000000001E-4</v>
      </c>
      <c r="F50" s="6">
        <v>2.9539999999999998E-5</v>
      </c>
      <c r="G50" s="6">
        <v>4.8599999999999995E-5</v>
      </c>
      <c r="K50" s="5"/>
    </row>
    <row r="51" spans="1:11">
      <c r="A51" s="4">
        <f t="shared" si="6"/>
        <v>2010</v>
      </c>
      <c r="B51" s="4" t="s">
        <v>0</v>
      </c>
      <c r="C51" s="6">
        <v>28872.771742666664</v>
      </c>
      <c r="D51" s="6">
        <v>4.3559999999999996E-5</v>
      </c>
      <c r="E51" s="6">
        <v>2.5819960000000001E-4</v>
      </c>
      <c r="F51" s="6">
        <v>2.9539999999999998E-5</v>
      </c>
      <c r="G51" s="6">
        <v>4.8599999999999995E-5</v>
      </c>
      <c r="K51" s="5"/>
    </row>
    <row r="52" spans="1:11">
      <c r="A52" s="4">
        <f t="shared" si="6"/>
        <v>2011</v>
      </c>
      <c r="B52" s="4" t="s">
        <v>0</v>
      </c>
      <c r="C52" s="6">
        <v>28872.771742666664</v>
      </c>
      <c r="D52" s="6">
        <v>4.3559999999999996E-5</v>
      </c>
      <c r="E52" s="6">
        <v>2.5819960000000001E-4</v>
      </c>
      <c r="F52" s="6">
        <v>2.9539999999999998E-5</v>
      </c>
      <c r="G52" s="6">
        <v>4.8599999999999995E-5</v>
      </c>
      <c r="K52" s="5"/>
    </row>
    <row r="53" spans="1:11">
      <c r="A53" s="4">
        <f t="shared" si="6"/>
        <v>2012</v>
      </c>
      <c r="B53" s="4" t="s">
        <v>0</v>
      </c>
      <c r="C53" s="6">
        <v>28872.771742666664</v>
      </c>
      <c r="D53" s="6">
        <v>4.3559999999999996E-5</v>
      </c>
      <c r="E53" s="6">
        <v>2.5819960000000001E-4</v>
      </c>
      <c r="F53" s="6">
        <v>2.9539999999999998E-5</v>
      </c>
      <c r="G53" s="6">
        <v>4.8599999999999995E-5</v>
      </c>
      <c r="K53" s="5"/>
    </row>
    <row r="54" spans="1:11">
      <c r="A54" s="4">
        <f t="shared" si="6"/>
        <v>2013</v>
      </c>
      <c r="B54" s="4" t="s">
        <v>0</v>
      </c>
      <c r="C54" s="6">
        <v>28872.771742666664</v>
      </c>
      <c r="D54" s="6">
        <v>4.3559999999999996E-5</v>
      </c>
      <c r="E54" s="6">
        <v>2.5819960000000001E-4</v>
      </c>
      <c r="F54" s="6">
        <v>2.9539999999999998E-5</v>
      </c>
      <c r="G54" s="6">
        <v>4.8599999999999995E-5</v>
      </c>
      <c r="K54" s="5"/>
    </row>
    <row r="55" spans="1:11">
      <c r="A55" s="4">
        <f t="shared" si="6"/>
        <v>2014</v>
      </c>
      <c r="B55" s="4" t="s">
        <v>0</v>
      </c>
      <c r="C55" s="6">
        <v>28872.771742666664</v>
      </c>
      <c r="D55" s="6">
        <v>4.3559999999999996E-5</v>
      </c>
      <c r="E55" s="6">
        <v>2.5819960000000001E-4</v>
      </c>
      <c r="F55" s="6">
        <v>2.9539999999999998E-5</v>
      </c>
      <c r="G55" s="6">
        <v>4.8599999999999995E-5</v>
      </c>
      <c r="K55" s="5"/>
    </row>
    <row r="56" spans="1:11">
      <c r="A56" s="4">
        <f t="shared" si="6"/>
        <v>2015</v>
      </c>
      <c r="B56" s="4" t="s">
        <v>0</v>
      </c>
      <c r="C56" s="6">
        <v>28872.771742666664</v>
      </c>
      <c r="D56" s="6">
        <v>4.3559999999999996E-5</v>
      </c>
      <c r="E56" s="6">
        <v>2.5819960000000001E-4</v>
      </c>
      <c r="F56" s="6">
        <v>2.9539999999999998E-5</v>
      </c>
      <c r="G56" s="6">
        <v>4.8599999999999995E-5</v>
      </c>
      <c r="K56" s="5"/>
    </row>
    <row r="57" spans="1:11">
      <c r="A57" s="4">
        <f t="shared" si="6"/>
        <v>2016</v>
      </c>
      <c r="B57" s="4" t="s">
        <v>0</v>
      </c>
      <c r="C57" s="6">
        <v>28872.771742666664</v>
      </c>
      <c r="D57" s="6">
        <v>4.3559999999999996E-5</v>
      </c>
      <c r="E57" s="6">
        <v>2.5819960000000001E-4</v>
      </c>
      <c r="F57" s="6">
        <v>2.9539999999999998E-5</v>
      </c>
      <c r="G57" s="6">
        <v>4.8599999999999995E-5</v>
      </c>
      <c r="K57" s="5"/>
    </row>
    <row r="58" spans="1:11">
      <c r="A58" s="4">
        <f t="shared" si="6"/>
        <v>2017</v>
      </c>
      <c r="B58" s="4" t="s">
        <v>0</v>
      </c>
      <c r="C58" s="6">
        <v>28872.771742666664</v>
      </c>
      <c r="D58" s="6">
        <v>4.3559999999999996E-5</v>
      </c>
      <c r="E58" s="6">
        <v>2.5819960000000001E-4</v>
      </c>
      <c r="F58" s="6">
        <v>2.9539999999999998E-5</v>
      </c>
      <c r="G58" s="6">
        <v>4.8599999999999995E-5</v>
      </c>
      <c r="K58" s="5"/>
    </row>
    <row r="59" spans="1:11">
      <c r="A59" s="4">
        <f t="shared" si="6"/>
        <v>2018</v>
      </c>
      <c r="B59" s="4" t="s">
        <v>0</v>
      </c>
      <c r="C59" s="6">
        <v>28872.771742666664</v>
      </c>
      <c r="D59" s="6">
        <v>4.3559999999999996E-5</v>
      </c>
      <c r="E59" s="6">
        <v>2.5819960000000001E-4</v>
      </c>
      <c r="F59" s="6">
        <v>2.9539999999999998E-5</v>
      </c>
      <c r="G59" s="6">
        <v>4.8599999999999995E-5</v>
      </c>
      <c r="K59" s="5"/>
    </row>
    <row r="60" spans="1:11">
      <c r="A60" s="4">
        <f t="shared" si="6"/>
        <v>2019</v>
      </c>
      <c r="B60" s="4" t="s">
        <v>0</v>
      </c>
      <c r="C60" s="6">
        <v>28872.771742666664</v>
      </c>
      <c r="D60" s="6">
        <v>4.3559999999999996E-5</v>
      </c>
      <c r="E60" s="6">
        <v>2.5819960000000001E-4</v>
      </c>
      <c r="F60" s="6">
        <v>2.9539999999999998E-5</v>
      </c>
      <c r="G60" s="6">
        <v>4.8599999999999995E-5</v>
      </c>
      <c r="K60" s="5"/>
    </row>
    <row r="61" spans="1:11">
      <c r="A61" s="4">
        <f t="shared" si="6"/>
        <v>2020</v>
      </c>
      <c r="B61" s="4" t="s">
        <v>0</v>
      </c>
      <c r="C61" s="6">
        <v>28872.771742666664</v>
      </c>
      <c r="D61" s="6">
        <v>4.3559999999999996E-5</v>
      </c>
      <c r="E61" s="6">
        <v>2.5819960000000001E-4</v>
      </c>
      <c r="F61" s="6">
        <v>2.9539999999999998E-5</v>
      </c>
      <c r="G61" s="6">
        <v>4.8599999999999995E-5</v>
      </c>
      <c r="K61" s="5"/>
    </row>
    <row r="62" spans="1:11">
      <c r="A62" s="4">
        <f t="shared" si="6"/>
        <v>2021</v>
      </c>
      <c r="B62" s="4" t="s">
        <v>0</v>
      </c>
      <c r="C62" s="6">
        <v>28872.771742666664</v>
      </c>
      <c r="D62" s="6">
        <v>4.3559999999999996E-5</v>
      </c>
      <c r="E62" s="6">
        <v>2.5819960000000001E-4</v>
      </c>
      <c r="F62" s="6">
        <v>2.9539999999999998E-5</v>
      </c>
      <c r="G62" s="6">
        <v>4.8599999999999995E-5</v>
      </c>
      <c r="K62" s="5"/>
    </row>
    <row r="63" spans="1:11">
      <c r="A63" s="4">
        <f t="shared" si="6"/>
        <v>2022</v>
      </c>
      <c r="B63" s="4" t="s">
        <v>0</v>
      </c>
      <c r="C63" s="6">
        <v>28872.771742666664</v>
      </c>
      <c r="D63" s="6">
        <v>4.3559999999999996E-5</v>
      </c>
      <c r="E63" s="6">
        <v>2.5819960000000001E-4</v>
      </c>
      <c r="F63" s="6">
        <v>2.9539999999999998E-5</v>
      </c>
      <c r="G63" s="6">
        <v>4.8599999999999995E-5</v>
      </c>
      <c r="K63" s="5"/>
    </row>
    <row r="64" spans="1:11">
      <c r="A64" s="4">
        <f t="shared" si="6"/>
        <v>2023</v>
      </c>
      <c r="B64" s="4" t="s">
        <v>0</v>
      </c>
      <c r="C64" s="6">
        <v>28872.771742666664</v>
      </c>
      <c r="D64" s="6">
        <v>4.3559999999999996E-5</v>
      </c>
      <c r="E64" s="6">
        <v>2.5819960000000001E-4</v>
      </c>
      <c r="F64" s="6">
        <v>2.9539999999999998E-5</v>
      </c>
      <c r="G64" s="6">
        <v>4.8599999999999995E-5</v>
      </c>
      <c r="K64" s="5"/>
    </row>
    <row r="65" spans="1:11">
      <c r="A65" s="4">
        <f t="shared" si="6"/>
        <v>2024</v>
      </c>
      <c r="B65" s="4" t="s">
        <v>0</v>
      </c>
      <c r="C65" s="6">
        <v>28872.771742666664</v>
      </c>
      <c r="D65" s="6">
        <v>4.3559999999999996E-5</v>
      </c>
      <c r="E65" s="6">
        <v>2.5819960000000001E-4</v>
      </c>
      <c r="F65" s="6">
        <v>2.9539999999999998E-5</v>
      </c>
      <c r="G65" s="6">
        <v>4.8599999999999995E-5</v>
      </c>
      <c r="K65" s="5"/>
    </row>
    <row r="66" spans="1:11">
      <c r="A66" s="4">
        <f t="shared" si="6"/>
        <v>2025</v>
      </c>
      <c r="B66" s="4" t="s">
        <v>0</v>
      </c>
      <c r="C66" s="6">
        <v>28872.771742666664</v>
      </c>
      <c r="D66" s="6">
        <v>4.3559999999999996E-5</v>
      </c>
      <c r="E66" s="6">
        <v>2.5819960000000001E-4</v>
      </c>
      <c r="F66" s="6">
        <v>2.9539999999999998E-5</v>
      </c>
      <c r="G66" s="6">
        <v>4.8599999999999995E-5</v>
      </c>
      <c r="K66" s="5"/>
    </row>
    <row r="67" spans="1:11">
      <c r="A67" s="4">
        <f t="shared" si="6"/>
        <v>2026</v>
      </c>
      <c r="B67" s="4" t="s">
        <v>0</v>
      </c>
      <c r="C67" s="6">
        <v>28872.771742666664</v>
      </c>
      <c r="D67" s="6">
        <v>4.3559999999999996E-5</v>
      </c>
      <c r="E67" s="6">
        <v>2.5819960000000001E-4</v>
      </c>
      <c r="F67" s="6">
        <v>2.9539999999999998E-5</v>
      </c>
      <c r="G67" s="6">
        <v>4.8599999999999995E-5</v>
      </c>
      <c r="K67" s="5"/>
    </row>
    <row r="68" spans="1:11">
      <c r="A68" s="4">
        <f t="shared" si="6"/>
        <v>2027</v>
      </c>
      <c r="B68" s="4" t="s">
        <v>0</v>
      </c>
      <c r="C68" s="6">
        <v>28872.771742666664</v>
      </c>
      <c r="D68" s="6">
        <v>4.3559999999999996E-5</v>
      </c>
      <c r="E68" s="6">
        <v>2.5819960000000001E-4</v>
      </c>
      <c r="F68" s="6">
        <v>2.9539999999999998E-5</v>
      </c>
      <c r="G68" s="6">
        <v>4.8599999999999995E-5</v>
      </c>
      <c r="K68" s="5"/>
    </row>
    <row r="69" spans="1:11">
      <c r="A69" s="4">
        <f t="shared" si="6"/>
        <v>2028</v>
      </c>
      <c r="B69" s="4" t="s">
        <v>0</v>
      </c>
      <c r="C69" s="6">
        <v>28872.771742666664</v>
      </c>
      <c r="D69" s="6">
        <v>4.3559999999999996E-5</v>
      </c>
      <c r="E69" s="6">
        <v>2.5819960000000001E-4</v>
      </c>
      <c r="F69" s="6">
        <v>2.9539999999999998E-5</v>
      </c>
      <c r="G69" s="6">
        <v>4.8599999999999995E-5</v>
      </c>
      <c r="K69" s="5"/>
    </row>
    <row r="70" spans="1:11">
      <c r="A70" s="4">
        <f t="shared" si="6"/>
        <v>2029</v>
      </c>
      <c r="B70" s="4" t="s">
        <v>0</v>
      </c>
      <c r="C70" s="6">
        <v>28872.771742666664</v>
      </c>
      <c r="D70" s="6">
        <v>4.3559999999999996E-5</v>
      </c>
      <c r="E70" s="6">
        <v>2.5819960000000001E-4</v>
      </c>
      <c r="F70" s="6">
        <v>2.9539999999999998E-5</v>
      </c>
      <c r="G70" s="6">
        <v>4.8599999999999995E-5</v>
      </c>
      <c r="K70" s="5"/>
    </row>
    <row r="71" spans="1:11">
      <c r="A71" s="4">
        <f t="shared" si="6"/>
        <v>2030</v>
      </c>
      <c r="B71" s="4" t="s">
        <v>0</v>
      </c>
      <c r="C71" s="6">
        <v>28872.771742666664</v>
      </c>
      <c r="D71" s="6">
        <v>4.3559999999999996E-5</v>
      </c>
      <c r="E71" s="6">
        <v>2.5819960000000001E-4</v>
      </c>
      <c r="F71" s="6">
        <v>2.9539999999999998E-5</v>
      </c>
      <c r="G71" s="6">
        <v>4.8599999999999995E-5</v>
      </c>
      <c r="K71" s="5"/>
    </row>
    <row r="72" spans="1:11">
      <c r="A72" s="4">
        <f t="shared" si="6"/>
        <v>2031</v>
      </c>
      <c r="B72" s="4" t="s">
        <v>0</v>
      </c>
      <c r="C72" s="6">
        <v>28872.771742666664</v>
      </c>
      <c r="D72" s="6">
        <v>4.3559999999999996E-5</v>
      </c>
      <c r="E72" s="6">
        <v>2.5819960000000001E-4</v>
      </c>
      <c r="F72" s="6">
        <v>2.9539999999999998E-5</v>
      </c>
      <c r="G72" s="6">
        <v>4.8599999999999995E-5</v>
      </c>
      <c r="K72" s="5"/>
    </row>
    <row r="73" spans="1:11">
      <c r="A73" s="4">
        <f t="shared" si="6"/>
        <v>2032</v>
      </c>
      <c r="B73" s="4" t="s">
        <v>0</v>
      </c>
      <c r="C73" s="6">
        <v>28872.771742666664</v>
      </c>
      <c r="D73" s="6">
        <v>4.3559999999999996E-5</v>
      </c>
      <c r="E73" s="6">
        <v>2.5819960000000001E-4</v>
      </c>
      <c r="F73" s="6">
        <v>2.9539999999999998E-5</v>
      </c>
      <c r="G73" s="6">
        <v>4.8599999999999995E-5</v>
      </c>
      <c r="K73" s="5"/>
    </row>
    <row r="74" spans="1:11">
      <c r="A74" s="4">
        <f t="shared" si="6"/>
        <v>2033</v>
      </c>
      <c r="B74" s="4" t="s">
        <v>0</v>
      </c>
      <c r="C74" s="6">
        <v>28872.771742666664</v>
      </c>
      <c r="D74" s="6">
        <v>4.3559999999999996E-5</v>
      </c>
      <c r="E74" s="6">
        <v>2.5819960000000001E-4</v>
      </c>
      <c r="F74" s="6">
        <v>2.9539999999999998E-5</v>
      </c>
      <c r="G74" s="6">
        <v>4.8599999999999995E-5</v>
      </c>
      <c r="K74" s="5"/>
    </row>
    <row r="75" spans="1:11">
      <c r="A75" s="4">
        <f t="shared" si="6"/>
        <v>2034</v>
      </c>
      <c r="B75" s="4" t="s">
        <v>0</v>
      </c>
      <c r="C75" s="6">
        <v>28872.771742666664</v>
      </c>
      <c r="D75" s="6">
        <v>4.3559999999999996E-5</v>
      </c>
      <c r="E75" s="6">
        <v>2.5819960000000001E-4</v>
      </c>
      <c r="F75" s="6">
        <v>2.9539999999999998E-5</v>
      </c>
      <c r="G75" s="6">
        <v>4.8599999999999995E-5</v>
      </c>
      <c r="K75" s="5"/>
    </row>
    <row r="76" spans="1:11">
      <c r="A76" s="4">
        <f t="shared" si="6"/>
        <v>2035</v>
      </c>
      <c r="B76" s="4" t="s">
        <v>0</v>
      </c>
      <c r="C76" s="6">
        <v>28872.771742666664</v>
      </c>
      <c r="D76" s="6">
        <v>4.3559999999999996E-5</v>
      </c>
      <c r="E76" s="6">
        <v>2.5819960000000001E-4</v>
      </c>
      <c r="F76" s="6">
        <v>2.9539999999999998E-5</v>
      </c>
      <c r="G76" s="6">
        <v>4.8599999999999995E-5</v>
      </c>
      <c r="K76" s="5"/>
    </row>
    <row r="77" spans="1:11">
      <c r="A77" s="4">
        <f t="shared" si="6"/>
        <v>2036</v>
      </c>
      <c r="B77" s="4" t="s">
        <v>0</v>
      </c>
      <c r="C77" s="6">
        <v>28872.771742666664</v>
      </c>
      <c r="D77" s="6">
        <v>4.3559999999999996E-5</v>
      </c>
      <c r="E77" s="6">
        <v>2.5819960000000001E-4</v>
      </c>
      <c r="F77" s="6">
        <v>2.9539999999999998E-5</v>
      </c>
      <c r="G77" s="6">
        <v>4.8599999999999995E-5</v>
      </c>
      <c r="K77" s="5"/>
    </row>
    <row r="78" spans="1:11">
      <c r="A78" s="4">
        <f t="shared" si="6"/>
        <v>2037</v>
      </c>
      <c r="B78" s="4" t="s">
        <v>0</v>
      </c>
      <c r="C78" s="6">
        <v>28872.771742666664</v>
      </c>
      <c r="D78" s="6">
        <v>4.3559999999999996E-5</v>
      </c>
      <c r="E78" s="6">
        <v>2.5819960000000001E-4</v>
      </c>
      <c r="F78" s="6">
        <v>2.9539999999999998E-5</v>
      </c>
      <c r="G78" s="6">
        <v>4.8599999999999995E-5</v>
      </c>
      <c r="K78" s="5"/>
    </row>
    <row r="79" spans="1:11">
      <c r="A79" s="4">
        <f t="shared" si="6"/>
        <v>2038</v>
      </c>
      <c r="B79" s="4" t="s">
        <v>0</v>
      </c>
      <c r="C79" s="6">
        <v>28872.771742666664</v>
      </c>
      <c r="D79" s="6">
        <v>4.3559999999999996E-5</v>
      </c>
      <c r="E79" s="6">
        <v>2.5819960000000001E-4</v>
      </c>
      <c r="F79" s="6">
        <v>2.9539999999999998E-5</v>
      </c>
      <c r="G79" s="6">
        <v>4.8599999999999995E-5</v>
      </c>
      <c r="K79" s="5"/>
    </row>
    <row r="80" spans="1:11">
      <c r="A80" s="4">
        <f t="shared" si="6"/>
        <v>2039</v>
      </c>
      <c r="B80" s="4" t="s">
        <v>0</v>
      </c>
      <c r="C80" s="6">
        <v>28872.771742666664</v>
      </c>
      <c r="D80" s="6">
        <v>4.3559999999999996E-5</v>
      </c>
      <c r="E80" s="6">
        <v>2.5819960000000001E-4</v>
      </c>
      <c r="F80" s="6">
        <v>2.9539999999999998E-5</v>
      </c>
      <c r="G80" s="6">
        <v>4.8599999999999995E-5</v>
      </c>
      <c r="K80" s="5"/>
    </row>
    <row r="81" spans="1:11">
      <c r="A81" s="4">
        <f t="shared" si="6"/>
        <v>2040</v>
      </c>
      <c r="B81" s="4" t="s">
        <v>0</v>
      </c>
      <c r="C81" s="6">
        <v>28872.771742666664</v>
      </c>
      <c r="D81" s="6">
        <v>4.3559999999999996E-5</v>
      </c>
      <c r="E81" s="6">
        <v>2.5819960000000001E-4</v>
      </c>
      <c r="F81" s="6">
        <v>2.9539999999999998E-5</v>
      </c>
      <c r="G81" s="6">
        <v>4.8599999999999995E-5</v>
      </c>
      <c r="K81" s="5"/>
    </row>
    <row r="82" spans="1:11">
      <c r="A82" s="4">
        <f t="shared" si="6"/>
        <v>2041</v>
      </c>
      <c r="B82" s="4" t="s">
        <v>0</v>
      </c>
      <c r="C82" s="6">
        <v>28872.771742666664</v>
      </c>
      <c r="D82" s="6">
        <v>4.3559999999999996E-5</v>
      </c>
      <c r="E82" s="6">
        <v>2.5819960000000001E-4</v>
      </c>
      <c r="F82" s="6">
        <v>2.9539999999999998E-5</v>
      </c>
      <c r="G82" s="6">
        <v>4.8599999999999995E-5</v>
      </c>
      <c r="K82" s="5"/>
    </row>
    <row r="83" spans="1:11">
      <c r="A83" s="4">
        <f t="shared" si="6"/>
        <v>2042</v>
      </c>
      <c r="B83" s="4" t="s">
        <v>0</v>
      </c>
      <c r="C83" s="6">
        <v>28872.771742666664</v>
      </c>
      <c r="D83" s="6">
        <v>4.3559999999999996E-5</v>
      </c>
      <c r="E83" s="6">
        <v>2.5819960000000001E-4</v>
      </c>
      <c r="F83" s="6">
        <v>2.9539999999999998E-5</v>
      </c>
      <c r="G83" s="6">
        <v>4.8599999999999995E-5</v>
      </c>
      <c r="K83" s="5"/>
    </row>
    <row r="84" spans="1:11">
      <c r="A84" s="4">
        <f t="shared" si="6"/>
        <v>2043</v>
      </c>
      <c r="B84" s="4" t="s">
        <v>0</v>
      </c>
      <c r="C84" s="6">
        <v>28872.771742666664</v>
      </c>
      <c r="D84" s="6">
        <v>4.3559999999999996E-5</v>
      </c>
      <c r="E84" s="6">
        <v>2.5819960000000001E-4</v>
      </c>
      <c r="F84" s="6">
        <v>2.9539999999999998E-5</v>
      </c>
      <c r="G84" s="6">
        <v>4.8599999999999995E-5</v>
      </c>
      <c r="K84" s="5"/>
    </row>
    <row r="85" spans="1:11">
      <c r="A85" s="4">
        <f t="shared" si="6"/>
        <v>2044</v>
      </c>
      <c r="B85" s="4" t="s">
        <v>0</v>
      </c>
      <c r="C85" s="6">
        <v>28872.771742666664</v>
      </c>
      <c r="D85" s="6">
        <v>4.3559999999999996E-5</v>
      </c>
      <c r="E85" s="6">
        <v>2.5819960000000001E-4</v>
      </c>
      <c r="F85" s="6">
        <v>2.9539999999999998E-5</v>
      </c>
      <c r="G85" s="6">
        <v>4.8599999999999995E-5</v>
      </c>
      <c r="K85" s="5"/>
    </row>
    <row r="86" spans="1:11">
      <c r="A86" s="4">
        <f t="shared" si="6"/>
        <v>2045</v>
      </c>
      <c r="B86" s="4" t="s">
        <v>0</v>
      </c>
      <c r="C86" s="6">
        <v>28872.771742666664</v>
      </c>
      <c r="D86" s="6">
        <v>4.3559999999999996E-5</v>
      </c>
      <c r="E86" s="6">
        <v>2.5819960000000001E-4</v>
      </c>
      <c r="F86" s="6">
        <v>2.9539999999999998E-5</v>
      </c>
      <c r="G86" s="6">
        <v>4.8599999999999995E-5</v>
      </c>
      <c r="K86" s="5"/>
    </row>
    <row r="87" spans="1:11">
      <c r="A87" s="4">
        <f t="shared" si="6"/>
        <v>2046</v>
      </c>
      <c r="B87" s="4" t="s">
        <v>0</v>
      </c>
      <c r="C87" s="6">
        <v>28872.771742666664</v>
      </c>
      <c r="D87" s="6">
        <v>4.3559999999999996E-5</v>
      </c>
      <c r="E87" s="6">
        <v>2.5819960000000001E-4</v>
      </c>
      <c r="F87" s="6">
        <v>2.9539999999999998E-5</v>
      </c>
      <c r="G87" s="6">
        <v>4.8599999999999995E-5</v>
      </c>
      <c r="K87" s="5"/>
    </row>
    <row r="88" spans="1:11">
      <c r="A88" s="4">
        <f t="shared" si="6"/>
        <v>2047</v>
      </c>
      <c r="B88" s="4" t="s">
        <v>0</v>
      </c>
      <c r="C88" s="6">
        <v>28872.771742666664</v>
      </c>
      <c r="D88" s="6">
        <v>4.3559999999999996E-5</v>
      </c>
      <c r="E88" s="6">
        <v>2.5819960000000001E-4</v>
      </c>
      <c r="F88" s="6">
        <v>2.9539999999999998E-5</v>
      </c>
      <c r="G88" s="6">
        <v>4.8599999999999995E-5</v>
      </c>
      <c r="K88" s="5"/>
    </row>
    <row r="89" spans="1:11">
      <c r="A89" s="4">
        <f t="shared" si="6"/>
        <v>2048</v>
      </c>
      <c r="B89" s="4" t="s">
        <v>0</v>
      </c>
      <c r="C89" s="6">
        <v>28872.771742666664</v>
      </c>
      <c r="D89" s="6">
        <v>4.3559999999999996E-5</v>
      </c>
      <c r="E89" s="6">
        <v>2.5819960000000001E-4</v>
      </c>
      <c r="F89" s="6">
        <v>2.9539999999999998E-5</v>
      </c>
      <c r="G89" s="6">
        <v>4.8599999999999995E-5</v>
      </c>
      <c r="K89" s="5"/>
    </row>
    <row r="90" spans="1:11">
      <c r="A90" s="4">
        <f t="shared" si="6"/>
        <v>2049</v>
      </c>
      <c r="B90" s="4" t="s">
        <v>0</v>
      </c>
      <c r="C90" s="6">
        <v>28872.771742666664</v>
      </c>
      <c r="D90" s="6">
        <v>4.3559999999999996E-5</v>
      </c>
      <c r="E90" s="6">
        <v>2.5819960000000001E-4</v>
      </c>
      <c r="F90" s="6">
        <v>2.9539999999999998E-5</v>
      </c>
      <c r="G90" s="6">
        <v>4.8599999999999995E-5</v>
      </c>
      <c r="K90" s="5"/>
    </row>
    <row r="91" spans="1:11">
      <c r="A91" s="4">
        <f t="shared" si="6"/>
        <v>2050</v>
      </c>
      <c r="B91" s="4" t="s">
        <v>0</v>
      </c>
      <c r="C91" s="6">
        <v>28872.771742666664</v>
      </c>
      <c r="D91" s="6">
        <v>4.3559999999999996E-5</v>
      </c>
      <c r="E91" s="6">
        <v>2.5819960000000001E-4</v>
      </c>
      <c r="F91" s="6">
        <v>2.9539999999999998E-5</v>
      </c>
      <c r="G91" s="6">
        <v>4.8599999999999995E-5</v>
      </c>
      <c r="K91" s="5"/>
    </row>
    <row r="92" spans="1:11">
      <c r="C9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4"/>
  <sheetViews>
    <sheetView tabSelected="1" topLeftCell="A46" workbookViewId="0">
      <selection activeCell="C48" sqref="C48:G91"/>
    </sheetView>
  </sheetViews>
  <sheetFormatPr defaultRowHeight="15"/>
  <cols>
    <col min="4" max="7" width="12" bestFit="1" customWidth="1"/>
  </cols>
  <sheetData>
    <row r="1" spans="1:14">
      <c r="A1" s="3" t="s">
        <v>1</v>
      </c>
      <c r="B1" s="3" t="s">
        <v>2</v>
      </c>
      <c r="C1" s="3" t="s">
        <v>7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4">
      <c r="A2" s="3">
        <v>1961</v>
      </c>
      <c r="B2" t="s">
        <v>8</v>
      </c>
      <c r="C2" s="3">
        <v>2304.1776209999998</v>
      </c>
      <c r="D2">
        <v>9.8600000000000005E-6</v>
      </c>
      <c r="E2">
        <v>6.3399999999999996E-5</v>
      </c>
      <c r="F2">
        <v>6.5200000000000003E-6</v>
      </c>
      <c r="G2">
        <v>1.9400000000000001E-6</v>
      </c>
    </row>
    <row r="3" spans="1:14">
      <c r="A3" s="3">
        <v>1962</v>
      </c>
      <c r="B3" s="3" t="s">
        <v>8</v>
      </c>
      <c r="C3" s="3">
        <v>2387.750219</v>
      </c>
      <c r="D3">
        <v>1.0200000000000001E-5</v>
      </c>
      <c r="E3">
        <v>6.3499999999999999E-5</v>
      </c>
      <c r="F3">
        <v>6.7800000000000003E-6</v>
      </c>
      <c r="G3">
        <v>2.0200000000000001E-6</v>
      </c>
      <c r="J3" s="6"/>
      <c r="M3" s="1"/>
    </row>
    <row r="4" spans="1:14">
      <c r="A4" s="3">
        <v>1963</v>
      </c>
      <c r="B4" s="3" t="s">
        <v>8</v>
      </c>
      <c r="C4" s="3">
        <v>2427.8045950000001</v>
      </c>
      <c r="D4">
        <v>1.03E-5</v>
      </c>
      <c r="E4">
        <v>6.4599999999999998E-5</v>
      </c>
      <c r="F4">
        <v>7.25E-6</v>
      </c>
      <c r="G4">
        <v>2.0999999999999998E-6</v>
      </c>
      <c r="J4" s="6"/>
      <c r="M4" s="1"/>
    </row>
    <row r="5" spans="1:14">
      <c r="A5" s="3">
        <v>1964</v>
      </c>
      <c r="B5" s="3" t="s">
        <v>8</v>
      </c>
      <c r="C5" s="3">
        <v>2373.2441450000001</v>
      </c>
      <c r="D5">
        <v>1.012E-5</v>
      </c>
      <c r="E5">
        <v>6.3833333333333331E-5</v>
      </c>
      <c r="F5">
        <v>6.8500000000000005E-6</v>
      </c>
      <c r="G5">
        <v>2.0199999999999997E-6</v>
      </c>
      <c r="J5" s="6"/>
      <c r="K5" s="6"/>
      <c r="L5" s="6"/>
      <c r="M5" s="6"/>
      <c r="N5" s="6"/>
    </row>
    <row r="6" spans="1:14">
      <c r="A6" s="3">
        <v>1965</v>
      </c>
      <c r="B6" s="3" t="s">
        <v>8</v>
      </c>
      <c r="C6" s="3">
        <v>2462.548558</v>
      </c>
      <c r="D6">
        <v>1.0166666666666667E-5</v>
      </c>
      <c r="E6">
        <v>6.3999999999999997E-5</v>
      </c>
      <c r="F6">
        <v>7.089999999999999E-6</v>
      </c>
      <c r="G6">
        <v>2.0866666666666665E-6</v>
      </c>
      <c r="I6" s="6"/>
      <c r="J6" s="6"/>
      <c r="K6" s="6"/>
      <c r="L6" s="6"/>
      <c r="M6" s="6"/>
    </row>
    <row r="7" spans="1:14">
      <c r="A7" s="3">
        <v>1966</v>
      </c>
      <c r="B7" s="3" t="s">
        <v>8</v>
      </c>
      <c r="C7" s="3">
        <v>2391.1050276000001</v>
      </c>
      <c r="D7">
        <v>1.0129333333333333E-5</v>
      </c>
      <c r="E7">
        <v>6.3866666666666656E-5</v>
      </c>
      <c r="F7">
        <v>6.8980000000000007E-6</v>
      </c>
      <c r="G7">
        <v>2.0333333333333331E-6</v>
      </c>
      <c r="I7" s="6"/>
      <c r="J7" s="6"/>
      <c r="K7" s="6"/>
      <c r="L7" s="6"/>
      <c r="M7" s="6"/>
    </row>
    <row r="8" spans="1:14">
      <c r="A8" s="3">
        <v>1967</v>
      </c>
      <c r="B8" s="3" t="s">
        <v>8</v>
      </c>
      <c r="C8" s="3">
        <v>2408.4905089200001</v>
      </c>
      <c r="D8">
        <v>1.0183199999999999E-5</v>
      </c>
      <c r="E8">
        <v>6.3959999999999991E-5</v>
      </c>
      <c r="F8">
        <v>6.9735999999999996E-6</v>
      </c>
      <c r="G8">
        <v>2.0519999999999996E-6</v>
      </c>
      <c r="I8" s="6"/>
      <c r="J8" s="6"/>
      <c r="K8" s="6"/>
      <c r="L8" s="6"/>
      <c r="M8" s="6"/>
    </row>
    <row r="9" spans="1:14">
      <c r="A9" s="3">
        <v>1968</v>
      </c>
      <c r="B9" s="3" t="s">
        <v>8</v>
      </c>
      <c r="C9" s="3">
        <v>2418.9565435733334</v>
      </c>
      <c r="D9">
        <v>1.0178666666666666E-5</v>
      </c>
      <c r="E9">
        <v>6.4045333333333335E-5</v>
      </c>
      <c r="F9">
        <v>7.0363999999999992E-6</v>
      </c>
      <c r="G9">
        <v>2.0640000000000001E-6</v>
      </c>
      <c r="I9" s="6"/>
      <c r="J9" s="6"/>
      <c r="K9" s="6"/>
      <c r="L9" s="6"/>
      <c r="M9" s="6"/>
    </row>
    <row r="10" spans="1:14">
      <c r="A10" s="3">
        <v>1969</v>
      </c>
      <c r="B10" s="3" t="s">
        <v>8</v>
      </c>
      <c r="C10" s="3">
        <v>2431.8439673733328</v>
      </c>
      <c r="D10">
        <v>1.01488E-5</v>
      </c>
      <c r="E10">
        <v>6.3909333333333321E-5</v>
      </c>
      <c r="F10">
        <v>7.0470666666666664E-6</v>
      </c>
      <c r="G10">
        <v>2.0694666666666664E-6</v>
      </c>
      <c r="I10" s="6"/>
      <c r="J10" s="6"/>
      <c r="K10" s="6"/>
      <c r="L10" s="6"/>
      <c r="M10" s="6"/>
    </row>
    <row r="11" spans="1:14">
      <c r="A11" s="3">
        <v>1970</v>
      </c>
      <c r="B11" s="3" t="s">
        <v>8</v>
      </c>
      <c r="C11" s="3">
        <v>2466.8090319600001</v>
      </c>
      <c r="D11">
        <v>1.0152266666666666E-5</v>
      </c>
      <c r="E11">
        <v>6.3900000000000008E-5</v>
      </c>
      <c r="F11">
        <v>7.1749333333333331E-6</v>
      </c>
      <c r="G11">
        <v>2.1013333333333331E-6</v>
      </c>
      <c r="I11" s="6"/>
      <c r="J11" s="6"/>
      <c r="K11" s="6"/>
      <c r="L11" s="6"/>
      <c r="M11" s="6"/>
    </row>
    <row r="12" spans="1:14">
      <c r="A12" s="3">
        <v>1971</v>
      </c>
      <c r="B12" s="3" t="s">
        <v>8</v>
      </c>
      <c r="C12" s="3">
        <v>2500.1375176266665</v>
      </c>
      <c r="D12">
        <v>1.0160266666666668E-5</v>
      </c>
      <c r="E12">
        <v>6.3913333333333317E-5</v>
      </c>
      <c r="F12">
        <v>7.3110666666666668E-6</v>
      </c>
      <c r="G12">
        <v>2.1369333333333332E-6</v>
      </c>
      <c r="I12" s="6"/>
      <c r="J12" s="6"/>
      <c r="K12" s="6"/>
      <c r="L12" s="6"/>
      <c r="M12" s="6"/>
    </row>
    <row r="13" spans="1:14">
      <c r="A13" s="3">
        <v>1972</v>
      </c>
      <c r="B13" s="3" t="s">
        <v>8</v>
      </c>
      <c r="C13" s="3">
        <v>2563.5857974133332</v>
      </c>
      <c r="D13">
        <v>1.0195733333333335E-5</v>
      </c>
      <c r="E13">
        <v>6.403999999999999E-5</v>
      </c>
      <c r="F13">
        <v>7.5291999999999998E-6</v>
      </c>
      <c r="G13">
        <v>2.202133333333333E-6</v>
      </c>
      <c r="I13" s="6"/>
      <c r="J13" s="6"/>
      <c r="K13" s="6"/>
      <c r="L13" s="6"/>
      <c r="M13" s="6"/>
    </row>
    <row r="14" spans="1:14">
      <c r="A14" s="3">
        <v>1973</v>
      </c>
      <c r="B14" s="3" t="s">
        <v>8</v>
      </c>
      <c r="C14" s="3">
        <v>2633.8637673733333</v>
      </c>
      <c r="D14">
        <v>1.0246933333333334E-5</v>
      </c>
      <c r="E14">
        <v>6.4267999999999988E-5</v>
      </c>
      <c r="F14">
        <v>7.7326666666666646E-6</v>
      </c>
      <c r="G14">
        <v>2.2797333333333334E-6</v>
      </c>
      <c r="I14" s="6"/>
      <c r="J14" s="6"/>
      <c r="K14" s="6"/>
      <c r="L14" s="6"/>
      <c r="M14" s="6"/>
    </row>
    <row r="15" spans="1:14">
      <c r="A15" s="3">
        <v>1974</v>
      </c>
      <c r="B15" s="3" t="s">
        <v>8</v>
      </c>
      <c r="C15" s="3">
        <v>2710.30740332</v>
      </c>
      <c r="D15">
        <v>1.0326133333333333E-5</v>
      </c>
      <c r="E15">
        <v>6.4613333333333334E-5</v>
      </c>
      <c r="F15">
        <v>7.9118666666666662E-6</v>
      </c>
      <c r="G15">
        <v>2.3727999999999995E-6</v>
      </c>
      <c r="I15" s="6"/>
      <c r="J15" s="6"/>
      <c r="K15" s="6"/>
      <c r="L15" s="6"/>
      <c r="M15" s="6"/>
    </row>
    <row r="16" spans="1:14">
      <c r="A16" s="3">
        <v>1975</v>
      </c>
      <c r="B16" s="3" t="s">
        <v>8</v>
      </c>
      <c r="C16" s="3">
        <v>2793.7297947733337</v>
      </c>
      <c r="D16">
        <v>1.0417333333333333E-5</v>
      </c>
      <c r="E16">
        <v>6.5067999999999994E-5</v>
      </c>
      <c r="F16">
        <v>8.0725333333333311E-6</v>
      </c>
      <c r="G16">
        <v>2.4831999999999994E-6</v>
      </c>
      <c r="I16" s="6"/>
      <c r="J16" s="6"/>
      <c r="K16" s="6"/>
      <c r="L16" s="6"/>
      <c r="M16" s="6"/>
    </row>
    <row r="17" spans="1:13">
      <c r="A17" s="3">
        <v>1976</v>
      </c>
      <c r="B17" s="3" t="s">
        <v>8</v>
      </c>
      <c r="C17" s="3">
        <v>2880.8306385066667</v>
      </c>
      <c r="D17">
        <v>1.0489333333333331E-5</v>
      </c>
      <c r="E17">
        <v>6.5474666666666658E-5</v>
      </c>
      <c r="F17">
        <v>8.2072000000000017E-6</v>
      </c>
      <c r="G17">
        <v>2.6067999999999998E-6</v>
      </c>
      <c r="I17" s="6"/>
      <c r="J17" s="6"/>
      <c r="K17" s="6"/>
      <c r="L17" s="6"/>
      <c r="M17" s="6"/>
    </row>
    <row r="18" spans="1:13">
      <c r="A18" s="3">
        <v>1977</v>
      </c>
      <c r="B18" s="3" t="s">
        <v>8</v>
      </c>
      <c r="C18" s="3">
        <v>2971.9830122533335</v>
      </c>
      <c r="D18">
        <v>1.0529333333333333E-5</v>
      </c>
      <c r="E18">
        <v>6.5777333333333338E-5</v>
      </c>
      <c r="F18">
        <v>8.336533333333334E-6</v>
      </c>
      <c r="G18">
        <v>2.7430666666666666E-6</v>
      </c>
      <c r="I18" s="6"/>
      <c r="J18" s="6"/>
      <c r="K18" s="6"/>
      <c r="L18" s="6"/>
      <c r="M18" s="6"/>
    </row>
    <row r="19" spans="1:13">
      <c r="A19" s="3">
        <v>1978</v>
      </c>
      <c r="B19" s="3" t="s">
        <v>8</v>
      </c>
      <c r="C19" s="3">
        <v>3064.0791293333327</v>
      </c>
      <c r="D19">
        <v>1.0535999999999999E-5</v>
      </c>
      <c r="E19">
        <v>6.5950666666666658E-5</v>
      </c>
      <c r="F19">
        <v>8.4831999999999987E-6</v>
      </c>
      <c r="G19">
        <v>2.8873333333333333E-6</v>
      </c>
      <c r="I19" s="6"/>
      <c r="J19" s="6"/>
      <c r="K19" s="6"/>
      <c r="L19" s="6"/>
      <c r="M19" s="6"/>
    </row>
    <row r="20" spans="1:13">
      <c r="A20" s="3">
        <v>1979</v>
      </c>
      <c r="B20" s="3" t="s">
        <v>8</v>
      </c>
      <c r="C20" s="3">
        <v>3155.0228256666664</v>
      </c>
      <c r="D20">
        <v>1.0524E-5</v>
      </c>
      <c r="E20">
        <v>6.6038666666666662E-5</v>
      </c>
      <c r="F20">
        <v>8.6457333333333343E-6</v>
      </c>
      <c r="G20">
        <v>3.0336000000000001E-6</v>
      </c>
      <c r="I20" s="6"/>
      <c r="J20" s="6"/>
      <c r="K20" s="6"/>
      <c r="L20" s="6"/>
      <c r="M20" s="6"/>
    </row>
    <row r="21" spans="1:13">
      <c r="A21" s="3">
        <v>1980</v>
      </c>
      <c r="B21" s="3" t="s">
        <v>8</v>
      </c>
      <c r="C21" s="3">
        <v>3242.3678461733334</v>
      </c>
      <c r="D21">
        <v>1.0519999999999998E-5</v>
      </c>
      <c r="E21">
        <v>6.6099999999999994E-5</v>
      </c>
      <c r="F21">
        <v>8.8052E-6</v>
      </c>
      <c r="G21">
        <v>3.177333333333333E-6</v>
      </c>
      <c r="I21" s="6"/>
      <c r="J21" s="6"/>
      <c r="K21" s="6"/>
      <c r="L21" s="6"/>
      <c r="M21" s="6"/>
    </row>
    <row r="22" spans="1:13">
      <c r="A22" s="3">
        <v>1981</v>
      </c>
      <c r="B22" s="3" t="s">
        <v>8</v>
      </c>
      <c r="C22" s="3">
        <v>3323.8695238133341</v>
      </c>
      <c r="D22">
        <v>1.0546666666666667E-5</v>
      </c>
      <c r="E22">
        <v>6.6250666666666679E-5</v>
      </c>
      <c r="F22">
        <v>8.9376000000000006E-6</v>
      </c>
      <c r="G22">
        <v>3.317333333333333E-6</v>
      </c>
      <c r="I22" s="6"/>
      <c r="J22" s="6"/>
      <c r="K22" s="6"/>
      <c r="L22" s="6"/>
      <c r="M22" s="6"/>
    </row>
    <row r="23" spans="1:13">
      <c r="A23" s="3">
        <v>1982</v>
      </c>
      <c r="B23" s="3" t="s">
        <v>8</v>
      </c>
      <c r="C23" s="3">
        <v>3399.1232719333334</v>
      </c>
      <c r="D23">
        <v>1.0608000000000001E-5</v>
      </c>
      <c r="E23">
        <v>6.6521333333333343E-5</v>
      </c>
      <c r="F23">
        <v>9.0442666666666674E-6</v>
      </c>
      <c r="G23">
        <v>3.4554666666666668E-6</v>
      </c>
      <c r="I23" s="6"/>
      <c r="J23" s="6"/>
      <c r="K23" s="6"/>
      <c r="L23" s="6"/>
      <c r="M23" s="6"/>
    </row>
    <row r="24" spans="1:13">
      <c r="A24" s="3">
        <v>1983</v>
      </c>
      <c r="B24" s="3" t="s">
        <v>8</v>
      </c>
      <c r="C24" s="3">
        <v>3470.2585613466667</v>
      </c>
      <c r="D24">
        <v>1.0690666666666666E-5</v>
      </c>
      <c r="E24">
        <v>6.6910666666666676E-5</v>
      </c>
      <c r="F24">
        <v>9.1410666666666662E-6</v>
      </c>
      <c r="G24">
        <v>3.5977333333333333E-6</v>
      </c>
      <c r="I24" s="6"/>
      <c r="J24" s="6"/>
      <c r="K24" s="6"/>
      <c r="L24" s="6"/>
      <c r="M24" s="6"/>
    </row>
    <row r="25" spans="1:13">
      <c r="A25" s="3">
        <v>1984</v>
      </c>
      <c r="B25" s="3" t="s">
        <v>8</v>
      </c>
      <c r="C25" s="3">
        <v>3538.4533251466673</v>
      </c>
      <c r="D25">
        <v>1.0769333333333334E-5</v>
      </c>
      <c r="E25">
        <v>6.7336000000000007E-5</v>
      </c>
      <c r="F25">
        <v>9.2509333333333332E-6</v>
      </c>
      <c r="G25">
        <v>3.7509333333333338E-6</v>
      </c>
      <c r="I25" s="6"/>
      <c r="J25" s="6"/>
      <c r="K25" s="6"/>
      <c r="L25" s="6"/>
      <c r="M25" s="6"/>
    </row>
    <row r="26" spans="1:13">
      <c r="A26" s="3">
        <v>1985</v>
      </c>
      <c r="B26" s="3" t="s">
        <v>8</v>
      </c>
      <c r="C26" s="3">
        <v>3601.4827657466667</v>
      </c>
      <c r="D26">
        <v>1.082E-5</v>
      </c>
      <c r="E26">
        <v>6.7749333333333325E-5</v>
      </c>
      <c r="F26">
        <v>9.3984000000000014E-6</v>
      </c>
      <c r="G26">
        <v>3.9174666666666668E-6</v>
      </c>
      <c r="I26" s="6"/>
      <c r="J26" s="6"/>
      <c r="K26" s="6"/>
      <c r="L26" s="6"/>
      <c r="M26" s="6"/>
    </row>
    <row r="27" spans="1:13">
      <c r="A27" s="3">
        <v>1986</v>
      </c>
      <c r="B27" s="3" t="s">
        <v>8</v>
      </c>
      <c r="C27" s="3">
        <v>3656.6314900266671</v>
      </c>
      <c r="D27">
        <v>1.0827999999999999E-5</v>
      </c>
      <c r="E27">
        <v>6.8085333333333344E-5</v>
      </c>
      <c r="F27">
        <v>9.5962666666666665E-6</v>
      </c>
      <c r="G27">
        <v>4.0928E-6</v>
      </c>
      <c r="I27" s="6"/>
      <c r="J27" s="6"/>
      <c r="K27" s="6"/>
      <c r="L27" s="6"/>
      <c r="M27" s="6"/>
    </row>
    <row r="28" spans="1:13">
      <c r="A28" s="3">
        <v>1987</v>
      </c>
      <c r="B28" s="3" t="s">
        <v>8</v>
      </c>
      <c r="C28" s="3">
        <v>3703.6251772400005</v>
      </c>
      <c r="D28">
        <v>1.0797333333333333E-5</v>
      </c>
      <c r="E28">
        <v>6.8333333333333332E-5</v>
      </c>
      <c r="F28">
        <v>9.8276000000000023E-6</v>
      </c>
      <c r="G28">
        <v>4.2658666666666675E-6</v>
      </c>
      <c r="I28" s="6"/>
      <c r="J28" s="6"/>
      <c r="K28" s="6"/>
      <c r="L28" s="6"/>
      <c r="M28" s="6"/>
    </row>
    <row r="29" spans="1:13">
      <c r="A29" s="3">
        <v>1988</v>
      </c>
      <c r="B29" s="3" t="s">
        <v>8</v>
      </c>
      <c r="C29" s="3">
        <v>3743.7547008266674</v>
      </c>
      <c r="D29">
        <v>1.0741333333333332E-5</v>
      </c>
      <c r="E29">
        <v>6.8511999999999997E-5</v>
      </c>
      <c r="F29">
        <v>1.0063200000000002E-5</v>
      </c>
      <c r="G29">
        <v>4.4258666666666669E-6</v>
      </c>
      <c r="I29" s="6"/>
      <c r="J29" s="6"/>
      <c r="K29" s="6"/>
      <c r="L29" s="6"/>
      <c r="M29" s="6"/>
    </row>
    <row r="30" spans="1:13">
      <c r="A30" s="3">
        <v>1989</v>
      </c>
      <c r="B30" s="3" t="s">
        <v>8</v>
      </c>
      <c r="C30" s="3">
        <v>3779.7864756533331</v>
      </c>
      <c r="D30">
        <v>1.0682666666666667E-5</v>
      </c>
      <c r="E30">
        <v>6.868E-5</v>
      </c>
      <c r="F30">
        <v>1.0284266666666669E-5</v>
      </c>
      <c r="G30">
        <v>4.5658666666666672E-6</v>
      </c>
      <c r="I30" s="6"/>
      <c r="J30" s="6"/>
      <c r="K30" s="6"/>
      <c r="L30" s="6"/>
      <c r="M30" s="6"/>
    </row>
    <row r="31" spans="1:13">
      <c r="A31" s="3">
        <v>1990</v>
      </c>
      <c r="B31" s="3" t="s">
        <v>8</v>
      </c>
      <c r="C31" s="3">
        <v>3817.3782652133332</v>
      </c>
      <c r="D31">
        <v>1.0638666666666665E-5</v>
      </c>
      <c r="E31">
        <v>6.8881333333333327E-5</v>
      </c>
      <c r="F31">
        <v>1.0488133333333336E-5</v>
      </c>
      <c r="G31">
        <v>4.6887999999999999E-6</v>
      </c>
      <c r="I31" s="6"/>
      <c r="J31" s="6"/>
      <c r="K31" s="6"/>
      <c r="L31" s="6"/>
      <c r="M31" s="6"/>
    </row>
    <row r="32" spans="1:13">
      <c r="A32" s="3">
        <v>1991</v>
      </c>
      <c r="B32" s="3" t="s">
        <v>8</v>
      </c>
      <c r="C32" s="3">
        <v>3862.2586931733335</v>
      </c>
      <c r="D32">
        <v>1.0622666666666666E-5</v>
      </c>
      <c r="E32">
        <v>6.9132000000000002E-5</v>
      </c>
      <c r="F32">
        <v>1.0681066666666667E-5</v>
      </c>
      <c r="G32">
        <v>4.8037333333333337E-6</v>
      </c>
      <c r="I32" s="6"/>
      <c r="J32" s="6"/>
      <c r="K32" s="6"/>
      <c r="L32" s="6"/>
      <c r="M32" s="6"/>
    </row>
    <row r="33" spans="1:13">
      <c r="A33" s="3">
        <v>1992</v>
      </c>
      <c r="B33" s="3" t="s">
        <v>8</v>
      </c>
      <c r="C33" s="3">
        <v>3916.3457702666665</v>
      </c>
      <c r="D33">
        <v>1.0634666666666665E-5</v>
      </c>
      <c r="E33">
        <v>6.942000000000001E-5</v>
      </c>
      <c r="F33">
        <v>1.0874666666666668E-5</v>
      </c>
      <c r="G33">
        <v>4.9232000000000006E-6</v>
      </c>
      <c r="I33" s="6"/>
      <c r="J33" s="6"/>
      <c r="K33" s="6"/>
      <c r="L33" s="6"/>
      <c r="M33" s="6"/>
    </row>
    <row r="34" spans="1:13">
      <c r="A34" s="3">
        <v>1993</v>
      </c>
      <c r="B34" s="3" t="s">
        <v>8</v>
      </c>
      <c r="C34" s="3">
        <v>3977.7942539199998</v>
      </c>
      <c r="D34">
        <v>1.0671999999999999E-5</v>
      </c>
      <c r="E34">
        <v>6.9674666666666665E-5</v>
      </c>
      <c r="F34">
        <v>1.1076E-5</v>
      </c>
      <c r="G34">
        <v>5.0576000000000005E-6</v>
      </c>
      <c r="I34" s="6"/>
      <c r="J34" s="6"/>
      <c r="K34" s="6"/>
      <c r="L34" s="6"/>
      <c r="M34" s="6"/>
    </row>
    <row r="35" spans="1:13">
      <c r="A35" s="3">
        <v>1994</v>
      </c>
      <c r="B35" s="3" t="s">
        <v>8</v>
      </c>
      <c r="C35" s="3">
        <v>4042.5265872800001</v>
      </c>
      <c r="D35">
        <v>1.0722666666666665E-5</v>
      </c>
      <c r="E35">
        <v>6.9812000000000015E-5</v>
      </c>
      <c r="F35">
        <v>1.1284000000000001E-5</v>
      </c>
      <c r="G35">
        <v>5.2116000000000002E-6</v>
      </c>
      <c r="I35" s="6"/>
      <c r="J35" s="6"/>
      <c r="K35" s="6"/>
      <c r="L35" s="6"/>
      <c r="M35" s="6"/>
    </row>
    <row r="36" spans="1:13">
      <c r="A36" s="3">
        <v>1995</v>
      </c>
      <c r="B36" s="3" t="s">
        <v>8</v>
      </c>
      <c r="C36" s="3">
        <v>4106.0649347066665</v>
      </c>
      <c r="D36">
        <v>1.0774666666666667E-5</v>
      </c>
      <c r="E36">
        <v>6.9744000000000002E-5</v>
      </c>
      <c r="F36">
        <v>1.1492000000000001E-5</v>
      </c>
      <c r="G36">
        <v>5.3824000000000003E-6</v>
      </c>
      <c r="I36" s="6"/>
      <c r="J36" s="6"/>
      <c r="K36" s="6"/>
      <c r="L36" s="6"/>
      <c r="M36" s="6"/>
    </row>
    <row r="37" spans="1:13">
      <c r="A37" s="3">
        <v>1996</v>
      </c>
      <c r="B37" s="3" t="s">
        <v>8</v>
      </c>
      <c r="C37" s="3">
        <v>4163.0611634933339</v>
      </c>
      <c r="D37">
        <v>1.0812000000000001E-5</v>
      </c>
      <c r="E37">
        <v>6.9469333333333343E-5</v>
      </c>
      <c r="F37">
        <v>1.1693333333333334E-5</v>
      </c>
      <c r="G37">
        <v>5.5647999999999996E-6</v>
      </c>
      <c r="I37" s="6"/>
      <c r="J37" s="6"/>
      <c r="K37" s="6"/>
      <c r="L37" s="6"/>
      <c r="M37" s="6"/>
    </row>
    <row r="38" spans="1:13">
      <c r="A38" s="3">
        <v>1997</v>
      </c>
      <c r="B38" s="3" t="s">
        <v>8</v>
      </c>
      <c r="C38" s="3">
        <v>4211.1665955466669</v>
      </c>
      <c r="D38">
        <v>1.0826666666666667E-5</v>
      </c>
      <c r="E38">
        <v>6.9010666666666673E-5</v>
      </c>
      <c r="F38">
        <v>1.1884E-5</v>
      </c>
      <c r="G38">
        <v>5.7600000000000008E-6</v>
      </c>
      <c r="I38" s="6"/>
      <c r="J38" s="6"/>
      <c r="K38" s="6"/>
      <c r="L38" s="6"/>
      <c r="M38" s="6"/>
    </row>
    <row r="39" spans="1:13">
      <c r="A39" s="3">
        <v>1998</v>
      </c>
      <c r="B39" s="3" t="s">
        <v>8</v>
      </c>
      <c r="C39" s="3">
        <v>4252.0625275333332</v>
      </c>
      <c r="D39">
        <v>1.0813333333333334E-5</v>
      </c>
      <c r="E39">
        <v>6.8474666666666677E-5</v>
      </c>
      <c r="F39">
        <v>1.2066666666666666E-5</v>
      </c>
      <c r="G39">
        <v>5.9748000000000008E-6</v>
      </c>
      <c r="I39" s="6"/>
      <c r="J39" s="6"/>
      <c r="K39" s="6"/>
      <c r="L39" s="6"/>
      <c r="M39" s="6"/>
    </row>
    <row r="40" spans="1:13">
      <c r="A40" s="3">
        <v>1999</v>
      </c>
      <c r="B40" s="3" t="s">
        <v>8</v>
      </c>
      <c r="C40" s="3">
        <v>4291.7068408133327</v>
      </c>
      <c r="D40">
        <v>1.0772000000000001E-5</v>
      </c>
      <c r="E40">
        <v>6.7984000000000019E-5</v>
      </c>
      <c r="F40">
        <v>1.2246666666666667E-5</v>
      </c>
      <c r="G40">
        <v>6.2132000000000009E-6</v>
      </c>
      <c r="I40" s="6"/>
      <c r="J40" s="6"/>
      <c r="K40" s="6"/>
      <c r="L40" s="6"/>
      <c r="M40" s="6"/>
    </row>
    <row r="41" spans="1:13">
      <c r="A41" s="3">
        <v>2000</v>
      </c>
      <c r="B41" s="3" t="s">
        <v>8</v>
      </c>
      <c r="C41" s="3">
        <v>4336.0439848533333</v>
      </c>
      <c r="D41">
        <v>1.0710666666666667E-5</v>
      </c>
      <c r="E41">
        <v>6.7690666666666665E-5</v>
      </c>
      <c r="F41">
        <v>1.2426666666666666E-5</v>
      </c>
      <c r="G41">
        <v>6.4784000000000005E-6</v>
      </c>
      <c r="I41" s="6"/>
      <c r="J41" s="6"/>
      <c r="K41" s="6"/>
      <c r="L41" s="6"/>
      <c r="M41" s="6"/>
    </row>
    <row r="42" spans="1:13">
      <c r="A42" s="3">
        <v>2001</v>
      </c>
      <c r="B42" s="3" t="s">
        <v>8</v>
      </c>
      <c r="C42" s="3">
        <v>4389.8489764133328</v>
      </c>
      <c r="D42">
        <v>1.0644E-5</v>
      </c>
      <c r="E42">
        <v>6.7638666666666673E-5</v>
      </c>
      <c r="F42">
        <v>1.2610666666666666E-5</v>
      </c>
      <c r="G42">
        <v>6.7689333333333339E-6</v>
      </c>
      <c r="I42" s="6"/>
      <c r="J42" s="6"/>
      <c r="K42" s="6"/>
      <c r="L42" s="6"/>
      <c r="M42" s="6"/>
    </row>
    <row r="43" spans="1:13">
      <c r="A43" s="3">
        <v>2002</v>
      </c>
      <c r="B43" s="3" t="s">
        <v>8</v>
      </c>
      <c r="C43" s="3">
        <v>4454.6839786</v>
      </c>
      <c r="D43">
        <v>1.0584000000000001E-5</v>
      </c>
      <c r="E43">
        <v>6.7842666666666674E-5</v>
      </c>
      <c r="F43">
        <v>1.2802666666666667E-5</v>
      </c>
      <c r="G43">
        <v>7.0801333333333336E-6</v>
      </c>
      <c r="I43" s="6"/>
      <c r="J43" s="6"/>
      <c r="K43" s="6"/>
      <c r="L43" s="6"/>
      <c r="M43" s="6"/>
    </row>
    <row r="44" spans="1:13">
      <c r="A44" s="3">
        <v>2003</v>
      </c>
      <c r="B44" s="3" t="s">
        <v>8</v>
      </c>
      <c r="C44" s="3">
        <v>4529.8442626133328</v>
      </c>
      <c r="D44">
        <v>1.0534666666666666E-5</v>
      </c>
      <c r="E44">
        <v>6.8218666666666658E-5</v>
      </c>
      <c r="F44">
        <v>1.3002666666666667E-5</v>
      </c>
      <c r="G44">
        <v>7.3976000000000001E-6</v>
      </c>
      <c r="I44" s="6"/>
      <c r="J44" s="6"/>
      <c r="K44" s="6"/>
      <c r="L44" s="6"/>
      <c r="M44" s="6"/>
    </row>
    <row r="45" spans="1:13">
      <c r="A45" s="3">
        <v>2004</v>
      </c>
      <c r="B45" s="3" t="s">
        <v>8</v>
      </c>
      <c r="C45" s="3">
        <v>4611.9084758666668</v>
      </c>
      <c r="D45">
        <v>1.0495999999999999E-5</v>
      </c>
      <c r="E45">
        <v>6.8689333333333326E-5</v>
      </c>
      <c r="F45">
        <v>1.3206666666666667E-5</v>
      </c>
      <c r="G45">
        <v>7.7155999999999994E-6</v>
      </c>
      <c r="I45" s="6"/>
      <c r="J45" s="6"/>
      <c r="K45" s="6"/>
      <c r="L45" s="6"/>
      <c r="M45" s="6"/>
    </row>
    <row r="46" spans="1:13">
      <c r="A46" s="3">
        <v>2005</v>
      </c>
      <c r="B46" s="3" t="s">
        <v>8</v>
      </c>
      <c r="C46" s="3">
        <v>4697.5113035733339</v>
      </c>
      <c r="D46">
        <v>1.0463999999999997E-5</v>
      </c>
      <c r="E46">
        <v>6.9146666666666673E-5</v>
      </c>
      <c r="F46">
        <v>1.3409333333333332E-5</v>
      </c>
      <c r="G46">
        <v>8.028133333333332E-6</v>
      </c>
      <c r="I46" s="6"/>
      <c r="J46" s="6"/>
      <c r="K46" s="6"/>
      <c r="L46" s="6"/>
      <c r="M46" s="6"/>
    </row>
    <row r="47" spans="1:13">
      <c r="A47" s="3">
        <v>2006</v>
      </c>
      <c r="B47" s="3" t="s">
        <v>8</v>
      </c>
      <c r="C47" s="3">
        <v>4787.6861913066668</v>
      </c>
      <c r="D47">
        <v>1.0433333333333334E-5</v>
      </c>
      <c r="E47">
        <v>6.9574666666666663E-5</v>
      </c>
      <c r="F47">
        <v>1.3597333333333336E-5</v>
      </c>
      <c r="G47">
        <v>8.334400000000001E-6</v>
      </c>
      <c r="I47" s="6"/>
      <c r="J47" s="6"/>
      <c r="K47" s="6"/>
      <c r="L47" s="6"/>
      <c r="M47" s="6"/>
    </row>
    <row r="48" spans="1:13">
      <c r="A48" s="3">
        <v>2007</v>
      </c>
      <c r="B48" s="7" t="s">
        <v>8</v>
      </c>
      <c r="C48" s="4">
        <v>4887.6487176933324</v>
      </c>
      <c r="D48" s="4">
        <v>1.0399999999999999E-5</v>
      </c>
      <c r="E48" s="4">
        <v>6.9966666666666669E-5</v>
      </c>
      <c r="F48" s="4">
        <v>1.3754666666666667E-5</v>
      </c>
      <c r="G48" s="4">
        <v>8.6274666666666683E-6</v>
      </c>
      <c r="I48" s="6"/>
      <c r="J48" s="6"/>
      <c r="K48" s="6"/>
      <c r="L48" s="6"/>
      <c r="M48" s="6"/>
    </row>
    <row r="49" spans="1:7">
      <c r="A49" s="4">
        <f>A48+1</f>
        <v>2008</v>
      </c>
      <c r="B49" s="4" t="s">
        <v>8</v>
      </c>
      <c r="C49" s="4">
        <v>4887.6487176933324</v>
      </c>
      <c r="D49" s="4">
        <v>1.0399999999999999E-5</v>
      </c>
      <c r="E49" s="4">
        <v>6.9966666666666669E-5</v>
      </c>
      <c r="F49" s="4">
        <v>1.3754666666666667E-5</v>
      </c>
      <c r="G49" s="4">
        <v>8.6274666666666683E-6</v>
      </c>
    </row>
    <row r="50" spans="1:7">
      <c r="A50" s="4">
        <f t="shared" ref="A50:A91" si="0">A49+1</f>
        <v>2009</v>
      </c>
      <c r="B50" s="4" t="s">
        <v>8</v>
      </c>
      <c r="C50" s="4">
        <v>4887.6487176933324</v>
      </c>
      <c r="D50" s="4">
        <v>1.0399999999999999E-5</v>
      </c>
      <c r="E50" s="4">
        <v>6.9966666666666669E-5</v>
      </c>
      <c r="F50" s="4">
        <v>1.3754666666666667E-5</v>
      </c>
      <c r="G50" s="4">
        <v>8.6274666666666683E-6</v>
      </c>
    </row>
    <row r="51" spans="1:7">
      <c r="A51" s="4">
        <f t="shared" si="0"/>
        <v>2010</v>
      </c>
      <c r="B51" s="4" t="s">
        <v>8</v>
      </c>
      <c r="C51" s="4">
        <v>4887.6487176933324</v>
      </c>
      <c r="D51" s="4">
        <v>1.0399999999999999E-5</v>
      </c>
      <c r="E51" s="4">
        <v>6.9966666666666669E-5</v>
      </c>
      <c r="F51" s="4">
        <v>1.3754666666666667E-5</v>
      </c>
      <c r="G51" s="4">
        <v>8.6274666666666683E-6</v>
      </c>
    </row>
    <row r="52" spans="1:7">
      <c r="A52" s="4">
        <f t="shared" si="0"/>
        <v>2011</v>
      </c>
      <c r="B52" s="4" t="s">
        <v>8</v>
      </c>
      <c r="C52" s="4">
        <v>4887.6487176933324</v>
      </c>
      <c r="D52" s="4">
        <v>1.0399999999999999E-5</v>
      </c>
      <c r="E52" s="4">
        <v>6.9966666666666669E-5</v>
      </c>
      <c r="F52" s="4">
        <v>1.3754666666666667E-5</v>
      </c>
      <c r="G52" s="4">
        <v>8.6274666666666683E-6</v>
      </c>
    </row>
    <row r="53" spans="1:7">
      <c r="A53" s="4">
        <f t="shared" si="0"/>
        <v>2012</v>
      </c>
      <c r="B53" s="4" t="s">
        <v>8</v>
      </c>
      <c r="C53" s="4">
        <v>4887.6487176933324</v>
      </c>
      <c r="D53" s="4">
        <v>1.0399999999999999E-5</v>
      </c>
      <c r="E53" s="4">
        <v>6.9966666666666669E-5</v>
      </c>
      <c r="F53" s="4">
        <v>1.3754666666666667E-5</v>
      </c>
      <c r="G53" s="4">
        <v>8.6274666666666683E-6</v>
      </c>
    </row>
    <row r="54" spans="1:7">
      <c r="A54" s="4">
        <f t="shared" si="0"/>
        <v>2013</v>
      </c>
      <c r="B54" s="4" t="s">
        <v>8</v>
      </c>
      <c r="C54" s="4">
        <v>4887.6487176933324</v>
      </c>
      <c r="D54" s="4">
        <v>1.0399999999999999E-5</v>
      </c>
      <c r="E54" s="4">
        <v>6.9966666666666669E-5</v>
      </c>
      <c r="F54" s="4">
        <v>1.3754666666666667E-5</v>
      </c>
      <c r="G54" s="4">
        <v>8.6274666666666683E-6</v>
      </c>
    </row>
    <row r="55" spans="1:7">
      <c r="A55" s="4">
        <f t="shared" si="0"/>
        <v>2014</v>
      </c>
      <c r="B55" s="4" t="s">
        <v>8</v>
      </c>
      <c r="C55" s="4">
        <v>4887.6487176933324</v>
      </c>
      <c r="D55" s="4">
        <v>1.0399999999999999E-5</v>
      </c>
      <c r="E55" s="4">
        <v>6.9966666666666669E-5</v>
      </c>
      <c r="F55" s="4">
        <v>1.3754666666666667E-5</v>
      </c>
      <c r="G55" s="4">
        <v>8.6274666666666683E-6</v>
      </c>
    </row>
    <row r="56" spans="1:7">
      <c r="A56" s="4">
        <f t="shared" si="0"/>
        <v>2015</v>
      </c>
      <c r="B56" s="4" t="s">
        <v>8</v>
      </c>
      <c r="C56" s="4">
        <v>4887.6487176933324</v>
      </c>
      <c r="D56" s="4">
        <v>1.0399999999999999E-5</v>
      </c>
      <c r="E56" s="4">
        <v>6.9966666666666669E-5</v>
      </c>
      <c r="F56" s="4">
        <v>1.3754666666666667E-5</v>
      </c>
      <c r="G56" s="4">
        <v>8.6274666666666683E-6</v>
      </c>
    </row>
    <row r="57" spans="1:7">
      <c r="A57" s="4">
        <f t="shared" si="0"/>
        <v>2016</v>
      </c>
      <c r="B57" s="4" t="s">
        <v>8</v>
      </c>
      <c r="C57" s="4">
        <v>4887.6487176933324</v>
      </c>
      <c r="D57" s="4">
        <v>1.0399999999999999E-5</v>
      </c>
      <c r="E57" s="4">
        <v>6.9966666666666669E-5</v>
      </c>
      <c r="F57" s="4">
        <v>1.3754666666666667E-5</v>
      </c>
      <c r="G57" s="4">
        <v>8.6274666666666683E-6</v>
      </c>
    </row>
    <row r="58" spans="1:7">
      <c r="A58" s="4">
        <f t="shared" si="0"/>
        <v>2017</v>
      </c>
      <c r="B58" s="4" t="s">
        <v>8</v>
      </c>
      <c r="C58" s="4">
        <v>4887.6487176933324</v>
      </c>
      <c r="D58" s="4">
        <v>1.0399999999999999E-5</v>
      </c>
      <c r="E58" s="4">
        <v>6.9966666666666669E-5</v>
      </c>
      <c r="F58" s="4">
        <v>1.3754666666666667E-5</v>
      </c>
      <c r="G58" s="4">
        <v>8.6274666666666683E-6</v>
      </c>
    </row>
    <row r="59" spans="1:7">
      <c r="A59" s="4">
        <f t="shared" si="0"/>
        <v>2018</v>
      </c>
      <c r="B59" s="4" t="s">
        <v>8</v>
      </c>
      <c r="C59" s="4">
        <v>4887.6487176933324</v>
      </c>
      <c r="D59" s="4">
        <v>1.0399999999999999E-5</v>
      </c>
      <c r="E59" s="4">
        <v>6.9966666666666669E-5</v>
      </c>
      <c r="F59" s="4">
        <v>1.3754666666666667E-5</v>
      </c>
      <c r="G59" s="4">
        <v>8.6274666666666683E-6</v>
      </c>
    </row>
    <row r="60" spans="1:7">
      <c r="A60" s="4">
        <f t="shared" si="0"/>
        <v>2019</v>
      </c>
      <c r="B60" s="4" t="s">
        <v>8</v>
      </c>
      <c r="C60" s="4">
        <v>4887.6487176933324</v>
      </c>
      <c r="D60" s="4">
        <v>1.0399999999999999E-5</v>
      </c>
      <c r="E60" s="4">
        <v>6.9966666666666669E-5</v>
      </c>
      <c r="F60" s="4">
        <v>1.3754666666666667E-5</v>
      </c>
      <c r="G60" s="4">
        <v>8.6274666666666683E-6</v>
      </c>
    </row>
    <row r="61" spans="1:7">
      <c r="A61" s="4">
        <f t="shared" si="0"/>
        <v>2020</v>
      </c>
      <c r="B61" s="4" t="s">
        <v>8</v>
      </c>
      <c r="C61" s="4">
        <v>4887.6487176933324</v>
      </c>
      <c r="D61" s="4">
        <v>1.0399999999999999E-5</v>
      </c>
      <c r="E61" s="4">
        <v>6.9966666666666669E-5</v>
      </c>
      <c r="F61" s="4">
        <v>1.3754666666666667E-5</v>
      </c>
      <c r="G61" s="4">
        <v>8.6274666666666683E-6</v>
      </c>
    </row>
    <row r="62" spans="1:7">
      <c r="A62" s="4">
        <f t="shared" si="0"/>
        <v>2021</v>
      </c>
      <c r="B62" s="4" t="s">
        <v>8</v>
      </c>
      <c r="C62" s="4">
        <v>4887.6487176933324</v>
      </c>
      <c r="D62" s="4">
        <v>1.0399999999999999E-5</v>
      </c>
      <c r="E62" s="4">
        <v>6.9966666666666669E-5</v>
      </c>
      <c r="F62" s="4">
        <v>1.3754666666666667E-5</v>
      </c>
      <c r="G62" s="4">
        <v>8.6274666666666683E-6</v>
      </c>
    </row>
    <row r="63" spans="1:7">
      <c r="A63" s="4">
        <f t="shared" si="0"/>
        <v>2022</v>
      </c>
      <c r="B63" s="4" t="s">
        <v>8</v>
      </c>
      <c r="C63" s="4">
        <v>4887.6487176933324</v>
      </c>
      <c r="D63" s="4">
        <v>1.0399999999999999E-5</v>
      </c>
      <c r="E63" s="4">
        <v>6.9966666666666669E-5</v>
      </c>
      <c r="F63" s="4">
        <v>1.3754666666666667E-5</v>
      </c>
      <c r="G63" s="4">
        <v>8.6274666666666683E-6</v>
      </c>
    </row>
    <row r="64" spans="1:7">
      <c r="A64" s="4">
        <f t="shared" si="0"/>
        <v>2023</v>
      </c>
      <c r="B64" s="4" t="s">
        <v>8</v>
      </c>
      <c r="C64" s="4">
        <v>4887.6487176933324</v>
      </c>
      <c r="D64" s="4">
        <v>1.0399999999999999E-5</v>
      </c>
      <c r="E64" s="4">
        <v>6.9966666666666669E-5</v>
      </c>
      <c r="F64" s="4">
        <v>1.3754666666666667E-5</v>
      </c>
      <c r="G64" s="4">
        <v>8.6274666666666683E-6</v>
      </c>
    </row>
    <row r="65" spans="1:7">
      <c r="A65" s="4">
        <f t="shared" si="0"/>
        <v>2024</v>
      </c>
      <c r="B65" s="4" t="s">
        <v>8</v>
      </c>
      <c r="C65" s="4">
        <v>4887.6487176933324</v>
      </c>
      <c r="D65" s="4">
        <v>1.0399999999999999E-5</v>
      </c>
      <c r="E65" s="4">
        <v>6.9966666666666669E-5</v>
      </c>
      <c r="F65" s="4">
        <v>1.3754666666666667E-5</v>
      </c>
      <c r="G65" s="4">
        <v>8.6274666666666683E-6</v>
      </c>
    </row>
    <row r="66" spans="1:7">
      <c r="A66" s="4">
        <f t="shared" si="0"/>
        <v>2025</v>
      </c>
      <c r="B66" s="4" t="s">
        <v>8</v>
      </c>
      <c r="C66" s="4">
        <v>4887.6487176933324</v>
      </c>
      <c r="D66" s="4">
        <v>1.0399999999999999E-5</v>
      </c>
      <c r="E66" s="4">
        <v>6.9966666666666669E-5</v>
      </c>
      <c r="F66" s="4">
        <v>1.3754666666666667E-5</v>
      </c>
      <c r="G66" s="4">
        <v>8.6274666666666683E-6</v>
      </c>
    </row>
    <row r="67" spans="1:7">
      <c r="A67" s="4">
        <f t="shared" si="0"/>
        <v>2026</v>
      </c>
      <c r="B67" s="4" t="s">
        <v>8</v>
      </c>
      <c r="C67" s="4">
        <v>4887.6487176933324</v>
      </c>
      <c r="D67" s="4">
        <v>1.0399999999999999E-5</v>
      </c>
      <c r="E67" s="4">
        <v>6.9966666666666669E-5</v>
      </c>
      <c r="F67" s="4">
        <v>1.3754666666666667E-5</v>
      </c>
      <c r="G67" s="4">
        <v>8.6274666666666683E-6</v>
      </c>
    </row>
    <row r="68" spans="1:7">
      <c r="A68" s="4">
        <f t="shared" si="0"/>
        <v>2027</v>
      </c>
      <c r="B68" s="4" t="s">
        <v>8</v>
      </c>
      <c r="C68" s="4">
        <v>4887.6487176933324</v>
      </c>
      <c r="D68" s="4">
        <v>1.0399999999999999E-5</v>
      </c>
      <c r="E68" s="4">
        <v>6.9966666666666669E-5</v>
      </c>
      <c r="F68" s="4">
        <v>1.3754666666666667E-5</v>
      </c>
      <c r="G68" s="4">
        <v>8.6274666666666683E-6</v>
      </c>
    </row>
    <row r="69" spans="1:7">
      <c r="A69" s="4">
        <f t="shared" si="0"/>
        <v>2028</v>
      </c>
      <c r="B69" s="4" t="s">
        <v>8</v>
      </c>
      <c r="C69" s="4">
        <v>4887.6487176933324</v>
      </c>
      <c r="D69" s="4">
        <v>1.0399999999999999E-5</v>
      </c>
      <c r="E69" s="4">
        <v>6.9966666666666669E-5</v>
      </c>
      <c r="F69" s="4">
        <v>1.3754666666666667E-5</v>
      </c>
      <c r="G69" s="4">
        <v>8.6274666666666683E-6</v>
      </c>
    </row>
    <row r="70" spans="1:7">
      <c r="A70" s="4">
        <f t="shared" si="0"/>
        <v>2029</v>
      </c>
      <c r="B70" s="4" t="s">
        <v>8</v>
      </c>
      <c r="C70" s="4">
        <v>4887.6487176933324</v>
      </c>
      <c r="D70" s="4">
        <v>1.0399999999999999E-5</v>
      </c>
      <c r="E70" s="4">
        <v>6.9966666666666669E-5</v>
      </c>
      <c r="F70" s="4">
        <v>1.3754666666666667E-5</v>
      </c>
      <c r="G70" s="4">
        <v>8.6274666666666683E-6</v>
      </c>
    </row>
    <row r="71" spans="1:7">
      <c r="A71" s="4">
        <f t="shared" si="0"/>
        <v>2030</v>
      </c>
      <c r="B71" s="4" t="s">
        <v>8</v>
      </c>
      <c r="C71" s="4">
        <v>4887.6487176933324</v>
      </c>
      <c r="D71" s="4">
        <v>1.0399999999999999E-5</v>
      </c>
      <c r="E71" s="4">
        <v>6.9966666666666669E-5</v>
      </c>
      <c r="F71" s="4">
        <v>1.3754666666666667E-5</v>
      </c>
      <c r="G71" s="4">
        <v>8.6274666666666683E-6</v>
      </c>
    </row>
    <row r="72" spans="1:7">
      <c r="A72" s="4">
        <f t="shared" si="0"/>
        <v>2031</v>
      </c>
      <c r="B72" s="4" t="s">
        <v>8</v>
      </c>
      <c r="C72" s="4">
        <v>4887.6487176933324</v>
      </c>
      <c r="D72" s="4">
        <v>1.0399999999999999E-5</v>
      </c>
      <c r="E72" s="4">
        <v>6.9966666666666669E-5</v>
      </c>
      <c r="F72" s="4">
        <v>1.3754666666666667E-5</v>
      </c>
      <c r="G72" s="4">
        <v>8.6274666666666683E-6</v>
      </c>
    </row>
    <row r="73" spans="1:7">
      <c r="A73" s="4">
        <f t="shared" si="0"/>
        <v>2032</v>
      </c>
      <c r="B73" s="4" t="s">
        <v>8</v>
      </c>
      <c r="C73" s="4">
        <v>4887.6487176933324</v>
      </c>
      <c r="D73" s="4">
        <v>1.0399999999999999E-5</v>
      </c>
      <c r="E73" s="4">
        <v>6.9966666666666669E-5</v>
      </c>
      <c r="F73" s="4">
        <v>1.3754666666666667E-5</v>
      </c>
      <c r="G73" s="4">
        <v>8.6274666666666683E-6</v>
      </c>
    </row>
    <row r="74" spans="1:7">
      <c r="A74" s="4">
        <f t="shared" si="0"/>
        <v>2033</v>
      </c>
      <c r="B74" s="4" t="s">
        <v>8</v>
      </c>
      <c r="C74" s="4">
        <v>4887.6487176933324</v>
      </c>
      <c r="D74" s="4">
        <v>1.0399999999999999E-5</v>
      </c>
      <c r="E74" s="4">
        <v>6.9966666666666669E-5</v>
      </c>
      <c r="F74" s="4">
        <v>1.3754666666666667E-5</v>
      </c>
      <c r="G74" s="4">
        <v>8.6274666666666683E-6</v>
      </c>
    </row>
    <row r="75" spans="1:7">
      <c r="A75" s="4">
        <f t="shared" si="0"/>
        <v>2034</v>
      </c>
      <c r="B75" s="4" t="s">
        <v>8</v>
      </c>
      <c r="C75" s="4">
        <v>4887.6487176933324</v>
      </c>
      <c r="D75" s="4">
        <v>1.0399999999999999E-5</v>
      </c>
      <c r="E75" s="4">
        <v>6.9966666666666669E-5</v>
      </c>
      <c r="F75" s="4">
        <v>1.3754666666666667E-5</v>
      </c>
      <c r="G75" s="4">
        <v>8.6274666666666683E-6</v>
      </c>
    </row>
    <row r="76" spans="1:7">
      <c r="A76" s="4">
        <f t="shared" si="0"/>
        <v>2035</v>
      </c>
      <c r="B76" s="4" t="s">
        <v>8</v>
      </c>
      <c r="C76" s="4">
        <v>4887.6487176933324</v>
      </c>
      <c r="D76" s="4">
        <v>1.0399999999999999E-5</v>
      </c>
      <c r="E76" s="4">
        <v>6.9966666666666669E-5</v>
      </c>
      <c r="F76" s="4">
        <v>1.3754666666666667E-5</v>
      </c>
      <c r="G76" s="4">
        <v>8.6274666666666683E-6</v>
      </c>
    </row>
    <row r="77" spans="1:7">
      <c r="A77" s="4">
        <f t="shared" si="0"/>
        <v>2036</v>
      </c>
      <c r="B77" s="4" t="s">
        <v>8</v>
      </c>
      <c r="C77" s="4">
        <v>4887.6487176933324</v>
      </c>
      <c r="D77" s="4">
        <v>1.0399999999999999E-5</v>
      </c>
      <c r="E77" s="4">
        <v>6.9966666666666669E-5</v>
      </c>
      <c r="F77" s="4">
        <v>1.3754666666666667E-5</v>
      </c>
      <c r="G77" s="4">
        <v>8.6274666666666683E-6</v>
      </c>
    </row>
    <row r="78" spans="1:7">
      <c r="A78" s="4">
        <f t="shared" si="0"/>
        <v>2037</v>
      </c>
      <c r="B78" s="4" t="s">
        <v>8</v>
      </c>
      <c r="C78" s="4">
        <v>4887.6487176933324</v>
      </c>
      <c r="D78" s="4">
        <v>1.0399999999999999E-5</v>
      </c>
      <c r="E78" s="4">
        <v>6.9966666666666669E-5</v>
      </c>
      <c r="F78" s="4">
        <v>1.3754666666666667E-5</v>
      </c>
      <c r="G78" s="4">
        <v>8.6274666666666683E-6</v>
      </c>
    </row>
    <row r="79" spans="1:7">
      <c r="A79" s="4">
        <f t="shared" si="0"/>
        <v>2038</v>
      </c>
      <c r="B79" s="4" t="s">
        <v>8</v>
      </c>
      <c r="C79" s="4">
        <v>4887.6487176933324</v>
      </c>
      <c r="D79" s="4">
        <v>1.0399999999999999E-5</v>
      </c>
      <c r="E79" s="4">
        <v>6.9966666666666669E-5</v>
      </c>
      <c r="F79" s="4">
        <v>1.3754666666666667E-5</v>
      </c>
      <c r="G79" s="4">
        <v>8.6274666666666683E-6</v>
      </c>
    </row>
    <row r="80" spans="1:7">
      <c r="A80" s="4">
        <f t="shared" si="0"/>
        <v>2039</v>
      </c>
      <c r="B80" s="4" t="s">
        <v>8</v>
      </c>
      <c r="C80" s="4">
        <v>4887.6487176933324</v>
      </c>
      <c r="D80" s="4">
        <v>1.0399999999999999E-5</v>
      </c>
      <c r="E80" s="4">
        <v>6.9966666666666669E-5</v>
      </c>
      <c r="F80" s="4">
        <v>1.3754666666666667E-5</v>
      </c>
      <c r="G80" s="4">
        <v>8.6274666666666683E-6</v>
      </c>
    </row>
    <row r="81" spans="1:7">
      <c r="A81" s="4">
        <f t="shared" si="0"/>
        <v>2040</v>
      </c>
      <c r="B81" s="4" t="s">
        <v>8</v>
      </c>
      <c r="C81" s="4">
        <v>4887.6487176933324</v>
      </c>
      <c r="D81" s="4">
        <v>1.0399999999999999E-5</v>
      </c>
      <c r="E81" s="4">
        <v>6.9966666666666669E-5</v>
      </c>
      <c r="F81" s="4">
        <v>1.3754666666666667E-5</v>
      </c>
      <c r="G81" s="4">
        <v>8.6274666666666683E-6</v>
      </c>
    </row>
    <row r="82" spans="1:7">
      <c r="A82" s="4">
        <f t="shared" si="0"/>
        <v>2041</v>
      </c>
      <c r="B82" s="4" t="s">
        <v>8</v>
      </c>
      <c r="C82" s="4">
        <v>4887.6487176933324</v>
      </c>
      <c r="D82" s="4">
        <v>1.0399999999999999E-5</v>
      </c>
      <c r="E82" s="4">
        <v>6.9966666666666669E-5</v>
      </c>
      <c r="F82" s="4">
        <v>1.3754666666666667E-5</v>
      </c>
      <c r="G82" s="4">
        <v>8.6274666666666683E-6</v>
      </c>
    </row>
    <row r="83" spans="1:7">
      <c r="A83" s="4">
        <f t="shared" si="0"/>
        <v>2042</v>
      </c>
      <c r="B83" s="4" t="s">
        <v>8</v>
      </c>
      <c r="C83" s="4">
        <v>4887.6487176933324</v>
      </c>
      <c r="D83" s="4">
        <v>1.0399999999999999E-5</v>
      </c>
      <c r="E83" s="4">
        <v>6.9966666666666669E-5</v>
      </c>
      <c r="F83" s="4">
        <v>1.3754666666666667E-5</v>
      </c>
      <c r="G83" s="4">
        <v>8.6274666666666683E-6</v>
      </c>
    </row>
    <row r="84" spans="1:7">
      <c r="A84" s="4">
        <f t="shared" si="0"/>
        <v>2043</v>
      </c>
      <c r="B84" s="4" t="s">
        <v>8</v>
      </c>
      <c r="C84" s="4">
        <v>4887.6487176933324</v>
      </c>
      <c r="D84" s="4">
        <v>1.0399999999999999E-5</v>
      </c>
      <c r="E84" s="4">
        <v>6.9966666666666669E-5</v>
      </c>
      <c r="F84" s="4">
        <v>1.3754666666666667E-5</v>
      </c>
      <c r="G84" s="4">
        <v>8.6274666666666683E-6</v>
      </c>
    </row>
    <row r="85" spans="1:7">
      <c r="A85" s="4">
        <f t="shared" si="0"/>
        <v>2044</v>
      </c>
      <c r="B85" s="4" t="s">
        <v>8</v>
      </c>
      <c r="C85" s="4">
        <v>4887.6487176933324</v>
      </c>
      <c r="D85" s="4">
        <v>1.0399999999999999E-5</v>
      </c>
      <c r="E85" s="4">
        <v>6.9966666666666669E-5</v>
      </c>
      <c r="F85" s="4">
        <v>1.3754666666666667E-5</v>
      </c>
      <c r="G85" s="4">
        <v>8.6274666666666683E-6</v>
      </c>
    </row>
    <row r="86" spans="1:7">
      <c r="A86" s="4">
        <f t="shared" si="0"/>
        <v>2045</v>
      </c>
      <c r="B86" s="4" t="s">
        <v>8</v>
      </c>
      <c r="C86" s="4">
        <v>4887.6487176933324</v>
      </c>
      <c r="D86" s="4">
        <v>1.0399999999999999E-5</v>
      </c>
      <c r="E86" s="4">
        <v>6.9966666666666669E-5</v>
      </c>
      <c r="F86" s="4">
        <v>1.3754666666666667E-5</v>
      </c>
      <c r="G86" s="4">
        <v>8.6274666666666683E-6</v>
      </c>
    </row>
    <row r="87" spans="1:7">
      <c r="A87" s="4">
        <f t="shared" si="0"/>
        <v>2046</v>
      </c>
      <c r="B87" s="4" t="s">
        <v>8</v>
      </c>
      <c r="C87" s="4">
        <v>4887.6487176933324</v>
      </c>
      <c r="D87" s="4">
        <v>1.0399999999999999E-5</v>
      </c>
      <c r="E87" s="4">
        <v>6.9966666666666669E-5</v>
      </c>
      <c r="F87" s="4">
        <v>1.3754666666666667E-5</v>
      </c>
      <c r="G87" s="4">
        <v>8.6274666666666683E-6</v>
      </c>
    </row>
    <row r="88" spans="1:7">
      <c r="A88" s="4">
        <f t="shared" si="0"/>
        <v>2047</v>
      </c>
      <c r="B88" s="4" t="s">
        <v>8</v>
      </c>
      <c r="C88" s="4">
        <v>4887.6487176933324</v>
      </c>
      <c r="D88" s="4">
        <v>1.0399999999999999E-5</v>
      </c>
      <c r="E88" s="4">
        <v>6.9966666666666669E-5</v>
      </c>
      <c r="F88" s="4">
        <v>1.3754666666666667E-5</v>
      </c>
      <c r="G88" s="4">
        <v>8.6274666666666683E-6</v>
      </c>
    </row>
    <row r="89" spans="1:7">
      <c r="A89" s="4">
        <f t="shared" si="0"/>
        <v>2048</v>
      </c>
      <c r="B89" s="4" t="s">
        <v>8</v>
      </c>
      <c r="C89" s="4">
        <v>4887.6487176933324</v>
      </c>
      <c r="D89" s="4">
        <v>1.0399999999999999E-5</v>
      </c>
      <c r="E89" s="4">
        <v>6.9966666666666669E-5</v>
      </c>
      <c r="F89" s="4">
        <v>1.3754666666666667E-5</v>
      </c>
      <c r="G89" s="4">
        <v>8.6274666666666683E-6</v>
      </c>
    </row>
    <row r="90" spans="1:7">
      <c r="A90" s="4">
        <f t="shared" si="0"/>
        <v>2049</v>
      </c>
      <c r="B90" s="4" t="s">
        <v>8</v>
      </c>
      <c r="C90" s="4">
        <v>4887.6487176933324</v>
      </c>
      <c r="D90" s="4">
        <v>1.0399999999999999E-5</v>
      </c>
      <c r="E90" s="4">
        <v>6.9966666666666669E-5</v>
      </c>
      <c r="F90" s="4">
        <v>1.3754666666666667E-5</v>
      </c>
      <c r="G90" s="4">
        <v>8.6274666666666683E-6</v>
      </c>
    </row>
    <row r="91" spans="1:7">
      <c r="A91" s="4">
        <f t="shared" si="0"/>
        <v>2050</v>
      </c>
      <c r="B91" s="4" t="s">
        <v>8</v>
      </c>
      <c r="C91" s="4">
        <v>4887.6487176933324</v>
      </c>
      <c r="D91" s="4">
        <v>1.0399999999999999E-5</v>
      </c>
      <c r="E91" s="4">
        <v>6.9966666666666669E-5</v>
      </c>
      <c r="F91" s="4">
        <v>1.3754666666666667E-5</v>
      </c>
      <c r="G91" s="4">
        <v>8.6274666666666683E-6</v>
      </c>
    </row>
    <row r="92" spans="1:7">
      <c r="A92" s="5"/>
      <c r="C92" s="4"/>
    </row>
    <row r="93" spans="1:7">
      <c r="A93" s="5"/>
    </row>
    <row r="94" spans="1:7">
      <c r="A94" s="5"/>
    </row>
    <row r="95" spans="1:7">
      <c r="A95" s="5"/>
    </row>
    <row r="96" spans="1:7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ROW</vt:lpstr>
      <vt:lpstr>Sheet3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dinman</dc:creator>
  <cp:lastModifiedBy>dinman</cp:lastModifiedBy>
  <dcterms:created xsi:type="dcterms:W3CDTF">2011-02-24T23:36:46Z</dcterms:created>
  <dcterms:modified xsi:type="dcterms:W3CDTF">2012-02-02T20:13:20Z</dcterms:modified>
</cp:coreProperties>
</file>