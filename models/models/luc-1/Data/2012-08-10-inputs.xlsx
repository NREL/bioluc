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75" windowWidth="24240" windowHeight="11055" firstSheet="4" activeTab="10"/>
  </bookViews>
  <sheets>
    <sheet name="LUC-2012-08-10-Run1" sheetId="1" r:id="rId1"/>
    <sheet name="LUC-2012-08-10-Run2" sheetId="4" r:id="rId2"/>
    <sheet name="LUC-2012-08-10-Run3" sheetId="5" r:id="rId3"/>
    <sheet name="LUC-2012-08-10-Run4" sheetId="6" r:id="rId4"/>
    <sheet name="Sheet2" sheetId="2" r:id="rId5"/>
    <sheet name="RUN SPECS" sheetId="3" r:id="rId6"/>
    <sheet name="WAO Scenario Ag" sheetId="11" r:id="rId7"/>
    <sheet name="25% by 2050 Ag" sheetId="10" r:id="rId8"/>
    <sheet name="Land Init" sheetId="8" r:id="rId9"/>
    <sheet name="Sce 1 Table" sheetId="9" r:id="rId10"/>
    <sheet name="Sce 2 Table" sheetId="12" r:id="rId11"/>
    <sheet name="Sce 3 Table" sheetId="13" r:id="rId12"/>
    <sheet name="Sce 4 Table" sheetId="14" r:id="rId13"/>
    <sheet name="Cellulosic Sens Anal" sheetId="15" r:id="rId14"/>
    <sheet name="Population" sheetId="16" r:id="rId15"/>
  </sheets>
  <calcPr calcId="145621" iterate="1" iterateDelta="1.0000000000000001E-5"/>
</workbook>
</file>

<file path=xl/calcChain.xml><?xml version="1.0" encoding="utf-8"?>
<calcChain xmlns="http://schemas.openxmlformats.org/spreadsheetml/2006/main">
  <c r="V54" i="9" l="1"/>
  <c r="U55" i="9"/>
  <c r="U54" i="9"/>
  <c r="D55" i="9"/>
  <c r="D66" i="14"/>
  <c r="D65" i="14"/>
  <c r="D62" i="14"/>
  <c r="D61" i="14"/>
  <c r="D70" i="9"/>
  <c r="D69" i="9"/>
  <c r="BK55" i="9"/>
  <c r="BJ55" i="9"/>
  <c r="BI55" i="9"/>
  <c r="BH55" i="9"/>
  <c r="BG55" i="9"/>
  <c r="BF55" i="9"/>
  <c r="BE55" i="9"/>
  <c r="BD55" i="9"/>
  <c r="BC55" i="9"/>
  <c r="BB55" i="9"/>
  <c r="BA55" i="9"/>
  <c r="AZ55" i="9"/>
  <c r="AY55" i="9"/>
  <c r="AX55" i="9"/>
  <c r="AW55" i="9"/>
  <c r="AV55" i="9"/>
  <c r="AU55" i="9"/>
  <c r="AT55" i="9"/>
  <c r="AS55" i="9"/>
  <c r="AR55" i="9"/>
  <c r="AQ55" i="9"/>
  <c r="AP55" i="9"/>
  <c r="AO55" i="9"/>
  <c r="AN55" i="9"/>
  <c r="AM55" i="9"/>
  <c r="AL55" i="9"/>
  <c r="AK55" i="9"/>
  <c r="AJ55" i="9"/>
  <c r="AI55" i="9"/>
  <c r="AH55" i="9"/>
  <c r="AG55" i="9"/>
  <c r="AF55" i="9"/>
  <c r="AE55" i="9"/>
  <c r="AD55" i="9"/>
  <c r="AC55" i="9"/>
  <c r="AB55" i="9"/>
  <c r="AA55" i="9"/>
  <c r="Z55" i="9"/>
  <c r="Y55" i="9"/>
  <c r="X55" i="9"/>
  <c r="W55" i="9"/>
  <c r="V55" i="9"/>
  <c r="T55" i="9"/>
  <c r="S55" i="9"/>
  <c r="R55" i="9"/>
  <c r="Q55" i="9"/>
  <c r="P55" i="9"/>
  <c r="O55" i="9"/>
  <c r="N55" i="9"/>
  <c r="M55" i="9"/>
  <c r="L55" i="9"/>
  <c r="K55" i="9"/>
  <c r="J55" i="9"/>
  <c r="I55" i="9"/>
  <c r="H55" i="9"/>
  <c r="G55" i="9"/>
  <c r="F55" i="9"/>
  <c r="E55" i="9"/>
  <c r="BK54" i="9"/>
  <c r="BJ54" i="9"/>
  <c r="BI54" i="9"/>
  <c r="BH54" i="9"/>
  <c r="BG54" i="9"/>
  <c r="BF54" i="9"/>
  <c r="BE54" i="9"/>
  <c r="BD54" i="9"/>
  <c r="BC54" i="9"/>
  <c r="BB54" i="9"/>
  <c r="BA54" i="9"/>
  <c r="AZ54" i="9"/>
  <c r="AY54" i="9"/>
  <c r="AX54" i="9"/>
  <c r="AW54" i="9"/>
  <c r="AV54" i="9"/>
  <c r="AU54" i="9"/>
  <c r="AT54" i="9"/>
  <c r="AS54" i="9"/>
  <c r="AR54" i="9"/>
  <c r="AQ54" i="9"/>
  <c r="AP54" i="9"/>
  <c r="AO54" i="9"/>
  <c r="AN54" i="9"/>
  <c r="AM54" i="9"/>
  <c r="AL54" i="9"/>
  <c r="AK54" i="9"/>
  <c r="AJ54" i="9"/>
  <c r="AI54" i="9"/>
  <c r="AH54" i="9"/>
  <c r="AG54" i="9"/>
  <c r="AF54" i="9"/>
  <c r="AE54" i="9"/>
  <c r="AD54" i="9"/>
  <c r="AC54" i="9"/>
  <c r="AB54" i="9"/>
  <c r="AA54" i="9"/>
  <c r="Z54" i="9"/>
  <c r="Y54" i="9"/>
  <c r="X54" i="9"/>
  <c r="W54" i="9"/>
  <c r="T54" i="9"/>
  <c r="S54" i="9"/>
  <c r="R54" i="9"/>
  <c r="Q54" i="9"/>
  <c r="P54" i="9"/>
  <c r="O54" i="9"/>
  <c r="N54" i="9"/>
  <c r="M54" i="9"/>
  <c r="L54" i="9"/>
  <c r="K54" i="9"/>
  <c r="J54" i="9"/>
  <c r="I54" i="9"/>
  <c r="H54" i="9"/>
  <c r="G54" i="9"/>
  <c r="F54" i="9"/>
  <c r="E54" i="9"/>
  <c r="D54" i="9"/>
  <c r="BK53" i="9"/>
  <c r="BJ53" i="9"/>
  <c r="BI53" i="9"/>
  <c r="BH53" i="9"/>
  <c r="BG53" i="9"/>
  <c r="BF53" i="9"/>
  <c r="BE53" i="9"/>
  <c r="BD53" i="9"/>
  <c r="BC53" i="9"/>
  <c r="BB53" i="9"/>
  <c r="BA53" i="9"/>
  <c r="AZ53" i="9"/>
  <c r="AY53" i="9"/>
  <c r="AX53" i="9"/>
  <c r="AW53" i="9"/>
  <c r="AV53" i="9"/>
  <c r="AU53" i="9"/>
  <c r="AT53" i="9"/>
  <c r="AS53" i="9"/>
  <c r="AR53" i="9"/>
  <c r="AQ53" i="9"/>
  <c r="AP53" i="9"/>
  <c r="AO53" i="9"/>
  <c r="AN53" i="9"/>
  <c r="AM53" i="9"/>
  <c r="AL53" i="9"/>
  <c r="AK53" i="9"/>
  <c r="AJ53" i="9"/>
  <c r="AI53" i="9"/>
  <c r="AH53" i="9"/>
  <c r="AG53" i="9"/>
  <c r="AF53" i="9"/>
  <c r="AE53" i="9"/>
  <c r="AD53" i="9"/>
  <c r="AC53" i="9"/>
  <c r="AB53" i="9"/>
  <c r="AA53" i="9"/>
  <c r="Z53" i="9"/>
  <c r="Y53" i="9"/>
  <c r="X53" i="9"/>
  <c r="W53" i="9"/>
  <c r="V53" i="9"/>
  <c r="U53" i="9"/>
  <c r="T53" i="9"/>
  <c r="S53" i="9"/>
  <c r="R53" i="9"/>
  <c r="Q53" i="9"/>
  <c r="P53" i="9"/>
  <c r="O53" i="9"/>
  <c r="N53" i="9"/>
  <c r="M53" i="9"/>
  <c r="L53" i="9"/>
  <c r="K53" i="9"/>
  <c r="J53" i="9"/>
  <c r="I53" i="9"/>
  <c r="H53" i="9"/>
  <c r="G53" i="9"/>
  <c r="F53" i="9"/>
  <c r="E53" i="9"/>
  <c r="D53" i="9"/>
  <c r="BK52" i="9"/>
  <c r="BJ52" i="9"/>
  <c r="BI52" i="9"/>
  <c r="BH52" i="9"/>
  <c r="BG52" i="9"/>
  <c r="BF52" i="9"/>
  <c r="BE52" i="9"/>
  <c r="BD52" i="9"/>
  <c r="BC52" i="9"/>
  <c r="BB52" i="9"/>
  <c r="BA52" i="9"/>
  <c r="AZ52" i="9"/>
  <c r="AY52" i="9"/>
  <c r="AX52" i="9"/>
  <c r="AW52" i="9"/>
  <c r="AV52" i="9"/>
  <c r="AU52" i="9"/>
  <c r="AT52" i="9"/>
  <c r="AS52" i="9"/>
  <c r="AR52" i="9"/>
  <c r="AQ52" i="9"/>
  <c r="AP52" i="9"/>
  <c r="AO52" i="9"/>
  <c r="AN52" i="9"/>
  <c r="AM52" i="9"/>
  <c r="AL52" i="9"/>
  <c r="AK52" i="9"/>
  <c r="AJ52" i="9"/>
  <c r="AI52" i="9"/>
  <c r="AH52" i="9"/>
  <c r="AG52" i="9"/>
  <c r="AF52" i="9"/>
  <c r="AE52" i="9"/>
  <c r="AD52" i="9"/>
  <c r="AC52" i="9"/>
  <c r="AB52" i="9"/>
  <c r="AA52" i="9"/>
  <c r="Z52" i="9"/>
  <c r="Y52" i="9"/>
  <c r="X52" i="9"/>
  <c r="W52" i="9"/>
  <c r="V52" i="9"/>
  <c r="U52" i="9"/>
  <c r="T52" i="9"/>
  <c r="S52" i="9"/>
  <c r="R52" i="9"/>
  <c r="Q52" i="9"/>
  <c r="P52" i="9"/>
  <c r="O52" i="9"/>
  <c r="N52" i="9"/>
  <c r="M52" i="9"/>
  <c r="L52" i="9"/>
  <c r="K52" i="9"/>
  <c r="J52" i="9"/>
  <c r="I52" i="9"/>
  <c r="H52" i="9"/>
  <c r="G52" i="9"/>
  <c r="F52" i="9"/>
  <c r="E52" i="9"/>
  <c r="D52" i="9"/>
  <c r="D65" i="9"/>
  <c r="D66" i="9"/>
  <c r="BH49" i="14" l="1"/>
  <c r="BD49" i="14"/>
  <c r="AZ49" i="14"/>
  <c r="AV49" i="14"/>
  <c r="AR49" i="14"/>
  <c r="AN49" i="14"/>
  <c r="AJ49" i="14"/>
  <c r="AF49" i="14"/>
  <c r="AB49" i="14"/>
  <c r="X49" i="14"/>
  <c r="T49" i="14"/>
  <c r="P49" i="14"/>
  <c r="L49" i="14"/>
  <c r="H49" i="14"/>
  <c r="D49" i="14"/>
  <c r="BH47" i="14"/>
  <c r="BD47" i="14"/>
  <c r="AZ47" i="14"/>
  <c r="AV47" i="14"/>
  <c r="AR47" i="14"/>
  <c r="AN47" i="14"/>
  <c r="AJ47" i="14"/>
  <c r="AF47" i="14"/>
  <c r="AB47" i="14"/>
  <c r="X47" i="14"/>
  <c r="T47" i="14"/>
  <c r="P47" i="14"/>
  <c r="L47" i="14"/>
  <c r="H47" i="14"/>
  <c r="D47" i="14"/>
  <c r="BK49" i="14"/>
  <c r="BG49" i="14"/>
  <c r="BC49" i="14"/>
  <c r="AY49" i="14"/>
  <c r="AU49" i="14"/>
  <c r="AQ49" i="14"/>
  <c r="AM49" i="14"/>
  <c r="AI49" i="14"/>
  <c r="AE49" i="14"/>
  <c r="AA49" i="14"/>
  <c r="W49" i="14"/>
  <c r="S49" i="14"/>
  <c r="O49" i="14"/>
  <c r="K49" i="14"/>
  <c r="G49" i="14"/>
  <c r="BK47" i="14"/>
  <c r="BG47" i="14"/>
  <c r="BC47" i="14"/>
  <c r="AY47" i="14"/>
  <c r="AU47" i="14"/>
  <c r="AQ47" i="14"/>
  <c r="AM47" i="14"/>
  <c r="AI47" i="14"/>
  <c r="AE47" i="14"/>
  <c r="AA47" i="14"/>
  <c r="W47" i="14"/>
  <c r="S47" i="14"/>
  <c r="O47" i="14"/>
  <c r="K47" i="14"/>
  <c r="G47" i="14"/>
  <c r="BJ49" i="14"/>
  <c r="BF49" i="14"/>
  <c r="BB49" i="14"/>
  <c r="AX49" i="14"/>
  <c r="AT49" i="14"/>
  <c r="AP49" i="14"/>
  <c r="AL49" i="14"/>
  <c r="AH49" i="14"/>
  <c r="AD49" i="14"/>
  <c r="Z49" i="14"/>
  <c r="V49" i="14"/>
  <c r="R49" i="14"/>
  <c r="N49" i="14"/>
  <c r="J49" i="14"/>
  <c r="F49" i="14"/>
  <c r="BJ47" i="14"/>
  <c r="BF47" i="14"/>
  <c r="BB47" i="14"/>
  <c r="AX47" i="14"/>
  <c r="AT47" i="14"/>
  <c r="AP47" i="14"/>
  <c r="AL47" i="14"/>
  <c r="AH47" i="14"/>
  <c r="AD47" i="14"/>
  <c r="Z47" i="14"/>
  <c r="V47" i="14"/>
  <c r="R47" i="14"/>
  <c r="N47" i="14"/>
  <c r="J47" i="14"/>
  <c r="F47" i="14"/>
  <c r="BE49" i="14"/>
  <c r="AO49" i="14"/>
  <c r="Y49" i="14"/>
  <c r="I49" i="14"/>
  <c r="AW47" i="14"/>
  <c r="AG47" i="14"/>
  <c r="Q47" i="14"/>
  <c r="BA49" i="14"/>
  <c r="AK49" i="14"/>
  <c r="U49" i="14"/>
  <c r="E49" i="14"/>
  <c r="BI47" i="14"/>
  <c r="AS47" i="14"/>
  <c r="AC47" i="14"/>
  <c r="M47" i="14"/>
  <c r="AW49" i="14"/>
  <c r="AG49" i="14"/>
  <c r="Q49" i="14"/>
  <c r="BE47" i="14"/>
  <c r="AO47" i="14"/>
  <c r="Y47" i="14"/>
  <c r="I47" i="14"/>
  <c r="AS49" i="14"/>
  <c r="AK47" i="14"/>
  <c r="BI49" i="14"/>
  <c r="AC49" i="14"/>
  <c r="U47" i="14"/>
  <c r="BA47" i="14"/>
  <c r="M49" i="14"/>
  <c r="E47" i="14"/>
  <c r="BH50" i="14"/>
  <c r="BD50" i="14"/>
  <c r="AZ50" i="14"/>
  <c r="AV50" i="14"/>
  <c r="AR50" i="14"/>
  <c r="AN50" i="14"/>
  <c r="AJ50" i="14"/>
  <c r="AF50" i="14"/>
  <c r="AB50" i="14"/>
  <c r="X50" i="14"/>
  <c r="T50" i="14"/>
  <c r="P50" i="14"/>
  <c r="L50" i="14"/>
  <c r="H50" i="14"/>
  <c r="D50" i="14"/>
  <c r="BH48" i="14"/>
  <c r="BD48" i="14"/>
  <c r="AZ48" i="14"/>
  <c r="AV48" i="14"/>
  <c r="AR48" i="14"/>
  <c r="AN48" i="14"/>
  <c r="AJ48" i="14"/>
  <c r="AF48" i="14"/>
  <c r="AB48" i="14"/>
  <c r="X48" i="14"/>
  <c r="T48" i="14"/>
  <c r="P48" i="14"/>
  <c r="L48" i="14"/>
  <c r="H48" i="14"/>
  <c r="D48" i="14"/>
  <c r="BK50" i="14"/>
  <c r="BG50" i="14"/>
  <c r="BC50" i="14"/>
  <c r="AY50" i="14"/>
  <c r="AU50" i="14"/>
  <c r="AQ50" i="14"/>
  <c r="AM50" i="14"/>
  <c r="AI50" i="14"/>
  <c r="AE50" i="14"/>
  <c r="AA50" i="14"/>
  <c r="W50" i="14"/>
  <c r="S50" i="14"/>
  <c r="O50" i="14"/>
  <c r="K50" i="14"/>
  <c r="G50" i="14"/>
  <c r="BK48" i="14"/>
  <c r="BG48" i="14"/>
  <c r="BC48" i="14"/>
  <c r="AY48" i="14"/>
  <c r="AU48" i="14"/>
  <c r="AQ48" i="14"/>
  <c r="AM48" i="14"/>
  <c r="AI48" i="14"/>
  <c r="AE48" i="14"/>
  <c r="AA48" i="14"/>
  <c r="W48" i="14"/>
  <c r="S48" i="14"/>
  <c r="O48" i="14"/>
  <c r="K48" i="14"/>
  <c r="G48" i="14"/>
  <c r="BJ50" i="14"/>
  <c r="BF50" i="14"/>
  <c r="BB50" i="14"/>
  <c r="AX50" i="14"/>
  <c r="AT50" i="14"/>
  <c r="AP50" i="14"/>
  <c r="AL50" i="14"/>
  <c r="AH50" i="14"/>
  <c r="AD50" i="14"/>
  <c r="Z50" i="14"/>
  <c r="V50" i="14"/>
  <c r="R50" i="14"/>
  <c r="N50" i="14"/>
  <c r="J50" i="14"/>
  <c r="F50" i="14"/>
  <c r="BJ48" i="14"/>
  <c r="BF48" i="14"/>
  <c r="BB48" i="14"/>
  <c r="AX48" i="14"/>
  <c r="AT48" i="14"/>
  <c r="AP48" i="14"/>
  <c r="AL48" i="14"/>
  <c r="AH48" i="14"/>
  <c r="AD48" i="14"/>
  <c r="Z48" i="14"/>
  <c r="V48" i="14"/>
  <c r="R48" i="14"/>
  <c r="N48" i="14"/>
  <c r="J48" i="14"/>
  <c r="F48" i="14"/>
  <c r="BI50" i="14"/>
  <c r="AS50" i="14"/>
  <c r="AC50" i="14"/>
  <c r="M50" i="14"/>
  <c r="BA48" i="14"/>
  <c r="AK48" i="14"/>
  <c r="U48" i="14"/>
  <c r="E48" i="14"/>
  <c r="BE50" i="14"/>
  <c r="AO50" i="14"/>
  <c r="Y50" i="14"/>
  <c r="I50" i="14"/>
  <c r="AW48" i="14"/>
  <c r="AG48" i="14"/>
  <c r="Q48" i="14"/>
  <c r="BA50" i="14"/>
  <c r="AK50" i="14"/>
  <c r="U50" i="14"/>
  <c r="E50" i="14"/>
  <c r="BI48" i="14"/>
  <c r="AS48" i="14"/>
  <c r="AC48" i="14"/>
  <c r="M48" i="14"/>
  <c r="AW50" i="14"/>
  <c r="AO48" i="14"/>
  <c r="AG50" i="14"/>
  <c r="Y48" i="14"/>
  <c r="Q50" i="14"/>
  <c r="I48" i="14"/>
  <c r="BE48" i="14"/>
  <c r="E47" i="9"/>
  <c r="G47" i="9"/>
  <c r="I47" i="9"/>
  <c r="K47" i="9"/>
  <c r="M47" i="9"/>
  <c r="O47" i="9"/>
  <c r="Q47" i="9"/>
  <c r="S47" i="9"/>
  <c r="U47" i="9"/>
  <c r="W47" i="9"/>
  <c r="Y47" i="9"/>
  <c r="AA47" i="9"/>
  <c r="AC47" i="9"/>
  <c r="AE47" i="9"/>
  <c r="AG47" i="9"/>
  <c r="AI47" i="9"/>
  <c r="AK47" i="9"/>
  <c r="AM47" i="9"/>
  <c r="AO47" i="9"/>
  <c r="AQ47" i="9"/>
  <c r="AS47" i="9"/>
  <c r="AU47" i="9"/>
  <c r="AW47" i="9"/>
  <c r="AY47" i="9"/>
  <c r="BA47" i="9"/>
  <c r="BC47" i="9"/>
  <c r="BE47" i="9"/>
  <c r="BG47" i="9"/>
  <c r="BI47" i="9"/>
  <c r="BK47" i="9"/>
  <c r="E48" i="9"/>
  <c r="G48" i="9"/>
  <c r="I48" i="9"/>
  <c r="K48" i="9"/>
  <c r="M48" i="9"/>
  <c r="O48" i="9"/>
  <c r="Q48" i="9"/>
  <c r="S48" i="9"/>
  <c r="U48" i="9"/>
  <c r="W48" i="9"/>
  <c r="Y48" i="9"/>
  <c r="AA48" i="9"/>
  <c r="AC48" i="9"/>
  <c r="AE48" i="9"/>
  <c r="AG48" i="9"/>
  <c r="AI48" i="9"/>
  <c r="AK48" i="9"/>
  <c r="AM48" i="9"/>
  <c r="AO48" i="9"/>
  <c r="AQ48" i="9"/>
  <c r="AS48" i="9"/>
  <c r="AU48" i="9"/>
  <c r="AW48" i="9"/>
  <c r="AY48" i="9"/>
  <c r="BA48" i="9"/>
  <c r="BC48" i="9"/>
  <c r="BE48" i="9"/>
  <c r="BG48" i="9"/>
  <c r="BI48" i="9"/>
  <c r="BK48" i="9"/>
  <c r="E49" i="9"/>
  <c r="G49" i="9"/>
  <c r="I49" i="9"/>
  <c r="K49" i="9"/>
  <c r="M49" i="9"/>
  <c r="O49" i="9"/>
  <c r="Q49" i="9"/>
  <c r="S49" i="9"/>
  <c r="W49" i="9"/>
  <c r="Y49" i="9"/>
  <c r="AA49" i="9"/>
  <c r="AC49" i="9"/>
  <c r="AE49" i="9"/>
  <c r="AG49" i="9"/>
  <c r="AI49" i="9"/>
  <c r="AK49" i="9"/>
  <c r="AM49" i="9"/>
  <c r="AO49" i="9"/>
  <c r="AQ49" i="9"/>
  <c r="AS49" i="9"/>
  <c r="AU49" i="9"/>
  <c r="AW49" i="9"/>
  <c r="AY49" i="9"/>
  <c r="BA49" i="9"/>
  <c r="BC49" i="9"/>
  <c r="BE49" i="9"/>
  <c r="BG49" i="9"/>
  <c r="BI49" i="9"/>
  <c r="BK49" i="9"/>
  <c r="F50" i="9"/>
  <c r="H50" i="9"/>
  <c r="J50" i="9"/>
  <c r="L50" i="9"/>
  <c r="N50" i="9"/>
  <c r="P50" i="9"/>
  <c r="R50" i="9"/>
  <c r="T50" i="9"/>
  <c r="W50" i="9"/>
  <c r="Y50" i="9"/>
  <c r="AA50" i="9"/>
  <c r="AC50" i="9"/>
  <c r="AE50" i="9"/>
  <c r="AG50" i="9"/>
  <c r="AI50" i="9"/>
  <c r="AK50" i="9"/>
  <c r="AM50" i="9"/>
  <c r="AO50" i="9"/>
  <c r="AQ50" i="9"/>
  <c r="AS50" i="9"/>
  <c r="AU50" i="9"/>
  <c r="AW50" i="9"/>
  <c r="AY50" i="9"/>
  <c r="BA50" i="9"/>
  <c r="BC50" i="9"/>
  <c r="BE50" i="9"/>
  <c r="BG50" i="9"/>
  <c r="BI50" i="9"/>
  <c r="BK50" i="9"/>
  <c r="U49" i="9"/>
  <c r="V49" i="9"/>
  <c r="D47" i="9"/>
  <c r="F47" i="9"/>
  <c r="H47" i="9"/>
  <c r="J47" i="9"/>
  <c r="L47" i="9"/>
  <c r="N47" i="9"/>
  <c r="P47" i="9"/>
  <c r="R47" i="9"/>
  <c r="T47" i="9"/>
  <c r="V47" i="9"/>
  <c r="X47" i="9"/>
  <c r="Z47" i="9"/>
  <c r="AB47" i="9"/>
  <c r="AD47" i="9"/>
  <c r="AF47" i="9"/>
  <c r="AH47" i="9"/>
  <c r="AJ47" i="9"/>
  <c r="AL47" i="9"/>
  <c r="AN47" i="9"/>
  <c r="AP47" i="9"/>
  <c r="AR47" i="9"/>
  <c r="AT47" i="9"/>
  <c r="AV47" i="9"/>
  <c r="AX47" i="9"/>
  <c r="AZ47" i="9"/>
  <c r="BB47" i="9"/>
  <c r="BD47" i="9"/>
  <c r="BF47" i="9"/>
  <c r="BH47" i="9"/>
  <c r="BJ47" i="9"/>
  <c r="D48" i="9"/>
  <c r="F48" i="9"/>
  <c r="H48" i="9"/>
  <c r="J48" i="9"/>
  <c r="L48" i="9"/>
  <c r="N48" i="9"/>
  <c r="P48" i="9"/>
  <c r="R48" i="9"/>
  <c r="T48" i="9"/>
  <c r="V48" i="9"/>
  <c r="X48" i="9"/>
  <c r="Z48" i="9"/>
  <c r="AB48" i="9"/>
  <c r="AD48" i="9"/>
  <c r="AF48" i="9"/>
  <c r="AH48" i="9"/>
  <c r="AJ48" i="9"/>
  <c r="AL48" i="9"/>
  <c r="AN48" i="9"/>
  <c r="AP48" i="9"/>
  <c r="AR48" i="9"/>
  <c r="AT48" i="9"/>
  <c r="AV48" i="9"/>
  <c r="AX48" i="9"/>
  <c r="AZ48" i="9"/>
  <c r="BB48" i="9"/>
  <c r="BD48" i="9"/>
  <c r="BF48" i="9"/>
  <c r="BH48" i="9"/>
  <c r="BJ48" i="9"/>
  <c r="D49" i="9"/>
  <c r="F49" i="9"/>
  <c r="H49" i="9"/>
  <c r="J49" i="9"/>
  <c r="L49" i="9"/>
  <c r="N49" i="9"/>
  <c r="P49" i="9"/>
  <c r="R49" i="9"/>
  <c r="T49" i="9"/>
  <c r="X49" i="9"/>
  <c r="Z49" i="9"/>
  <c r="AB49" i="9"/>
  <c r="AD49" i="9"/>
  <c r="AF49" i="9"/>
  <c r="AH49" i="9"/>
  <c r="AJ49" i="9"/>
  <c r="AL49" i="9"/>
  <c r="AN49" i="9"/>
  <c r="AP49" i="9"/>
  <c r="AR49" i="9"/>
  <c r="AT49" i="9"/>
  <c r="AV49" i="9"/>
  <c r="AX49" i="9"/>
  <c r="AZ49" i="9"/>
  <c r="BB49" i="9"/>
  <c r="BD49" i="9"/>
  <c r="BF49" i="9"/>
  <c r="BH49" i="9"/>
  <c r="BJ49" i="9"/>
  <c r="E50" i="9"/>
  <c r="G50" i="9"/>
  <c r="I50" i="9"/>
  <c r="K50" i="9"/>
  <c r="M50" i="9"/>
  <c r="O50" i="9"/>
  <c r="Q50" i="9"/>
  <c r="S50" i="9"/>
  <c r="V50" i="9"/>
  <c r="X50" i="9"/>
  <c r="Z50" i="9"/>
  <c r="AB50" i="9"/>
  <c r="AD50" i="9"/>
  <c r="AF50" i="9"/>
  <c r="AH50" i="9"/>
  <c r="AJ50" i="9"/>
  <c r="AL50" i="9"/>
  <c r="AN50" i="9"/>
  <c r="AP50" i="9"/>
  <c r="AR50" i="9"/>
  <c r="AT50" i="9"/>
  <c r="AV50" i="9"/>
  <c r="AX50" i="9"/>
  <c r="AZ50" i="9"/>
  <c r="BB50" i="9"/>
  <c r="BD50" i="9"/>
  <c r="BF50" i="9"/>
  <c r="BH50" i="9"/>
  <c r="BJ50" i="9"/>
  <c r="D50" i="9"/>
  <c r="U50" i="9"/>
  <c r="T55" i="12"/>
  <c r="S55" i="12"/>
  <c r="R55" i="12"/>
  <c r="Q55" i="12"/>
  <c r="Q50" i="12" s="1"/>
  <c r="P55" i="12"/>
  <c r="O55" i="12"/>
  <c r="N55" i="12"/>
  <c r="M55" i="12"/>
  <c r="M50" i="12" s="1"/>
  <c r="L55" i="12"/>
  <c r="K55" i="12"/>
  <c r="J55" i="12"/>
  <c r="I55" i="12"/>
  <c r="I50" i="12" s="1"/>
  <c r="H55" i="12"/>
  <c r="G55" i="12"/>
  <c r="F55" i="12"/>
  <c r="E55" i="12"/>
  <c r="E50" i="12" s="1"/>
  <c r="D55" i="12"/>
  <c r="T54" i="12"/>
  <c r="S54" i="12"/>
  <c r="R54" i="12"/>
  <c r="Q54" i="12"/>
  <c r="P54" i="12"/>
  <c r="O54" i="12"/>
  <c r="N54" i="12"/>
  <c r="M54" i="12"/>
  <c r="L54" i="12"/>
  <c r="K54" i="12"/>
  <c r="J54" i="12"/>
  <c r="I54" i="12"/>
  <c r="H54" i="12"/>
  <c r="G54" i="12"/>
  <c r="F54" i="12"/>
  <c r="E54" i="12"/>
  <c r="D54" i="12"/>
  <c r="T53" i="12"/>
  <c r="S53" i="12"/>
  <c r="S48" i="12" s="1"/>
  <c r="R53" i="12"/>
  <c r="Q53" i="12"/>
  <c r="P53" i="12"/>
  <c r="O53" i="12"/>
  <c r="O48" i="12" s="1"/>
  <c r="N53" i="12"/>
  <c r="M53" i="12"/>
  <c r="L53" i="12"/>
  <c r="K53" i="12"/>
  <c r="K48" i="12" s="1"/>
  <c r="J53" i="12"/>
  <c r="I53" i="12"/>
  <c r="H53" i="12"/>
  <c r="G53" i="12"/>
  <c r="G48" i="12" s="1"/>
  <c r="F53" i="12"/>
  <c r="E53" i="12"/>
  <c r="D53" i="12"/>
  <c r="T52" i="12"/>
  <c r="S52" i="12"/>
  <c r="R52" i="12"/>
  <c r="Q52" i="12"/>
  <c r="P52" i="12"/>
  <c r="O52" i="12"/>
  <c r="N52" i="12"/>
  <c r="M52" i="12"/>
  <c r="L52" i="12"/>
  <c r="K52" i="12"/>
  <c r="J52" i="12"/>
  <c r="I52" i="12"/>
  <c r="H52" i="12"/>
  <c r="G52" i="12"/>
  <c r="F52" i="12"/>
  <c r="E52" i="12"/>
  <c r="D52" i="12"/>
  <c r="BK55" i="12"/>
  <c r="BJ55" i="12"/>
  <c r="BI55" i="12"/>
  <c r="BH55" i="12"/>
  <c r="BH50" i="12" s="1"/>
  <c r="BG55" i="12"/>
  <c r="BF55" i="12"/>
  <c r="BE55" i="12"/>
  <c r="BD55" i="12"/>
  <c r="BD50" i="12" s="1"/>
  <c r="BC55" i="12"/>
  <c r="BB55" i="12"/>
  <c r="BA55" i="12"/>
  <c r="AZ55" i="12"/>
  <c r="AZ50" i="12" s="1"/>
  <c r="AY55" i="12"/>
  <c r="AX55" i="12"/>
  <c r="AW55" i="12"/>
  <c r="AV55" i="12"/>
  <c r="AV50" i="12" s="1"/>
  <c r="AU55" i="12"/>
  <c r="AT55" i="12"/>
  <c r="AS55" i="12"/>
  <c r="AR55" i="12"/>
  <c r="AR50" i="12" s="1"/>
  <c r="AQ55" i="12"/>
  <c r="AP55" i="12"/>
  <c r="AO55" i="12"/>
  <c r="AN55" i="12"/>
  <c r="AN50" i="12" s="1"/>
  <c r="AM55" i="12"/>
  <c r="AL55" i="12"/>
  <c r="AK55" i="12"/>
  <c r="AJ55" i="12"/>
  <c r="AJ50" i="12" s="1"/>
  <c r="AI55" i="12"/>
  <c r="AH55" i="12"/>
  <c r="AG55" i="12"/>
  <c r="AF55" i="12"/>
  <c r="AF50" i="12" s="1"/>
  <c r="AE55" i="12"/>
  <c r="AD55" i="12"/>
  <c r="AC55" i="12"/>
  <c r="AB55" i="12"/>
  <c r="AB50" i="12" s="1"/>
  <c r="AA55" i="12"/>
  <c r="Z55" i="12"/>
  <c r="Y55" i="12"/>
  <c r="X55" i="12"/>
  <c r="X50" i="12" s="1"/>
  <c r="W55" i="12"/>
  <c r="V55" i="12"/>
  <c r="U55" i="12"/>
  <c r="BK54" i="12"/>
  <c r="BJ54" i="12"/>
  <c r="BI54" i="12"/>
  <c r="BH54" i="12"/>
  <c r="BG54" i="12"/>
  <c r="BF54" i="12"/>
  <c r="BE54" i="12"/>
  <c r="BD54" i="12"/>
  <c r="BC54" i="12"/>
  <c r="BB54" i="12"/>
  <c r="BA54" i="12"/>
  <c r="AZ54" i="12"/>
  <c r="AY54" i="12"/>
  <c r="AX54" i="12"/>
  <c r="AW54" i="12"/>
  <c r="AV54" i="12"/>
  <c r="AU54" i="12"/>
  <c r="AT54" i="12"/>
  <c r="AS54" i="12"/>
  <c r="AR54" i="12"/>
  <c r="AQ54" i="12"/>
  <c r="AP54" i="12"/>
  <c r="AO54" i="12"/>
  <c r="AN54" i="12"/>
  <c r="AM54" i="12"/>
  <c r="AL54" i="12"/>
  <c r="AK54" i="12"/>
  <c r="AJ54" i="12"/>
  <c r="AI54" i="12"/>
  <c r="AH54" i="12"/>
  <c r="AG54" i="12"/>
  <c r="AF54" i="12"/>
  <c r="AE54" i="12"/>
  <c r="AD54" i="12"/>
  <c r="AC54" i="12"/>
  <c r="AB54" i="12"/>
  <c r="AA54" i="12"/>
  <c r="Z54" i="12"/>
  <c r="Y54" i="12"/>
  <c r="X54" i="12"/>
  <c r="W54" i="12"/>
  <c r="V54" i="12"/>
  <c r="U54" i="12"/>
  <c r="BK53" i="12"/>
  <c r="BJ53" i="12"/>
  <c r="BJ48" i="12" s="1"/>
  <c r="BI53" i="12"/>
  <c r="BH53" i="12"/>
  <c r="BG53" i="12"/>
  <c r="BF53" i="12"/>
  <c r="BF48" i="12" s="1"/>
  <c r="BE53" i="12"/>
  <c r="BD53" i="12"/>
  <c r="BC53" i="12"/>
  <c r="BB53" i="12"/>
  <c r="BB48" i="12" s="1"/>
  <c r="BA53" i="12"/>
  <c r="AZ53" i="12"/>
  <c r="AY53" i="12"/>
  <c r="AX53" i="12"/>
  <c r="AX48" i="12" s="1"/>
  <c r="AW53" i="12"/>
  <c r="AV53" i="12"/>
  <c r="AU53" i="12"/>
  <c r="AT53" i="12"/>
  <c r="AT48" i="12" s="1"/>
  <c r="AS53" i="12"/>
  <c r="AR53" i="12"/>
  <c r="AQ53" i="12"/>
  <c r="AP53" i="12"/>
  <c r="AP48" i="12" s="1"/>
  <c r="AO53" i="12"/>
  <c r="AN53" i="12"/>
  <c r="AM53" i="12"/>
  <c r="AL53" i="12"/>
  <c r="AL48" i="12" s="1"/>
  <c r="AK53" i="12"/>
  <c r="AJ53" i="12"/>
  <c r="AI53" i="12"/>
  <c r="AH53" i="12"/>
  <c r="AH48" i="12" s="1"/>
  <c r="AG53" i="12"/>
  <c r="AF53" i="12"/>
  <c r="AE53" i="12"/>
  <c r="AD53" i="12"/>
  <c r="AD48" i="12" s="1"/>
  <c r="AC53" i="12"/>
  <c r="AB53" i="12"/>
  <c r="AA53" i="12"/>
  <c r="Z53" i="12"/>
  <c r="Z48" i="12" s="1"/>
  <c r="Y53" i="12"/>
  <c r="X53" i="12"/>
  <c r="W53" i="12"/>
  <c r="V53" i="12"/>
  <c r="V48" i="12" s="1"/>
  <c r="U53" i="12"/>
  <c r="BK52" i="12"/>
  <c r="BJ52" i="12"/>
  <c r="BI52" i="12"/>
  <c r="BH52" i="12"/>
  <c r="BG52" i="12"/>
  <c r="BF52" i="12"/>
  <c r="BE52" i="12"/>
  <c r="BD52" i="12"/>
  <c r="BC52" i="12"/>
  <c r="BB52" i="12"/>
  <c r="BA52" i="12"/>
  <c r="AZ52" i="12"/>
  <c r="AY52" i="12"/>
  <c r="AX52" i="12"/>
  <c r="AW52" i="12"/>
  <c r="AV52" i="12"/>
  <c r="AU52" i="12"/>
  <c r="AT52" i="12"/>
  <c r="AS52" i="12"/>
  <c r="AR52" i="12"/>
  <c r="AQ52" i="12"/>
  <c r="AP52" i="12"/>
  <c r="AO52" i="12"/>
  <c r="AN52" i="12"/>
  <c r="AM52" i="12"/>
  <c r="AL52" i="12"/>
  <c r="AK52" i="12"/>
  <c r="AJ52" i="12"/>
  <c r="AI52" i="12"/>
  <c r="AH52" i="12"/>
  <c r="AG52" i="12"/>
  <c r="AF52" i="12"/>
  <c r="AE52" i="12"/>
  <c r="AD52" i="12"/>
  <c r="AC52" i="12"/>
  <c r="AB52" i="12"/>
  <c r="AA52" i="12"/>
  <c r="Z52" i="12"/>
  <c r="Y52" i="12"/>
  <c r="X52" i="12"/>
  <c r="W52" i="12"/>
  <c r="V52" i="12"/>
  <c r="U52" i="12"/>
  <c r="D70" i="12"/>
  <c r="D69" i="12"/>
  <c r="D66" i="12"/>
  <c r="D65" i="12"/>
  <c r="D66" i="13"/>
  <c r="D65" i="13"/>
  <c r="D61" i="13"/>
  <c r="AG47" i="12" l="1"/>
  <c r="AS47" i="12"/>
  <c r="BA47" i="12"/>
  <c r="AE49" i="12"/>
  <c r="AQ49" i="12"/>
  <c r="BC49" i="12"/>
  <c r="H47" i="12"/>
  <c r="T47" i="12"/>
  <c r="R49" i="12"/>
  <c r="BI49" i="13"/>
  <c r="BE49" i="13"/>
  <c r="BA49" i="13"/>
  <c r="AW49" i="13"/>
  <c r="AS49" i="13"/>
  <c r="AO49" i="13"/>
  <c r="AK49" i="13"/>
  <c r="AG49" i="13"/>
  <c r="AC49" i="13"/>
  <c r="Y49" i="13"/>
  <c r="BK49" i="13"/>
  <c r="BF49" i="13"/>
  <c r="AZ49" i="13"/>
  <c r="AU49" i="13"/>
  <c r="AP49" i="13"/>
  <c r="AJ49" i="13"/>
  <c r="AE49" i="13"/>
  <c r="Z49" i="13"/>
  <c r="U49" i="13"/>
  <c r="Q49" i="13"/>
  <c r="M49" i="13"/>
  <c r="I49" i="13"/>
  <c r="E49" i="13"/>
  <c r="BK47" i="13"/>
  <c r="BG47" i="13"/>
  <c r="BC47" i="13"/>
  <c r="AY47" i="13"/>
  <c r="AU47" i="13"/>
  <c r="AQ47" i="13"/>
  <c r="AM47" i="13"/>
  <c r="AI47" i="13"/>
  <c r="AE47" i="13"/>
  <c r="AA47" i="13"/>
  <c r="W47" i="13"/>
  <c r="S47" i="13"/>
  <c r="O47" i="13"/>
  <c r="K47" i="13"/>
  <c r="G47" i="13"/>
  <c r="D49" i="13"/>
  <c r="BJ49" i="13"/>
  <c r="BD49" i="13"/>
  <c r="AY49" i="13"/>
  <c r="AT49" i="13"/>
  <c r="AN49" i="13"/>
  <c r="AI49" i="13"/>
  <c r="AD49" i="13"/>
  <c r="X49" i="13"/>
  <c r="T49" i="13"/>
  <c r="P49" i="13"/>
  <c r="L49" i="13"/>
  <c r="H49" i="13"/>
  <c r="BJ47" i="13"/>
  <c r="BF47" i="13"/>
  <c r="BB47" i="13"/>
  <c r="AX47" i="13"/>
  <c r="AT47" i="13"/>
  <c r="AP47" i="13"/>
  <c r="BH49" i="13"/>
  <c r="BC49" i="13"/>
  <c r="AX49" i="13"/>
  <c r="AR49" i="13"/>
  <c r="AM49" i="13"/>
  <c r="AH49" i="13"/>
  <c r="AB49" i="13"/>
  <c r="W49" i="13"/>
  <c r="S49" i="13"/>
  <c r="O49" i="13"/>
  <c r="K49" i="13"/>
  <c r="G49" i="13"/>
  <c r="BI47" i="13"/>
  <c r="BE47" i="13"/>
  <c r="BA47" i="13"/>
  <c r="AW47" i="13"/>
  <c r="AS47" i="13"/>
  <c r="AQ49" i="13"/>
  <c r="V49" i="13"/>
  <c r="F49" i="13"/>
  <c r="BH47" i="13"/>
  <c r="AR47" i="13"/>
  <c r="AK47" i="13"/>
  <c r="AF47" i="13"/>
  <c r="Z47" i="13"/>
  <c r="U47" i="13"/>
  <c r="P47" i="13"/>
  <c r="J47" i="13"/>
  <c r="E47" i="13"/>
  <c r="AV49" i="13"/>
  <c r="J49" i="13"/>
  <c r="AV47" i="13"/>
  <c r="AL47" i="13"/>
  <c r="V47" i="13"/>
  <c r="Q47" i="13"/>
  <c r="D47" i="13"/>
  <c r="BG49" i="13"/>
  <c r="AL49" i="13"/>
  <c r="R49" i="13"/>
  <c r="BD47" i="13"/>
  <c r="AO47" i="13"/>
  <c r="AJ47" i="13"/>
  <c r="AD47" i="13"/>
  <c r="Y47" i="13"/>
  <c r="T47" i="13"/>
  <c r="N47" i="13"/>
  <c r="I47" i="13"/>
  <c r="AA49" i="13"/>
  <c r="AB47" i="13"/>
  <c r="F47" i="13"/>
  <c r="BB49" i="13"/>
  <c r="AF49" i="13"/>
  <c r="N49" i="13"/>
  <c r="AZ47" i="13"/>
  <c r="AN47" i="13"/>
  <c r="AH47" i="13"/>
  <c r="AC47" i="13"/>
  <c r="X47" i="13"/>
  <c r="R47" i="13"/>
  <c r="M47" i="13"/>
  <c r="H47" i="13"/>
  <c r="AG47" i="13"/>
  <c r="L47" i="13"/>
  <c r="Z47" i="12"/>
  <c r="AT47" i="12"/>
  <c r="BF47" i="12"/>
  <c r="AE48" i="12"/>
  <c r="AM48" i="12"/>
  <c r="AY48" i="12"/>
  <c r="BG48" i="12"/>
  <c r="BK48" i="12"/>
  <c r="X49" i="12"/>
  <c r="AB49" i="12"/>
  <c r="AF49" i="12"/>
  <c r="AJ49" i="12"/>
  <c r="AN49" i="12"/>
  <c r="AR49" i="12"/>
  <c r="AV49" i="12"/>
  <c r="AZ49" i="12"/>
  <c r="BD49" i="12"/>
  <c r="BH49" i="12"/>
  <c r="U50" i="12"/>
  <c r="Y50" i="12"/>
  <c r="AC50" i="12"/>
  <c r="AG50" i="12"/>
  <c r="AK50" i="12"/>
  <c r="AO50" i="12"/>
  <c r="AS50" i="12"/>
  <c r="AW50" i="12"/>
  <c r="BA50" i="12"/>
  <c r="BE50" i="12"/>
  <c r="BI50" i="12"/>
  <c r="E47" i="12"/>
  <c r="I47" i="12"/>
  <c r="M47" i="12"/>
  <c r="Q47" i="12"/>
  <c r="D48" i="12"/>
  <c r="H48" i="12"/>
  <c r="L48" i="12"/>
  <c r="P48" i="12"/>
  <c r="T48" i="12"/>
  <c r="G49" i="12"/>
  <c r="K49" i="12"/>
  <c r="O49" i="12"/>
  <c r="S49" i="12"/>
  <c r="F50" i="12"/>
  <c r="J50" i="12"/>
  <c r="N50" i="12"/>
  <c r="R50" i="12"/>
  <c r="AC47" i="12"/>
  <c r="AO47" i="12"/>
  <c r="BI47" i="12"/>
  <c r="AA49" i="12"/>
  <c r="AM49" i="12"/>
  <c r="AY49" i="12"/>
  <c r="D47" i="12"/>
  <c r="N49" i="12"/>
  <c r="AD47" i="12"/>
  <c r="AP47" i="12"/>
  <c r="BB47" i="12"/>
  <c r="AA48" i="12"/>
  <c r="AU48" i="12"/>
  <c r="AA47" i="12"/>
  <c r="AI47" i="12"/>
  <c r="AU47" i="12"/>
  <c r="BG47" i="12"/>
  <c r="X48" i="12"/>
  <c r="AJ48" i="12"/>
  <c r="AR48" i="12"/>
  <c r="AZ48" i="12"/>
  <c r="U49" i="12"/>
  <c r="AG49" i="12"/>
  <c r="AO49" i="12"/>
  <c r="BA49" i="12"/>
  <c r="BI49" i="12"/>
  <c r="AD50" i="12"/>
  <c r="AP50" i="12"/>
  <c r="AX50" i="12"/>
  <c r="BB50" i="12"/>
  <c r="BJ50" i="12"/>
  <c r="F47" i="12"/>
  <c r="J47" i="12"/>
  <c r="N47" i="12"/>
  <c r="R47" i="12"/>
  <c r="E48" i="12"/>
  <c r="I48" i="12"/>
  <c r="M48" i="12"/>
  <c r="Q48" i="12"/>
  <c r="D49" i="12"/>
  <c r="H49" i="12"/>
  <c r="L49" i="12"/>
  <c r="P49" i="12"/>
  <c r="T49" i="12"/>
  <c r="G50" i="12"/>
  <c r="K50" i="12"/>
  <c r="O50" i="12"/>
  <c r="S50" i="12"/>
  <c r="U47" i="12"/>
  <c r="Y47" i="12"/>
  <c r="AK47" i="12"/>
  <c r="AW47" i="12"/>
  <c r="BE47" i="12"/>
  <c r="W49" i="12"/>
  <c r="AI49" i="12"/>
  <c r="AU49" i="12"/>
  <c r="BG49" i="12"/>
  <c r="BK49" i="12"/>
  <c r="L47" i="12"/>
  <c r="P47" i="12"/>
  <c r="F49" i="12"/>
  <c r="J49" i="12"/>
  <c r="V47" i="12"/>
  <c r="AH47" i="12"/>
  <c r="AL47" i="12"/>
  <c r="AX47" i="12"/>
  <c r="BJ47" i="12"/>
  <c r="W48" i="12"/>
  <c r="AI48" i="12"/>
  <c r="AQ48" i="12"/>
  <c r="BC48" i="12"/>
  <c r="W47" i="12"/>
  <c r="AE47" i="12"/>
  <c r="AM47" i="12"/>
  <c r="AQ47" i="12"/>
  <c r="AY47" i="12"/>
  <c r="BC47" i="12"/>
  <c r="BK47" i="12"/>
  <c r="AB48" i="12"/>
  <c r="AF48" i="12"/>
  <c r="AN48" i="12"/>
  <c r="AV48" i="12"/>
  <c r="BD48" i="12"/>
  <c r="BH48" i="12"/>
  <c r="Y49" i="12"/>
  <c r="AC49" i="12"/>
  <c r="AK49" i="12"/>
  <c r="AS49" i="12"/>
  <c r="AW49" i="12"/>
  <c r="BE49" i="12"/>
  <c r="V50" i="12"/>
  <c r="Z50" i="12"/>
  <c r="AH50" i="12"/>
  <c r="AL50" i="12"/>
  <c r="AT50" i="12"/>
  <c r="BF50" i="12"/>
  <c r="X47" i="12"/>
  <c r="AB47" i="12"/>
  <c r="AF47" i="12"/>
  <c r="AJ47" i="12"/>
  <c r="AN47" i="12"/>
  <c r="AR47" i="12"/>
  <c r="AV47" i="12"/>
  <c r="AZ47" i="12"/>
  <c r="BD47" i="12"/>
  <c r="BH47" i="12"/>
  <c r="U48" i="12"/>
  <c r="Y48" i="12"/>
  <c r="AC48" i="12"/>
  <c r="AG48" i="12"/>
  <c r="AK48" i="12"/>
  <c r="AO48" i="12"/>
  <c r="AS48" i="12"/>
  <c r="AW48" i="12"/>
  <c r="BA48" i="12"/>
  <c r="BE48" i="12"/>
  <c r="BI48" i="12"/>
  <c r="V49" i="12"/>
  <c r="Z49" i="12"/>
  <c r="AD49" i="12"/>
  <c r="AH49" i="12"/>
  <c r="AL49" i="12"/>
  <c r="AP49" i="12"/>
  <c r="AT49" i="12"/>
  <c r="AX49" i="12"/>
  <c r="BB49" i="12"/>
  <c r="BF49" i="12"/>
  <c r="BJ49" i="12"/>
  <c r="W50" i="12"/>
  <c r="AA50" i="12"/>
  <c r="AE50" i="12"/>
  <c r="AI50" i="12"/>
  <c r="AM50" i="12"/>
  <c r="AQ50" i="12"/>
  <c r="AU50" i="12"/>
  <c r="AY50" i="12"/>
  <c r="BC50" i="12"/>
  <c r="BG50" i="12"/>
  <c r="BK50" i="12"/>
  <c r="G47" i="12"/>
  <c r="K47" i="12"/>
  <c r="O47" i="12"/>
  <c r="S47" i="12"/>
  <c r="F48" i="12"/>
  <c r="J48" i="12"/>
  <c r="N48" i="12"/>
  <c r="R48" i="12"/>
  <c r="E49" i="12"/>
  <c r="I49" i="12"/>
  <c r="M49" i="12"/>
  <c r="Q49" i="12"/>
  <c r="D50" i="12"/>
  <c r="H50" i="12"/>
  <c r="L50" i="12"/>
  <c r="P50" i="12"/>
  <c r="T50" i="12"/>
  <c r="BS7" i="15" l="1"/>
  <c r="BR7" i="15"/>
  <c r="BQ7" i="15"/>
  <c r="BP7" i="15"/>
  <c r="BS6" i="15"/>
  <c r="BR6" i="15"/>
  <c r="BQ6" i="15"/>
  <c r="BP6" i="15"/>
  <c r="BS5" i="15"/>
  <c r="BR5" i="15"/>
  <c r="BQ5" i="15"/>
  <c r="BP5" i="15"/>
  <c r="BS4" i="15"/>
  <c r="BR4" i="15"/>
  <c r="BQ4" i="15"/>
  <c r="BP4" i="15"/>
  <c r="BS3" i="15"/>
  <c r="BR3" i="15"/>
  <c r="BQ3" i="15"/>
  <c r="BP3" i="15"/>
  <c r="BS2" i="15"/>
  <c r="BR2" i="15"/>
  <c r="BR11" i="15" s="1"/>
  <c r="BQ2" i="15"/>
  <c r="BP2" i="15"/>
  <c r="BP9" i="15" l="1"/>
  <c r="BP11" i="15"/>
  <c r="BQ10" i="15"/>
  <c r="BQ12" i="15"/>
  <c r="BP10" i="15"/>
  <c r="BP12" i="15"/>
  <c r="BQ9" i="15"/>
  <c r="BQ11" i="15"/>
  <c r="BR10" i="15"/>
  <c r="BR12" i="15"/>
  <c r="BS9" i="15"/>
  <c r="BS11" i="15"/>
  <c r="BS10" i="15"/>
  <c r="BS12" i="15"/>
  <c r="BR9" i="15"/>
  <c r="BR51" i="12"/>
  <c r="BQ51" i="12"/>
  <c r="BP51" i="12"/>
  <c r="BO51" i="12"/>
  <c r="BR50" i="12"/>
  <c r="BQ50" i="12"/>
  <c r="BP50" i="12"/>
  <c r="BO50" i="12"/>
  <c r="BR49" i="12"/>
  <c r="BQ49" i="12"/>
  <c r="BP49" i="12"/>
  <c r="BO49" i="12"/>
  <c r="BR48" i="12"/>
  <c r="BQ48" i="12"/>
  <c r="BP48" i="12"/>
  <c r="BO48" i="12"/>
  <c r="BR49" i="9"/>
  <c r="BR50" i="9"/>
  <c r="BQ51" i="9"/>
  <c r="BP51" i="9"/>
  <c r="BO51" i="9"/>
  <c r="BQ50" i="9"/>
  <c r="BP50" i="9"/>
  <c r="BO50" i="9"/>
  <c r="BQ49" i="9"/>
  <c r="BP49" i="9"/>
  <c r="BO49" i="9"/>
  <c r="BQ48" i="9"/>
  <c r="BP48" i="9"/>
  <c r="BO48" i="9"/>
  <c r="D62" i="13"/>
  <c r="BU50" i="13"/>
  <c r="BT50" i="13"/>
  <c r="BS50" i="13"/>
  <c r="BR50" i="13"/>
  <c r="BQ50" i="13"/>
  <c r="BP50" i="13"/>
  <c r="BO50" i="13"/>
  <c r="BU48" i="13"/>
  <c r="BT48" i="13"/>
  <c r="BS48" i="13"/>
  <c r="BR48" i="13"/>
  <c r="BQ48" i="13"/>
  <c r="BP48" i="13"/>
  <c r="BO48" i="13"/>
  <c r="BU51" i="14"/>
  <c r="BT51" i="14"/>
  <c r="BS51" i="14"/>
  <c r="BR51" i="14"/>
  <c r="BQ51" i="14"/>
  <c r="BP51" i="14"/>
  <c r="BU50" i="14"/>
  <c r="BT50" i="14"/>
  <c r="BS50" i="14"/>
  <c r="BR50" i="14"/>
  <c r="BQ50" i="14"/>
  <c r="BP50" i="14"/>
  <c r="BU49" i="14"/>
  <c r="BT49" i="14"/>
  <c r="BS49" i="14"/>
  <c r="BR49" i="14"/>
  <c r="BQ49" i="14"/>
  <c r="BP49" i="14"/>
  <c r="BU48" i="14"/>
  <c r="BV51" i="14" s="1"/>
  <c r="BT48" i="14"/>
  <c r="BS48" i="14"/>
  <c r="BR48" i="14"/>
  <c r="BQ48" i="14"/>
  <c r="BP48" i="14"/>
  <c r="BO48" i="14"/>
  <c r="BO51" i="14"/>
  <c r="BO49" i="14"/>
  <c r="BO50" i="14"/>
  <c r="BH50" i="13" l="1"/>
  <c r="BD50" i="13"/>
  <c r="BK50" i="13"/>
  <c r="BU51" i="13" s="1"/>
  <c r="BG50" i="13"/>
  <c r="BJ50" i="13"/>
  <c r="BF50" i="13"/>
  <c r="BB50" i="13"/>
  <c r="AX50" i="13"/>
  <c r="AT50" i="13"/>
  <c r="AP50" i="13"/>
  <c r="AL50" i="13"/>
  <c r="AH50" i="13"/>
  <c r="AD50" i="13"/>
  <c r="Z50" i="13"/>
  <c r="V50" i="13"/>
  <c r="R50" i="13"/>
  <c r="N50" i="13"/>
  <c r="J50" i="13"/>
  <c r="F50" i="13"/>
  <c r="BI50" i="13"/>
  <c r="AZ50" i="13"/>
  <c r="AU50" i="13"/>
  <c r="AO50" i="13"/>
  <c r="AJ50" i="13"/>
  <c r="AE50" i="13"/>
  <c r="Y50" i="13"/>
  <c r="T50" i="13"/>
  <c r="O50" i="13"/>
  <c r="I50" i="13"/>
  <c r="BH48" i="13"/>
  <c r="BD48" i="13"/>
  <c r="AZ48" i="13"/>
  <c r="AV48" i="13"/>
  <c r="AR48" i="13"/>
  <c r="AN48" i="13"/>
  <c r="AJ48" i="13"/>
  <c r="AF48" i="13"/>
  <c r="AB48" i="13"/>
  <c r="X48" i="13"/>
  <c r="T48" i="13"/>
  <c r="P48" i="13"/>
  <c r="L48" i="13"/>
  <c r="H48" i="13"/>
  <c r="BE50" i="13"/>
  <c r="AY50" i="13"/>
  <c r="AS50" i="13"/>
  <c r="AN50" i="13"/>
  <c r="AI50" i="13"/>
  <c r="AC50" i="13"/>
  <c r="X50" i="13"/>
  <c r="S50" i="13"/>
  <c r="M50" i="13"/>
  <c r="H50" i="13"/>
  <c r="BK48" i="13"/>
  <c r="BU49" i="13" s="1"/>
  <c r="BV51" i="13" s="1"/>
  <c r="BG48" i="13"/>
  <c r="BC48" i="13"/>
  <c r="AY48" i="13"/>
  <c r="AU48" i="13"/>
  <c r="AQ48" i="13"/>
  <c r="BS49" i="13" s="1"/>
  <c r="AM48" i="13"/>
  <c r="AI48" i="13"/>
  <c r="AE48" i="13"/>
  <c r="AA48" i="13"/>
  <c r="W48" i="13"/>
  <c r="BQ49" i="13" s="1"/>
  <c r="S48" i="13"/>
  <c r="O48" i="13"/>
  <c r="K48" i="13"/>
  <c r="G48" i="13"/>
  <c r="BC50" i="13"/>
  <c r="AW50" i="13"/>
  <c r="AR50" i="13"/>
  <c r="AM50" i="13"/>
  <c r="AG50" i="13"/>
  <c r="AB50" i="13"/>
  <c r="W50" i="13"/>
  <c r="Q50" i="13"/>
  <c r="L50" i="13"/>
  <c r="G50" i="13"/>
  <c r="BJ48" i="13"/>
  <c r="BF48" i="13"/>
  <c r="BB48" i="13"/>
  <c r="AX48" i="13"/>
  <c r="AT48" i="13"/>
  <c r="AP48" i="13"/>
  <c r="AL48" i="13"/>
  <c r="AH48" i="13"/>
  <c r="AD48" i="13"/>
  <c r="Z48" i="13"/>
  <c r="V48" i="13"/>
  <c r="R48" i="13"/>
  <c r="N48" i="13"/>
  <c r="J48" i="13"/>
  <c r="F48" i="13"/>
  <c r="AV50" i="13"/>
  <c r="AA50" i="13"/>
  <c r="E50" i="13"/>
  <c r="AW48" i="13"/>
  <c r="AG48" i="13"/>
  <c r="BR49" i="13" s="1"/>
  <c r="Q48" i="13"/>
  <c r="BA50" i="13"/>
  <c r="AK48" i="13"/>
  <c r="AQ50" i="13"/>
  <c r="U50" i="13"/>
  <c r="BI48" i="13"/>
  <c r="AS48" i="13"/>
  <c r="AC48" i="13"/>
  <c r="M48" i="13"/>
  <c r="BP49" i="13" s="1"/>
  <c r="D50" i="13"/>
  <c r="BO51" i="13" s="1"/>
  <c r="AF50" i="13"/>
  <c r="U48" i="13"/>
  <c r="AK50" i="13"/>
  <c r="P50" i="13"/>
  <c r="BE48" i="13"/>
  <c r="AO48" i="13"/>
  <c r="Y48" i="13"/>
  <c r="I48" i="13"/>
  <c r="D48" i="13"/>
  <c r="BO49" i="13" s="1"/>
  <c r="K50" i="13"/>
  <c r="BA48" i="13"/>
  <c r="BT49" i="13" s="1"/>
  <c r="E48" i="13"/>
  <c r="BV51" i="9"/>
  <c r="BQ51" i="13"/>
  <c r="BS51" i="13"/>
  <c r="BP51" i="13"/>
  <c r="BR51" i="13"/>
  <c r="BT51" i="13"/>
  <c r="BR48" i="9"/>
  <c r="BR51" i="9"/>
  <c r="BS51" i="12" l="1"/>
  <c r="BS49" i="12"/>
  <c r="BS48" i="9" l="1"/>
  <c r="BS50" i="9"/>
  <c r="BS51" i="9"/>
  <c r="BS49" i="9"/>
  <c r="BS48" i="12"/>
  <c r="BS50" i="12"/>
  <c r="BT51" i="12" l="1"/>
  <c r="BT49" i="12"/>
  <c r="BT51" i="9" l="1"/>
  <c r="BT49" i="9"/>
  <c r="BT50" i="9"/>
  <c r="BT48" i="9"/>
  <c r="BT48" i="12"/>
  <c r="BT50" i="12"/>
  <c r="BU49" i="12" l="1"/>
  <c r="BU51" i="12"/>
  <c r="BU48" i="9" l="1"/>
  <c r="BU50" i="9"/>
  <c r="BU49" i="9"/>
  <c r="BU51" i="9"/>
  <c r="BU50" i="12"/>
  <c r="BU48" i="12"/>
  <c r="BV51" i="12" s="1"/>
  <c r="BK40" i="14" l="1"/>
  <c r="BU39" i="14" s="1"/>
  <c r="BJ40" i="14"/>
  <c r="BI40" i="14"/>
  <c r="BH40" i="14"/>
  <c r="BG40" i="14"/>
  <c r="BF40" i="14"/>
  <c r="BE40" i="14"/>
  <c r="BD40" i="14"/>
  <c r="BC40" i="14"/>
  <c r="BB40" i="14"/>
  <c r="BA40" i="14"/>
  <c r="BT39" i="14" s="1"/>
  <c r="AZ40" i="14"/>
  <c r="AY40" i="14"/>
  <c r="AX40" i="14"/>
  <c r="AW40" i="14"/>
  <c r="AV40" i="14"/>
  <c r="AU40" i="14"/>
  <c r="AT40" i="14"/>
  <c r="AS40" i="14"/>
  <c r="AR40" i="14"/>
  <c r="AQ40" i="14"/>
  <c r="BS39" i="14" s="1"/>
  <c r="AP40" i="14"/>
  <c r="AO40" i="14"/>
  <c r="AN40" i="14"/>
  <c r="AM40" i="14"/>
  <c r="AL40" i="14"/>
  <c r="AK40" i="14"/>
  <c r="AJ40" i="14"/>
  <c r="AI40" i="14"/>
  <c r="AH40" i="14"/>
  <c r="AG40" i="14"/>
  <c r="BR39" i="14" s="1"/>
  <c r="AF40" i="14"/>
  <c r="AE40" i="14"/>
  <c r="AD40" i="14"/>
  <c r="AC40" i="14"/>
  <c r="AB40" i="14"/>
  <c r="AA40" i="14"/>
  <c r="Z40" i="14"/>
  <c r="Y40" i="14"/>
  <c r="X40" i="14"/>
  <c r="W40" i="14"/>
  <c r="BQ39" i="14" s="1"/>
  <c r="V40" i="14"/>
  <c r="U40" i="14"/>
  <c r="T40" i="14"/>
  <c r="S40" i="14"/>
  <c r="R40" i="14"/>
  <c r="Q40" i="14"/>
  <c r="P40" i="14"/>
  <c r="O40" i="14"/>
  <c r="N40" i="14"/>
  <c r="M40" i="14"/>
  <c r="BP39" i="14" s="1"/>
  <c r="L40" i="14"/>
  <c r="K40" i="14"/>
  <c r="J40" i="14"/>
  <c r="I40" i="14"/>
  <c r="H40" i="14"/>
  <c r="G40" i="14"/>
  <c r="F40" i="14"/>
  <c r="E40" i="14"/>
  <c r="D40" i="14"/>
  <c r="BO39" i="14" s="1"/>
  <c r="BK39" i="14"/>
  <c r="BU38" i="14" s="1"/>
  <c r="BJ39" i="14"/>
  <c r="BI39" i="14"/>
  <c r="BH39" i="14"/>
  <c r="BG39" i="14"/>
  <c r="BF39" i="14"/>
  <c r="BE39" i="14"/>
  <c r="BD39" i="14"/>
  <c r="BC39" i="14"/>
  <c r="BB39" i="14"/>
  <c r="BA39" i="14"/>
  <c r="BT38" i="14" s="1"/>
  <c r="AZ39" i="14"/>
  <c r="AY39" i="14"/>
  <c r="AX39" i="14"/>
  <c r="AW39" i="14"/>
  <c r="AV39" i="14"/>
  <c r="AU39" i="14"/>
  <c r="AT39" i="14"/>
  <c r="AS39" i="14"/>
  <c r="AR39" i="14"/>
  <c r="AQ39" i="14"/>
  <c r="BS38" i="14" s="1"/>
  <c r="AP39" i="14"/>
  <c r="AO39" i="14"/>
  <c r="AN39" i="14"/>
  <c r="AM39" i="14"/>
  <c r="AL39" i="14"/>
  <c r="AK39" i="14"/>
  <c r="AJ39" i="14"/>
  <c r="AI39" i="14"/>
  <c r="AH39" i="14"/>
  <c r="AG39" i="14"/>
  <c r="BR38" i="14" s="1"/>
  <c r="AF39" i="14"/>
  <c r="AE39" i="14"/>
  <c r="AD39" i="14"/>
  <c r="AC39" i="14"/>
  <c r="AB39" i="14"/>
  <c r="AA39" i="14"/>
  <c r="Z39" i="14"/>
  <c r="Y39" i="14"/>
  <c r="X39" i="14"/>
  <c r="W39" i="14"/>
  <c r="BQ38" i="14" s="1"/>
  <c r="V39" i="14"/>
  <c r="U39" i="14"/>
  <c r="T39" i="14"/>
  <c r="S39" i="14"/>
  <c r="R39" i="14"/>
  <c r="Q39" i="14"/>
  <c r="P39" i="14"/>
  <c r="O39" i="14"/>
  <c r="N39" i="14"/>
  <c r="M39" i="14"/>
  <c r="BP38" i="14" s="1"/>
  <c r="L39" i="14"/>
  <c r="K39" i="14"/>
  <c r="J39" i="14"/>
  <c r="I39" i="14"/>
  <c r="H39" i="14"/>
  <c r="G39" i="14"/>
  <c r="F39" i="14"/>
  <c r="E39" i="14"/>
  <c r="D39" i="14"/>
  <c r="BO38" i="14" s="1"/>
  <c r="BK38" i="14"/>
  <c r="BU37" i="14" s="1"/>
  <c r="BJ38" i="14"/>
  <c r="BI38" i="14"/>
  <c r="BH38" i="14"/>
  <c r="BG38" i="14"/>
  <c r="BF38" i="14"/>
  <c r="BE38" i="14"/>
  <c r="BD38" i="14"/>
  <c r="BC38" i="14"/>
  <c r="BB38" i="14"/>
  <c r="BA38" i="14"/>
  <c r="BT37" i="14" s="1"/>
  <c r="AZ38" i="14"/>
  <c r="AY38" i="14"/>
  <c r="AX38" i="14"/>
  <c r="AW38" i="14"/>
  <c r="AV38" i="14"/>
  <c r="AU38" i="14"/>
  <c r="AT38" i="14"/>
  <c r="AS38" i="14"/>
  <c r="AR38" i="14"/>
  <c r="AQ38" i="14"/>
  <c r="BS37" i="14" s="1"/>
  <c r="AP38" i="14"/>
  <c r="AO38" i="14"/>
  <c r="AN38" i="14"/>
  <c r="AM38" i="14"/>
  <c r="AL38" i="14"/>
  <c r="AK38" i="14"/>
  <c r="AJ38" i="14"/>
  <c r="AI38" i="14"/>
  <c r="AH38" i="14"/>
  <c r="AG38" i="14"/>
  <c r="BR37" i="14" s="1"/>
  <c r="AF38" i="14"/>
  <c r="AE38" i="14"/>
  <c r="AD38" i="14"/>
  <c r="AC38" i="14"/>
  <c r="AB38" i="14"/>
  <c r="AA38" i="14"/>
  <c r="Z38" i="14"/>
  <c r="Y38" i="14"/>
  <c r="X38" i="14"/>
  <c r="W38" i="14"/>
  <c r="BQ37" i="14" s="1"/>
  <c r="V38" i="14"/>
  <c r="U38" i="14"/>
  <c r="T38" i="14"/>
  <c r="S38" i="14"/>
  <c r="R38" i="14"/>
  <c r="Q38" i="14"/>
  <c r="P38" i="14"/>
  <c r="O38" i="14"/>
  <c r="N38" i="14"/>
  <c r="M38" i="14"/>
  <c r="BP37" i="14" s="1"/>
  <c r="L38" i="14"/>
  <c r="K38" i="14"/>
  <c r="J38" i="14"/>
  <c r="I38" i="14"/>
  <c r="H38" i="14"/>
  <c r="G38" i="14"/>
  <c r="F38" i="14"/>
  <c r="E38" i="14"/>
  <c r="D38" i="14"/>
  <c r="BO37" i="14" s="1"/>
  <c r="BK37" i="14"/>
  <c r="BU36" i="14" s="1"/>
  <c r="BJ37" i="14"/>
  <c r="BI37" i="14"/>
  <c r="BH37" i="14"/>
  <c r="BG37" i="14"/>
  <c r="BF37" i="14"/>
  <c r="BE37" i="14"/>
  <c r="BD37" i="14"/>
  <c r="BC37" i="14"/>
  <c r="BB37" i="14"/>
  <c r="BA37" i="14"/>
  <c r="BT36" i="14" s="1"/>
  <c r="AZ37" i="14"/>
  <c r="AY37" i="14"/>
  <c r="AX37" i="14"/>
  <c r="AW37" i="14"/>
  <c r="AV37" i="14"/>
  <c r="AU37" i="14"/>
  <c r="AT37" i="14"/>
  <c r="AS37" i="14"/>
  <c r="AR37" i="14"/>
  <c r="AQ37" i="14"/>
  <c r="BS36" i="14" s="1"/>
  <c r="AP37" i="14"/>
  <c r="AO37" i="14"/>
  <c r="AN37" i="14"/>
  <c r="AM37" i="14"/>
  <c r="AL37" i="14"/>
  <c r="AK37" i="14"/>
  <c r="AJ37" i="14"/>
  <c r="AI37" i="14"/>
  <c r="AH37" i="14"/>
  <c r="AG37" i="14"/>
  <c r="BR36" i="14" s="1"/>
  <c r="AF37" i="14"/>
  <c r="AE37" i="14"/>
  <c r="AD37" i="14"/>
  <c r="AC37" i="14"/>
  <c r="AB37" i="14"/>
  <c r="AA37" i="14"/>
  <c r="Z37" i="14"/>
  <c r="Y37" i="14"/>
  <c r="X37" i="14"/>
  <c r="W37" i="14"/>
  <c r="BQ36" i="14" s="1"/>
  <c r="V37" i="14"/>
  <c r="U37" i="14"/>
  <c r="T37" i="14"/>
  <c r="S37" i="14"/>
  <c r="R37" i="14"/>
  <c r="Q37" i="14"/>
  <c r="P37" i="14"/>
  <c r="O37" i="14"/>
  <c r="N37" i="14"/>
  <c r="M37" i="14"/>
  <c r="BP36" i="14" s="1"/>
  <c r="L37" i="14"/>
  <c r="K37" i="14"/>
  <c r="J37" i="14"/>
  <c r="I37" i="14"/>
  <c r="H37" i="14"/>
  <c r="G37" i="14"/>
  <c r="F37" i="14"/>
  <c r="E37" i="14"/>
  <c r="D37" i="14"/>
  <c r="BO36" i="14" s="1"/>
  <c r="BK36" i="14"/>
  <c r="BU35" i="14" s="1"/>
  <c r="BJ36" i="14"/>
  <c r="BI36" i="14"/>
  <c r="BH36" i="14"/>
  <c r="BG36" i="14"/>
  <c r="BF36" i="14"/>
  <c r="BE36" i="14"/>
  <c r="BD36" i="14"/>
  <c r="BC36" i="14"/>
  <c r="BB36" i="14"/>
  <c r="BA36" i="14"/>
  <c r="BT35" i="14" s="1"/>
  <c r="AZ36" i="14"/>
  <c r="AY36" i="14"/>
  <c r="AX36" i="14"/>
  <c r="AW36" i="14"/>
  <c r="AV36" i="14"/>
  <c r="AU36" i="14"/>
  <c r="AT36" i="14"/>
  <c r="AS36" i="14"/>
  <c r="AR36" i="14"/>
  <c r="AQ36" i="14"/>
  <c r="BS35" i="14" s="1"/>
  <c r="AP36" i="14"/>
  <c r="AO36" i="14"/>
  <c r="AN36" i="14"/>
  <c r="AM36" i="14"/>
  <c r="AL36" i="14"/>
  <c r="AK36" i="14"/>
  <c r="AJ36" i="14"/>
  <c r="AI36" i="14"/>
  <c r="AH36" i="14"/>
  <c r="AG36" i="14"/>
  <c r="BR35" i="14" s="1"/>
  <c r="AF36" i="14"/>
  <c r="AE36" i="14"/>
  <c r="AD36" i="14"/>
  <c r="AC36" i="14"/>
  <c r="AB36" i="14"/>
  <c r="AA36" i="14"/>
  <c r="Z36" i="14"/>
  <c r="Y36" i="14"/>
  <c r="X36" i="14"/>
  <c r="W36" i="14"/>
  <c r="BQ35" i="14" s="1"/>
  <c r="V36" i="14"/>
  <c r="U36" i="14"/>
  <c r="T36" i="14"/>
  <c r="S36" i="14"/>
  <c r="R36" i="14"/>
  <c r="Q36" i="14"/>
  <c r="P36" i="14"/>
  <c r="O36" i="14"/>
  <c r="N36" i="14"/>
  <c r="M36" i="14"/>
  <c r="BP35" i="14" s="1"/>
  <c r="L36" i="14"/>
  <c r="K36" i="14"/>
  <c r="J36" i="14"/>
  <c r="I36" i="14"/>
  <c r="H36" i="14"/>
  <c r="G36" i="14"/>
  <c r="F36" i="14"/>
  <c r="E36" i="14"/>
  <c r="D36" i="14"/>
  <c r="BO35" i="14" s="1"/>
  <c r="BK35" i="14"/>
  <c r="BU34" i="14" s="1"/>
  <c r="BJ35" i="14"/>
  <c r="BI35" i="14"/>
  <c r="BH35" i="14"/>
  <c r="BG35" i="14"/>
  <c r="BF35" i="14"/>
  <c r="BE35" i="14"/>
  <c r="BD35" i="14"/>
  <c r="BC35" i="14"/>
  <c r="BB35" i="14"/>
  <c r="BA35" i="14"/>
  <c r="BT34" i="14" s="1"/>
  <c r="AZ35" i="14"/>
  <c r="AY35" i="14"/>
  <c r="AX35" i="14"/>
  <c r="AW35" i="14"/>
  <c r="AV35" i="14"/>
  <c r="AU35" i="14"/>
  <c r="AT35" i="14"/>
  <c r="AS35" i="14"/>
  <c r="AR35" i="14"/>
  <c r="AQ35" i="14"/>
  <c r="BS34" i="14" s="1"/>
  <c r="AP35" i="14"/>
  <c r="AO35" i="14"/>
  <c r="AN35" i="14"/>
  <c r="AM35" i="14"/>
  <c r="AL35" i="14"/>
  <c r="AK35" i="14"/>
  <c r="AJ35" i="14"/>
  <c r="AI35" i="14"/>
  <c r="AH35" i="14"/>
  <c r="AG35" i="14"/>
  <c r="BR34" i="14" s="1"/>
  <c r="AF35" i="14"/>
  <c r="AE35" i="14"/>
  <c r="AD35" i="14"/>
  <c r="AC35" i="14"/>
  <c r="AB35" i="14"/>
  <c r="AA35" i="14"/>
  <c r="Z35" i="14"/>
  <c r="Y35" i="14"/>
  <c r="X35" i="14"/>
  <c r="W35" i="14"/>
  <c r="BQ34" i="14" s="1"/>
  <c r="V35" i="14"/>
  <c r="U35" i="14"/>
  <c r="T35" i="14"/>
  <c r="S35" i="14"/>
  <c r="R35" i="14"/>
  <c r="Q35" i="14"/>
  <c r="P35" i="14"/>
  <c r="O35" i="14"/>
  <c r="N35" i="14"/>
  <c r="M35" i="14"/>
  <c r="BP34" i="14" s="1"/>
  <c r="L35" i="14"/>
  <c r="K35" i="14"/>
  <c r="J35" i="14"/>
  <c r="I35" i="14"/>
  <c r="H35" i="14"/>
  <c r="G35" i="14"/>
  <c r="F35" i="14"/>
  <c r="E35" i="14"/>
  <c r="D35" i="14"/>
  <c r="BO34" i="14" s="1"/>
  <c r="BK34" i="14"/>
  <c r="BU33" i="14" s="1"/>
  <c r="BJ34" i="14"/>
  <c r="BI34" i="14"/>
  <c r="BH34" i="14"/>
  <c r="BG34" i="14"/>
  <c r="BF34" i="14"/>
  <c r="BE34" i="14"/>
  <c r="BD34" i="14"/>
  <c r="BC34" i="14"/>
  <c r="BB34" i="14"/>
  <c r="BA34" i="14"/>
  <c r="BT33" i="14" s="1"/>
  <c r="AZ34" i="14"/>
  <c r="AY34" i="14"/>
  <c r="AX34" i="14"/>
  <c r="AW34" i="14"/>
  <c r="AV34" i="14"/>
  <c r="AU34" i="14"/>
  <c r="AT34" i="14"/>
  <c r="AS34" i="14"/>
  <c r="AR34" i="14"/>
  <c r="AQ34" i="14"/>
  <c r="BS33" i="14" s="1"/>
  <c r="AP34" i="14"/>
  <c r="AO34" i="14"/>
  <c r="AN34" i="14"/>
  <c r="AM34" i="14"/>
  <c r="AL34" i="14"/>
  <c r="AK34" i="14"/>
  <c r="AJ34" i="14"/>
  <c r="AI34" i="14"/>
  <c r="AH34" i="14"/>
  <c r="AG34" i="14"/>
  <c r="BR33" i="14" s="1"/>
  <c r="AF34" i="14"/>
  <c r="AE34" i="14"/>
  <c r="AD34" i="14"/>
  <c r="AC34" i="14"/>
  <c r="AB34" i="14"/>
  <c r="AA34" i="14"/>
  <c r="Z34" i="14"/>
  <c r="Y34" i="14"/>
  <c r="X34" i="14"/>
  <c r="W34" i="14"/>
  <c r="BQ33" i="14" s="1"/>
  <c r="V34" i="14"/>
  <c r="U34" i="14"/>
  <c r="T34" i="14"/>
  <c r="S34" i="14"/>
  <c r="R34" i="14"/>
  <c r="Q34" i="14"/>
  <c r="P34" i="14"/>
  <c r="O34" i="14"/>
  <c r="N34" i="14"/>
  <c r="M34" i="14"/>
  <c r="BP33" i="14" s="1"/>
  <c r="L34" i="14"/>
  <c r="K34" i="14"/>
  <c r="J34" i="14"/>
  <c r="I34" i="14"/>
  <c r="H34" i="14"/>
  <c r="G34" i="14"/>
  <c r="F34" i="14"/>
  <c r="E34" i="14"/>
  <c r="D34" i="14"/>
  <c r="BO33" i="14" s="1"/>
  <c r="BK32" i="14"/>
  <c r="BU32" i="14" s="1"/>
  <c r="BJ32" i="14"/>
  <c r="BI32" i="14"/>
  <c r="BH32" i="14"/>
  <c r="BG32" i="14"/>
  <c r="BF32" i="14"/>
  <c r="BE32" i="14"/>
  <c r="BD32" i="14"/>
  <c r="BC32" i="14"/>
  <c r="BB32" i="14"/>
  <c r="BA32" i="14"/>
  <c r="BT32" i="14" s="1"/>
  <c r="AZ32" i="14"/>
  <c r="AY32" i="14"/>
  <c r="AX32" i="14"/>
  <c r="AW32" i="14"/>
  <c r="AV32" i="14"/>
  <c r="AU32" i="14"/>
  <c r="AT32" i="14"/>
  <c r="AS32" i="14"/>
  <c r="AR32" i="14"/>
  <c r="AQ32" i="14"/>
  <c r="BS32" i="14" s="1"/>
  <c r="AP32" i="14"/>
  <c r="AO32" i="14"/>
  <c r="AN32" i="14"/>
  <c r="AM32" i="14"/>
  <c r="AL32" i="14"/>
  <c r="AK32" i="14"/>
  <c r="AJ32" i="14"/>
  <c r="AI32" i="14"/>
  <c r="AH32" i="14"/>
  <c r="AG32" i="14"/>
  <c r="BR32" i="14" s="1"/>
  <c r="AF32" i="14"/>
  <c r="AE32" i="14"/>
  <c r="AD32" i="14"/>
  <c r="AC32" i="14"/>
  <c r="AB32" i="14"/>
  <c r="AA32" i="14"/>
  <c r="Z32" i="14"/>
  <c r="Y32" i="14"/>
  <c r="X32" i="14"/>
  <c r="W32" i="14"/>
  <c r="BQ32" i="14" s="1"/>
  <c r="V32" i="14"/>
  <c r="U32" i="14"/>
  <c r="T32" i="14"/>
  <c r="S32" i="14"/>
  <c r="R32" i="14"/>
  <c r="Q32" i="14"/>
  <c r="P32" i="14"/>
  <c r="O32" i="14"/>
  <c r="N32" i="14"/>
  <c r="M32" i="14"/>
  <c r="BP32" i="14" s="1"/>
  <c r="L32" i="14"/>
  <c r="K32" i="14"/>
  <c r="J32" i="14"/>
  <c r="I32" i="14"/>
  <c r="H32" i="14"/>
  <c r="G32" i="14"/>
  <c r="F32" i="14"/>
  <c r="E32" i="14"/>
  <c r="D32" i="14"/>
  <c r="BO32" i="14" s="1"/>
  <c r="BK31" i="14"/>
  <c r="BU31" i="14" s="1"/>
  <c r="BJ31" i="14"/>
  <c r="BI31" i="14"/>
  <c r="BH31" i="14"/>
  <c r="BG31" i="14"/>
  <c r="BF31" i="14"/>
  <c r="BE31" i="14"/>
  <c r="BD31" i="14"/>
  <c r="BC31" i="14"/>
  <c r="BB31" i="14"/>
  <c r="BA31" i="14"/>
  <c r="BT31" i="14" s="1"/>
  <c r="AZ31" i="14"/>
  <c r="AY31" i="14"/>
  <c r="AX31" i="14"/>
  <c r="AW31" i="14"/>
  <c r="AV31" i="14"/>
  <c r="AU31" i="14"/>
  <c r="AT31" i="14"/>
  <c r="AS31" i="14"/>
  <c r="AR31" i="14"/>
  <c r="AQ31" i="14"/>
  <c r="BS31" i="14" s="1"/>
  <c r="AP31" i="14"/>
  <c r="AO31" i="14"/>
  <c r="AN31" i="14"/>
  <c r="AM31" i="14"/>
  <c r="AL31" i="14"/>
  <c r="AK31" i="14"/>
  <c r="AJ31" i="14"/>
  <c r="AI31" i="14"/>
  <c r="AH31" i="14"/>
  <c r="AG31" i="14"/>
  <c r="BR31" i="14" s="1"/>
  <c r="AF31" i="14"/>
  <c r="AE31" i="14"/>
  <c r="AD31" i="14"/>
  <c r="AC31" i="14"/>
  <c r="AB31" i="14"/>
  <c r="AA31" i="14"/>
  <c r="Z31" i="14"/>
  <c r="Y31" i="14"/>
  <c r="X31" i="14"/>
  <c r="W31" i="14"/>
  <c r="BQ31" i="14" s="1"/>
  <c r="V31" i="14"/>
  <c r="U31" i="14"/>
  <c r="T31" i="14"/>
  <c r="S31" i="14"/>
  <c r="R31" i="14"/>
  <c r="Q31" i="14"/>
  <c r="P31" i="14"/>
  <c r="O31" i="14"/>
  <c r="N31" i="14"/>
  <c r="M31" i="14"/>
  <c r="BP31" i="14" s="1"/>
  <c r="L31" i="14"/>
  <c r="K31" i="14"/>
  <c r="J31" i="14"/>
  <c r="I31" i="14"/>
  <c r="H31" i="14"/>
  <c r="G31" i="14"/>
  <c r="F31" i="14"/>
  <c r="E31" i="14"/>
  <c r="D31" i="14"/>
  <c r="BO31" i="14" s="1"/>
  <c r="BK30" i="14"/>
  <c r="BU30" i="14" s="1"/>
  <c r="BJ30" i="14"/>
  <c r="BI30" i="14"/>
  <c r="BH30" i="14"/>
  <c r="BG30" i="14"/>
  <c r="BF30" i="14"/>
  <c r="BE30" i="14"/>
  <c r="BD30" i="14"/>
  <c r="BC30" i="14"/>
  <c r="BB30" i="14"/>
  <c r="BA30" i="14"/>
  <c r="BT30" i="14" s="1"/>
  <c r="AZ30" i="14"/>
  <c r="AY30" i="14"/>
  <c r="AX30" i="14"/>
  <c r="AW30" i="14"/>
  <c r="AV30" i="14"/>
  <c r="AU30" i="14"/>
  <c r="AT30" i="14"/>
  <c r="AS30" i="14"/>
  <c r="AR30" i="14"/>
  <c r="AQ30" i="14"/>
  <c r="BS30" i="14" s="1"/>
  <c r="AP30" i="14"/>
  <c r="AO30" i="14"/>
  <c r="AN30" i="14"/>
  <c r="AM30" i="14"/>
  <c r="AL30" i="14"/>
  <c r="AK30" i="14"/>
  <c r="AJ30" i="14"/>
  <c r="AI30" i="14"/>
  <c r="AH30" i="14"/>
  <c r="AG30" i="14"/>
  <c r="BR30" i="14" s="1"/>
  <c r="AF30" i="14"/>
  <c r="AE30" i="14"/>
  <c r="AD30" i="14"/>
  <c r="AC30" i="14"/>
  <c r="AB30" i="14"/>
  <c r="AA30" i="14"/>
  <c r="Z30" i="14"/>
  <c r="Y30" i="14"/>
  <c r="X30" i="14"/>
  <c r="W30" i="14"/>
  <c r="BQ30" i="14" s="1"/>
  <c r="V30" i="14"/>
  <c r="U30" i="14"/>
  <c r="T30" i="14"/>
  <c r="S30" i="14"/>
  <c r="R30" i="14"/>
  <c r="Q30" i="14"/>
  <c r="P30" i="14"/>
  <c r="O30" i="14"/>
  <c r="N30" i="14"/>
  <c r="M30" i="14"/>
  <c r="BP30" i="14" s="1"/>
  <c r="L30" i="14"/>
  <c r="K30" i="14"/>
  <c r="J30" i="14"/>
  <c r="I30" i="14"/>
  <c r="H30" i="14"/>
  <c r="G30" i="14"/>
  <c r="F30" i="14"/>
  <c r="E30" i="14"/>
  <c r="D30" i="14"/>
  <c r="BO30" i="14" s="1"/>
  <c r="BK29" i="14"/>
  <c r="BU29" i="14" s="1"/>
  <c r="BJ29" i="14"/>
  <c r="BI29" i="14"/>
  <c r="BH29" i="14"/>
  <c r="BG29" i="14"/>
  <c r="BF29" i="14"/>
  <c r="BE29" i="14"/>
  <c r="BD29" i="14"/>
  <c r="BC29" i="14"/>
  <c r="BB29" i="14"/>
  <c r="BA29" i="14"/>
  <c r="BT29" i="14" s="1"/>
  <c r="AZ29" i="14"/>
  <c r="AY29" i="14"/>
  <c r="AX29" i="14"/>
  <c r="AW29" i="14"/>
  <c r="AV29" i="14"/>
  <c r="AU29" i="14"/>
  <c r="AT29" i="14"/>
  <c r="AS29" i="14"/>
  <c r="AR29" i="14"/>
  <c r="AQ29" i="14"/>
  <c r="BS29" i="14" s="1"/>
  <c r="AP29" i="14"/>
  <c r="AO29" i="14"/>
  <c r="AN29" i="14"/>
  <c r="AM29" i="14"/>
  <c r="AL29" i="14"/>
  <c r="AK29" i="14"/>
  <c r="AJ29" i="14"/>
  <c r="AI29" i="14"/>
  <c r="AH29" i="14"/>
  <c r="AG29" i="14"/>
  <c r="BR29" i="14" s="1"/>
  <c r="AF29" i="14"/>
  <c r="AE29" i="14"/>
  <c r="AD29" i="14"/>
  <c r="AC29" i="14"/>
  <c r="AB29" i="14"/>
  <c r="AA29" i="14"/>
  <c r="Z29" i="14"/>
  <c r="Y29" i="14"/>
  <c r="X29" i="14"/>
  <c r="W29" i="14"/>
  <c r="BQ29" i="14" s="1"/>
  <c r="V29" i="14"/>
  <c r="U29" i="14"/>
  <c r="T29" i="14"/>
  <c r="S29" i="14"/>
  <c r="R29" i="14"/>
  <c r="Q29" i="14"/>
  <c r="P29" i="14"/>
  <c r="O29" i="14"/>
  <c r="N29" i="14"/>
  <c r="M29" i="14"/>
  <c r="BP29" i="14" s="1"/>
  <c r="L29" i="14"/>
  <c r="K29" i="14"/>
  <c r="J29" i="14"/>
  <c r="I29" i="14"/>
  <c r="H29" i="14"/>
  <c r="G29" i="14"/>
  <c r="F29" i="14"/>
  <c r="E29" i="14"/>
  <c r="D29" i="14"/>
  <c r="BO29" i="14" s="1"/>
  <c r="BK28" i="14"/>
  <c r="BU28" i="14" s="1"/>
  <c r="BJ28" i="14"/>
  <c r="BI28" i="14"/>
  <c r="BH28" i="14"/>
  <c r="BG28" i="14"/>
  <c r="BF28" i="14"/>
  <c r="BE28" i="14"/>
  <c r="BD28" i="14"/>
  <c r="BC28" i="14"/>
  <c r="BB28" i="14"/>
  <c r="BA28" i="14"/>
  <c r="BT28" i="14" s="1"/>
  <c r="AZ28" i="14"/>
  <c r="AY28" i="14"/>
  <c r="AX28" i="14"/>
  <c r="AW28" i="14"/>
  <c r="AV28" i="14"/>
  <c r="AU28" i="14"/>
  <c r="AT28" i="14"/>
  <c r="AS28" i="14"/>
  <c r="AR28" i="14"/>
  <c r="AQ28" i="14"/>
  <c r="BS28" i="14" s="1"/>
  <c r="AP28" i="14"/>
  <c r="AO28" i="14"/>
  <c r="AN28" i="14"/>
  <c r="AM28" i="14"/>
  <c r="AL28" i="14"/>
  <c r="AK28" i="14"/>
  <c r="AJ28" i="14"/>
  <c r="AI28" i="14"/>
  <c r="AH28" i="14"/>
  <c r="AG28" i="14"/>
  <c r="BR28" i="14" s="1"/>
  <c r="AF28" i="14"/>
  <c r="AE28" i="14"/>
  <c r="AD28" i="14"/>
  <c r="AC28" i="14"/>
  <c r="AB28" i="14"/>
  <c r="AA28" i="14"/>
  <c r="Z28" i="14"/>
  <c r="Y28" i="14"/>
  <c r="X28" i="14"/>
  <c r="W28" i="14"/>
  <c r="BQ28" i="14" s="1"/>
  <c r="V28" i="14"/>
  <c r="U28" i="14"/>
  <c r="T28" i="14"/>
  <c r="S28" i="14"/>
  <c r="R28" i="14"/>
  <c r="Q28" i="14"/>
  <c r="P28" i="14"/>
  <c r="O28" i="14"/>
  <c r="N28" i="14"/>
  <c r="M28" i="14"/>
  <c r="BP28" i="14" s="1"/>
  <c r="L28" i="14"/>
  <c r="K28" i="14"/>
  <c r="J28" i="14"/>
  <c r="I28" i="14"/>
  <c r="H28" i="14"/>
  <c r="G28" i="14"/>
  <c r="F28" i="14"/>
  <c r="E28" i="14"/>
  <c r="D28" i="14"/>
  <c r="BO28" i="14" s="1"/>
  <c r="BK27" i="14"/>
  <c r="BU27" i="14" s="1"/>
  <c r="BJ27" i="14"/>
  <c r="BI27" i="14"/>
  <c r="BH27" i="14"/>
  <c r="BG27" i="14"/>
  <c r="BF27" i="14"/>
  <c r="BE27" i="14"/>
  <c r="BD27" i="14"/>
  <c r="BC27" i="14"/>
  <c r="BB27" i="14"/>
  <c r="BA27" i="14"/>
  <c r="BT27" i="14" s="1"/>
  <c r="AZ27" i="14"/>
  <c r="AY27" i="14"/>
  <c r="AX27" i="14"/>
  <c r="AW27" i="14"/>
  <c r="AV27" i="14"/>
  <c r="AU27" i="14"/>
  <c r="AT27" i="14"/>
  <c r="AS27" i="14"/>
  <c r="AR27" i="14"/>
  <c r="AQ27" i="14"/>
  <c r="BS27" i="14" s="1"/>
  <c r="AP27" i="14"/>
  <c r="AO27" i="14"/>
  <c r="AN27" i="14"/>
  <c r="AM27" i="14"/>
  <c r="AL27" i="14"/>
  <c r="AK27" i="14"/>
  <c r="AJ27" i="14"/>
  <c r="AI27" i="14"/>
  <c r="AH27" i="14"/>
  <c r="AG27" i="14"/>
  <c r="BR27" i="14" s="1"/>
  <c r="AF27" i="14"/>
  <c r="AE27" i="14"/>
  <c r="AD27" i="14"/>
  <c r="AC27" i="14"/>
  <c r="AB27" i="14"/>
  <c r="AA27" i="14"/>
  <c r="Z27" i="14"/>
  <c r="Y27" i="14"/>
  <c r="X27" i="14"/>
  <c r="W27" i="14"/>
  <c r="BQ27" i="14" s="1"/>
  <c r="V27" i="14"/>
  <c r="U27" i="14"/>
  <c r="T27" i="14"/>
  <c r="S27" i="14"/>
  <c r="R27" i="14"/>
  <c r="Q27" i="14"/>
  <c r="P27" i="14"/>
  <c r="O27" i="14"/>
  <c r="N27" i="14"/>
  <c r="M27" i="14"/>
  <c r="BP27" i="14" s="1"/>
  <c r="L27" i="14"/>
  <c r="K27" i="14"/>
  <c r="J27" i="14"/>
  <c r="I27" i="14"/>
  <c r="H27" i="14"/>
  <c r="G27" i="14"/>
  <c r="F27" i="14"/>
  <c r="E27" i="14"/>
  <c r="D27" i="14"/>
  <c r="BO27" i="14" s="1"/>
  <c r="BK26" i="14"/>
  <c r="BU26" i="14" s="1"/>
  <c r="BJ26" i="14"/>
  <c r="BI26" i="14"/>
  <c r="BH26" i="14"/>
  <c r="BG26" i="14"/>
  <c r="BF26" i="14"/>
  <c r="BE26" i="14"/>
  <c r="BD26" i="14"/>
  <c r="BC26" i="14"/>
  <c r="BB26" i="14"/>
  <c r="BA26" i="14"/>
  <c r="BT26" i="14" s="1"/>
  <c r="AZ26" i="14"/>
  <c r="AY26" i="14"/>
  <c r="AX26" i="14"/>
  <c r="AW26" i="14"/>
  <c r="AV26" i="14"/>
  <c r="AU26" i="14"/>
  <c r="AT26" i="14"/>
  <c r="AS26" i="14"/>
  <c r="AR26" i="14"/>
  <c r="AQ26" i="14"/>
  <c r="BS26" i="14" s="1"/>
  <c r="AP26" i="14"/>
  <c r="AO26" i="14"/>
  <c r="AN26" i="14"/>
  <c r="AM26" i="14"/>
  <c r="AL26" i="14"/>
  <c r="AK26" i="14"/>
  <c r="AJ26" i="14"/>
  <c r="AI26" i="14"/>
  <c r="AH26" i="14"/>
  <c r="AG26" i="14"/>
  <c r="BR26" i="14" s="1"/>
  <c r="AF26" i="14"/>
  <c r="AE26" i="14"/>
  <c r="AD26" i="14"/>
  <c r="AC26" i="14"/>
  <c r="AB26" i="14"/>
  <c r="AA26" i="14"/>
  <c r="Z26" i="14"/>
  <c r="Y26" i="14"/>
  <c r="X26" i="14"/>
  <c r="W26" i="14"/>
  <c r="BQ26" i="14" s="1"/>
  <c r="V26" i="14"/>
  <c r="U26" i="14"/>
  <c r="T26" i="14"/>
  <c r="S26" i="14"/>
  <c r="R26" i="14"/>
  <c r="Q26" i="14"/>
  <c r="P26" i="14"/>
  <c r="O26" i="14"/>
  <c r="N26" i="14"/>
  <c r="M26" i="14"/>
  <c r="BP26" i="14" s="1"/>
  <c r="L26" i="14"/>
  <c r="K26" i="14"/>
  <c r="J26" i="14"/>
  <c r="I26" i="14"/>
  <c r="H26" i="14"/>
  <c r="G26" i="14"/>
  <c r="F26" i="14"/>
  <c r="E26" i="14"/>
  <c r="D26" i="14"/>
  <c r="BO26" i="14" s="1"/>
  <c r="BK24" i="14"/>
  <c r="BU23" i="14" s="1"/>
  <c r="BJ24" i="14"/>
  <c r="BI24" i="14"/>
  <c r="BH24" i="14"/>
  <c r="BG24" i="14"/>
  <c r="BF24" i="14"/>
  <c r="BE24" i="14"/>
  <c r="BD24" i="14"/>
  <c r="BC24" i="14"/>
  <c r="BB24" i="14"/>
  <c r="BA24" i="14"/>
  <c r="BT23" i="14" s="1"/>
  <c r="AZ24" i="14"/>
  <c r="AY24" i="14"/>
  <c r="AX24" i="14"/>
  <c r="AW24" i="14"/>
  <c r="AV24" i="14"/>
  <c r="AU24" i="14"/>
  <c r="AT24" i="14"/>
  <c r="AS24" i="14"/>
  <c r="AR24" i="14"/>
  <c r="AQ24" i="14"/>
  <c r="BS23" i="14" s="1"/>
  <c r="AP24" i="14"/>
  <c r="AO24" i="14"/>
  <c r="AN24" i="14"/>
  <c r="AM24" i="14"/>
  <c r="AL24" i="14"/>
  <c r="AK24" i="14"/>
  <c r="AJ24" i="14"/>
  <c r="AI24" i="14"/>
  <c r="AH24" i="14"/>
  <c r="AG24" i="14"/>
  <c r="BR23" i="14" s="1"/>
  <c r="AF24" i="14"/>
  <c r="AE24" i="14"/>
  <c r="AD24" i="14"/>
  <c r="AC24" i="14"/>
  <c r="AB24" i="14"/>
  <c r="AA24" i="14"/>
  <c r="Z24" i="14"/>
  <c r="Y24" i="14"/>
  <c r="X24" i="14"/>
  <c r="W24" i="14"/>
  <c r="BQ23" i="14" s="1"/>
  <c r="V24" i="14"/>
  <c r="U24" i="14"/>
  <c r="T24" i="14"/>
  <c r="S24" i="14"/>
  <c r="R24" i="14"/>
  <c r="Q24" i="14"/>
  <c r="P24" i="14"/>
  <c r="O24" i="14"/>
  <c r="N24" i="14"/>
  <c r="M24" i="14"/>
  <c r="BP23" i="14" s="1"/>
  <c r="L24" i="14"/>
  <c r="K24" i="14"/>
  <c r="J24" i="14"/>
  <c r="I24" i="14"/>
  <c r="H24" i="14"/>
  <c r="G24" i="14"/>
  <c r="F24" i="14"/>
  <c r="E24" i="14"/>
  <c r="D24" i="14"/>
  <c r="BO23" i="14" s="1"/>
  <c r="BK23" i="14"/>
  <c r="BU22" i="14" s="1"/>
  <c r="BJ23" i="14"/>
  <c r="BI23" i="14"/>
  <c r="BH23" i="14"/>
  <c r="BG23" i="14"/>
  <c r="BF23" i="14"/>
  <c r="BE23" i="14"/>
  <c r="BD23" i="14"/>
  <c r="BC23" i="14"/>
  <c r="BB23" i="14"/>
  <c r="BA23" i="14"/>
  <c r="BT22" i="14" s="1"/>
  <c r="AZ23" i="14"/>
  <c r="AY23" i="14"/>
  <c r="AX23" i="14"/>
  <c r="AW23" i="14"/>
  <c r="AV23" i="14"/>
  <c r="AU23" i="14"/>
  <c r="AT23" i="14"/>
  <c r="AS23" i="14"/>
  <c r="AR23" i="14"/>
  <c r="AQ23" i="14"/>
  <c r="BS22" i="14" s="1"/>
  <c r="AP23" i="14"/>
  <c r="AO23" i="14"/>
  <c r="AN23" i="14"/>
  <c r="AM23" i="14"/>
  <c r="AL23" i="14"/>
  <c r="AK23" i="14"/>
  <c r="AJ23" i="14"/>
  <c r="AI23" i="14"/>
  <c r="AH23" i="14"/>
  <c r="AG23" i="14"/>
  <c r="BR22" i="14" s="1"/>
  <c r="AF23" i="14"/>
  <c r="AE23" i="14"/>
  <c r="AD23" i="14"/>
  <c r="AC23" i="14"/>
  <c r="AB23" i="14"/>
  <c r="AA23" i="14"/>
  <c r="Z23" i="14"/>
  <c r="Y23" i="14"/>
  <c r="X23" i="14"/>
  <c r="W23" i="14"/>
  <c r="BQ22" i="14" s="1"/>
  <c r="V23" i="14"/>
  <c r="U23" i="14"/>
  <c r="T23" i="14"/>
  <c r="S23" i="14"/>
  <c r="R23" i="14"/>
  <c r="Q23" i="14"/>
  <c r="P23" i="14"/>
  <c r="O23" i="14"/>
  <c r="N23" i="14"/>
  <c r="M23" i="14"/>
  <c r="BP22" i="14" s="1"/>
  <c r="L23" i="14"/>
  <c r="K23" i="14"/>
  <c r="J23" i="14"/>
  <c r="I23" i="14"/>
  <c r="H23" i="14"/>
  <c r="G23" i="14"/>
  <c r="F23" i="14"/>
  <c r="E23" i="14"/>
  <c r="D23" i="14"/>
  <c r="BO22" i="14" s="1"/>
  <c r="BK22" i="14"/>
  <c r="BU21" i="14" s="1"/>
  <c r="BJ22" i="14"/>
  <c r="BI22" i="14"/>
  <c r="BH22" i="14"/>
  <c r="BG22" i="14"/>
  <c r="BF22" i="14"/>
  <c r="BE22" i="14"/>
  <c r="BD22" i="14"/>
  <c r="BC22" i="14"/>
  <c r="BB22" i="14"/>
  <c r="BA22" i="14"/>
  <c r="BT21" i="14" s="1"/>
  <c r="AZ22" i="14"/>
  <c r="AY22" i="14"/>
  <c r="AX22" i="14"/>
  <c r="AW22" i="14"/>
  <c r="AV22" i="14"/>
  <c r="AU22" i="14"/>
  <c r="AT22" i="14"/>
  <c r="AS22" i="14"/>
  <c r="AR22" i="14"/>
  <c r="AQ22" i="14"/>
  <c r="BS21" i="14" s="1"/>
  <c r="AP22" i="14"/>
  <c r="AO22" i="14"/>
  <c r="AN22" i="14"/>
  <c r="AM22" i="14"/>
  <c r="AL22" i="14"/>
  <c r="AK22" i="14"/>
  <c r="AJ22" i="14"/>
  <c r="AI22" i="14"/>
  <c r="AH22" i="14"/>
  <c r="AG22" i="14"/>
  <c r="BR21" i="14" s="1"/>
  <c r="AF22" i="14"/>
  <c r="AE22" i="14"/>
  <c r="AD22" i="14"/>
  <c r="AC22" i="14"/>
  <c r="AB22" i="14"/>
  <c r="AA22" i="14"/>
  <c r="Z22" i="14"/>
  <c r="Y22" i="14"/>
  <c r="X22" i="14"/>
  <c r="W22" i="14"/>
  <c r="BQ21" i="14" s="1"/>
  <c r="V22" i="14"/>
  <c r="U22" i="14"/>
  <c r="T22" i="14"/>
  <c r="S22" i="14"/>
  <c r="R22" i="14"/>
  <c r="Q22" i="14"/>
  <c r="P22" i="14"/>
  <c r="O22" i="14"/>
  <c r="N22" i="14"/>
  <c r="M22" i="14"/>
  <c r="BP21" i="14" s="1"/>
  <c r="L22" i="14"/>
  <c r="K22" i="14"/>
  <c r="J22" i="14"/>
  <c r="I22" i="14"/>
  <c r="H22" i="14"/>
  <c r="G22" i="14"/>
  <c r="F22" i="14"/>
  <c r="E22" i="14"/>
  <c r="D22" i="14"/>
  <c r="BO21" i="14" s="1"/>
  <c r="BK21" i="14"/>
  <c r="BU20" i="14" s="1"/>
  <c r="BJ21" i="14"/>
  <c r="BI21" i="14"/>
  <c r="BH21" i="14"/>
  <c r="BG21" i="14"/>
  <c r="BF21" i="14"/>
  <c r="BE21" i="14"/>
  <c r="BD21" i="14"/>
  <c r="BC21" i="14"/>
  <c r="BB21" i="14"/>
  <c r="BA21" i="14"/>
  <c r="BT20" i="14" s="1"/>
  <c r="AZ21" i="14"/>
  <c r="AY21" i="14"/>
  <c r="AX21" i="14"/>
  <c r="AW21" i="14"/>
  <c r="AV21" i="14"/>
  <c r="AU21" i="14"/>
  <c r="AT21" i="14"/>
  <c r="AS21" i="14"/>
  <c r="AR21" i="14"/>
  <c r="AQ21" i="14"/>
  <c r="BS20" i="14" s="1"/>
  <c r="AP21" i="14"/>
  <c r="AO21" i="14"/>
  <c r="AN21" i="14"/>
  <c r="AM21" i="14"/>
  <c r="AL21" i="14"/>
  <c r="AK21" i="14"/>
  <c r="AJ21" i="14"/>
  <c r="AI21" i="14"/>
  <c r="AH21" i="14"/>
  <c r="AG21" i="14"/>
  <c r="BR20" i="14" s="1"/>
  <c r="AF21" i="14"/>
  <c r="AE21" i="14"/>
  <c r="AD21" i="14"/>
  <c r="AC21" i="14"/>
  <c r="AB21" i="14"/>
  <c r="AA21" i="14"/>
  <c r="Z21" i="14"/>
  <c r="Y21" i="14"/>
  <c r="X21" i="14"/>
  <c r="W21" i="14"/>
  <c r="BQ20" i="14" s="1"/>
  <c r="V21" i="14"/>
  <c r="U21" i="14"/>
  <c r="T21" i="14"/>
  <c r="S21" i="14"/>
  <c r="R21" i="14"/>
  <c r="Q21" i="14"/>
  <c r="P21" i="14"/>
  <c r="O21" i="14"/>
  <c r="N21" i="14"/>
  <c r="M21" i="14"/>
  <c r="BP20" i="14" s="1"/>
  <c r="L21" i="14"/>
  <c r="K21" i="14"/>
  <c r="J21" i="14"/>
  <c r="I21" i="14"/>
  <c r="H21" i="14"/>
  <c r="G21" i="14"/>
  <c r="F21" i="14"/>
  <c r="E21" i="14"/>
  <c r="D21" i="14"/>
  <c r="BO20" i="14" s="1"/>
  <c r="BK20" i="14"/>
  <c r="BU19" i="14" s="1"/>
  <c r="BJ20" i="14"/>
  <c r="BI20" i="14"/>
  <c r="BH20" i="14"/>
  <c r="BG20" i="14"/>
  <c r="BF20" i="14"/>
  <c r="BE20" i="14"/>
  <c r="BD20" i="14"/>
  <c r="BC20" i="14"/>
  <c r="BB20" i="14"/>
  <c r="BA20" i="14"/>
  <c r="BT19" i="14" s="1"/>
  <c r="AZ20" i="14"/>
  <c r="AY20" i="14"/>
  <c r="AX20" i="14"/>
  <c r="AW20" i="14"/>
  <c r="AV20" i="14"/>
  <c r="AU20" i="14"/>
  <c r="AT20" i="14"/>
  <c r="AS20" i="14"/>
  <c r="AR20" i="14"/>
  <c r="AQ20" i="14"/>
  <c r="BS19" i="14" s="1"/>
  <c r="AP20" i="14"/>
  <c r="AO20" i="14"/>
  <c r="AN20" i="14"/>
  <c r="AM20" i="14"/>
  <c r="AL20" i="14"/>
  <c r="AK20" i="14"/>
  <c r="AJ20" i="14"/>
  <c r="AI20" i="14"/>
  <c r="AH20" i="14"/>
  <c r="AG20" i="14"/>
  <c r="BR19" i="14" s="1"/>
  <c r="AF20" i="14"/>
  <c r="AE20" i="14"/>
  <c r="AD20" i="14"/>
  <c r="AC20" i="14"/>
  <c r="AB20" i="14"/>
  <c r="AA20" i="14"/>
  <c r="Z20" i="14"/>
  <c r="Y20" i="14"/>
  <c r="X20" i="14"/>
  <c r="W20" i="14"/>
  <c r="BQ19" i="14" s="1"/>
  <c r="V20" i="14"/>
  <c r="U20" i="14"/>
  <c r="T20" i="14"/>
  <c r="S20" i="14"/>
  <c r="R20" i="14"/>
  <c r="Q20" i="14"/>
  <c r="P20" i="14"/>
  <c r="O20" i="14"/>
  <c r="N20" i="14"/>
  <c r="M20" i="14"/>
  <c r="BP19" i="14" s="1"/>
  <c r="L20" i="14"/>
  <c r="K20" i="14"/>
  <c r="J20" i="14"/>
  <c r="I20" i="14"/>
  <c r="H20" i="14"/>
  <c r="G20" i="14"/>
  <c r="F20" i="14"/>
  <c r="E20" i="14"/>
  <c r="D20" i="14"/>
  <c r="BO19" i="14" s="1"/>
  <c r="BK19" i="14"/>
  <c r="BU18" i="14" s="1"/>
  <c r="BJ19" i="14"/>
  <c r="BI19" i="14"/>
  <c r="BH19" i="14"/>
  <c r="BG19" i="14"/>
  <c r="BF19" i="14"/>
  <c r="BE19" i="14"/>
  <c r="BD19" i="14"/>
  <c r="BC19" i="14"/>
  <c r="BB19" i="14"/>
  <c r="BA19" i="14"/>
  <c r="BT18" i="14" s="1"/>
  <c r="AZ19" i="14"/>
  <c r="AY19" i="14"/>
  <c r="AX19" i="14"/>
  <c r="AW19" i="14"/>
  <c r="AV19" i="14"/>
  <c r="AU19" i="14"/>
  <c r="AT19" i="14"/>
  <c r="AS19" i="14"/>
  <c r="AR19" i="14"/>
  <c r="AQ19" i="14"/>
  <c r="BS18" i="14" s="1"/>
  <c r="AP19" i="14"/>
  <c r="AO19" i="14"/>
  <c r="AN19" i="14"/>
  <c r="AM19" i="14"/>
  <c r="AL19" i="14"/>
  <c r="AK19" i="14"/>
  <c r="AJ19" i="14"/>
  <c r="AI19" i="14"/>
  <c r="AH19" i="14"/>
  <c r="AG19" i="14"/>
  <c r="BR18" i="14" s="1"/>
  <c r="AF19" i="14"/>
  <c r="AE19" i="14"/>
  <c r="AD19" i="14"/>
  <c r="AC19" i="14"/>
  <c r="AB19" i="14"/>
  <c r="AA19" i="14"/>
  <c r="Z19" i="14"/>
  <c r="Y19" i="14"/>
  <c r="X19" i="14"/>
  <c r="W19" i="14"/>
  <c r="BQ18" i="14" s="1"/>
  <c r="V19" i="14"/>
  <c r="U19" i="14"/>
  <c r="T19" i="14"/>
  <c r="S19" i="14"/>
  <c r="R19" i="14"/>
  <c r="Q19" i="14"/>
  <c r="P19" i="14"/>
  <c r="O19" i="14"/>
  <c r="N19" i="14"/>
  <c r="M19" i="14"/>
  <c r="BP18" i="14" s="1"/>
  <c r="L19" i="14"/>
  <c r="K19" i="14"/>
  <c r="J19" i="14"/>
  <c r="I19" i="14"/>
  <c r="H19" i="14"/>
  <c r="G19" i="14"/>
  <c r="F19" i="14"/>
  <c r="E19" i="14"/>
  <c r="D19" i="14"/>
  <c r="BO18" i="14" s="1"/>
  <c r="BK18" i="14"/>
  <c r="BU17" i="14" s="1"/>
  <c r="BJ18" i="14"/>
  <c r="BI18" i="14"/>
  <c r="BH18" i="14"/>
  <c r="BG18" i="14"/>
  <c r="BF18" i="14"/>
  <c r="BE18" i="14"/>
  <c r="BD18" i="14"/>
  <c r="BC18" i="14"/>
  <c r="BB18" i="14"/>
  <c r="BA18" i="14"/>
  <c r="BT17" i="14" s="1"/>
  <c r="AZ18" i="14"/>
  <c r="AY18" i="14"/>
  <c r="AX18" i="14"/>
  <c r="AW18" i="14"/>
  <c r="AV18" i="14"/>
  <c r="AU18" i="14"/>
  <c r="AT18" i="14"/>
  <c r="AS18" i="14"/>
  <c r="AR18" i="14"/>
  <c r="AQ18" i="14"/>
  <c r="BS17" i="14" s="1"/>
  <c r="AP18" i="14"/>
  <c r="AO18" i="14"/>
  <c r="AN18" i="14"/>
  <c r="AM18" i="14"/>
  <c r="AL18" i="14"/>
  <c r="AK18" i="14"/>
  <c r="AJ18" i="14"/>
  <c r="AI18" i="14"/>
  <c r="AH18" i="14"/>
  <c r="AG18" i="14"/>
  <c r="BR17" i="14" s="1"/>
  <c r="AF18" i="14"/>
  <c r="AE18" i="14"/>
  <c r="AD18" i="14"/>
  <c r="AC18" i="14"/>
  <c r="AB18" i="14"/>
  <c r="AA18" i="14"/>
  <c r="Z18" i="14"/>
  <c r="Y18" i="14"/>
  <c r="X18" i="14"/>
  <c r="W18" i="14"/>
  <c r="BQ17" i="14" s="1"/>
  <c r="V18" i="14"/>
  <c r="U18" i="14"/>
  <c r="T18" i="14"/>
  <c r="S18" i="14"/>
  <c r="R18" i="14"/>
  <c r="Q18" i="14"/>
  <c r="P18" i="14"/>
  <c r="O18" i="14"/>
  <c r="N18" i="14"/>
  <c r="M18" i="14"/>
  <c r="BP17" i="14" s="1"/>
  <c r="L18" i="14"/>
  <c r="K18" i="14"/>
  <c r="J18" i="14"/>
  <c r="I18" i="14"/>
  <c r="H18" i="14"/>
  <c r="G18" i="14"/>
  <c r="F18" i="14"/>
  <c r="E18" i="14"/>
  <c r="D18" i="14"/>
  <c r="BO17" i="14" s="1"/>
  <c r="BK17" i="14"/>
  <c r="BU16" i="14" s="1"/>
  <c r="BJ17" i="14"/>
  <c r="BI17" i="14"/>
  <c r="BH17" i="14"/>
  <c r="BG17" i="14"/>
  <c r="BF17" i="14"/>
  <c r="BE17" i="14"/>
  <c r="BD17" i="14"/>
  <c r="BC17" i="14"/>
  <c r="BB17" i="14"/>
  <c r="BA17" i="14"/>
  <c r="BT16" i="14" s="1"/>
  <c r="AZ17" i="14"/>
  <c r="AY17" i="14"/>
  <c r="AX17" i="14"/>
  <c r="AW17" i="14"/>
  <c r="AV17" i="14"/>
  <c r="AU17" i="14"/>
  <c r="AT17" i="14"/>
  <c r="AS17" i="14"/>
  <c r="AR17" i="14"/>
  <c r="AQ17" i="14"/>
  <c r="BS16" i="14" s="1"/>
  <c r="AP17" i="14"/>
  <c r="AO17" i="14"/>
  <c r="AN17" i="14"/>
  <c r="AM17" i="14"/>
  <c r="AL17" i="14"/>
  <c r="AK17" i="14"/>
  <c r="AJ17" i="14"/>
  <c r="AI17" i="14"/>
  <c r="AH17" i="14"/>
  <c r="AG17" i="14"/>
  <c r="BR16" i="14" s="1"/>
  <c r="AF17" i="14"/>
  <c r="AE17" i="14"/>
  <c r="AD17" i="14"/>
  <c r="AC17" i="14"/>
  <c r="AB17" i="14"/>
  <c r="AA17" i="14"/>
  <c r="Z17" i="14"/>
  <c r="Y17" i="14"/>
  <c r="X17" i="14"/>
  <c r="W17" i="14"/>
  <c r="BQ16" i="14" s="1"/>
  <c r="V17" i="14"/>
  <c r="U17" i="14"/>
  <c r="T17" i="14"/>
  <c r="S17" i="14"/>
  <c r="R17" i="14"/>
  <c r="Q17" i="14"/>
  <c r="P17" i="14"/>
  <c r="O17" i="14"/>
  <c r="N17" i="14"/>
  <c r="M17" i="14"/>
  <c r="BP16" i="14" s="1"/>
  <c r="L17" i="14"/>
  <c r="K17" i="14"/>
  <c r="J17" i="14"/>
  <c r="I17" i="14"/>
  <c r="H17" i="14"/>
  <c r="G17" i="14"/>
  <c r="F17" i="14"/>
  <c r="E17" i="14"/>
  <c r="D17" i="14"/>
  <c r="BO16" i="14" s="1"/>
  <c r="BK16" i="14"/>
  <c r="BU15" i="14" s="1"/>
  <c r="BJ16" i="14"/>
  <c r="BI16" i="14"/>
  <c r="BH16" i="14"/>
  <c r="BG16" i="14"/>
  <c r="BF16" i="14"/>
  <c r="BE16" i="14"/>
  <c r="BD16" i="14"/>
  <c r="BC16" i="14"/>
  <c r="BB16" i="14"/>
  <c r="BA16" i="14"/>
  <c r="BT15" i="14" s="1"/>
  <c r="AZ16" i="14"/>
  <c r="AY16" i="14"/>
  <c r="AX16" i="14"/>
  <c r="AW16" i="14"/>
  <c r="AV16" i="14"/>
  <c r="AU16" i="14"/>
  <c r="AT16" i="14"/>
  <c r="AS16" i="14"/>
  <c r="AR16" i="14"/>
  <c r="AQ16" i="14"/>
  <c r="BS15" i="14" s="1"/>
  <c r="AP16" i="14"/>
  <c r="AO16" i="14"/>
  <c r="AN16" i="14"/>
  <c r="AM16" i="14"/>
  <c r="AL16" i="14"/>
  <c r="AK16" i="14"/>
  <c r="AJ16" i="14"/>
  <c r="AI16" i="14"/>
  <c r="AH16" i="14"/>
  <c r="AG16" i="14"/>
  <c r="BR15" i="14" s="1"/>
  <c r="AF16" i="14"/>
  <c r="AE16" i="14"/>
  <c r="AD16" i="14"/>
  <c r="AC16" i="14"/>
  <c r="AB16" i="14"/>
  <c r="AA16" i="14"/>
  <c r="Z16" i="14"/>
  <c r="Y16" i="14"/>
  <c r="X16" i="14"/>
  <c r="W16" i="14"/>
  <c r="BQ15" i="14" s="1"/>
  <c r="V16" i="14"/>
  <c r="U16" i="14"/>
  <c r="T16" i="14"/>
  <c r="S16" i="14"/>
  <c r="R16" i="14"/>
  <c r="Q16" i="14"/>
  <c r="P16" i="14"/>
  <c r="O16" i="14"/>
  <c r="N16" i="14"/>
  <c r="M16" i="14"/>
  <c r="BP15" i="14" s="1"/>
  <c r="L16" i="14"/>
  <c r="K16" i="14"/>
  <c r="J16" i="14"/>
  <c r="I16" i="14"/>
  <c r="H16" i="14"/>
  <c r="G16" i="14"/>
  <c r="F16" i="14"/>
  <c r="E16" i="14"/>
  <c r="D16" i="14"/>
  <c r="BO15" i="14" s="1"/>
  <c r="BK15" i="14"/>
  <c r="BU14" i="14" s="1"/>
  <c r="BJ15" i="14"/>
  <c r="BI15" i="14"/>
  <c r="BH15" i="14"/>
  <c r="BG15" i="14"/>
  <c r="BF15" i="14"/>
  <c r="BE15" i="14"/>
  <c r="BD15" i="14"/>
  <c r="BC15" i="14"/>
  <c r="BB15" i="14"/>
  <c r="BA15" i="14"/>
  <c r="BT14" i="14" s="1"/>
  <c r="AZ15" i="14"/>
  <c r="AY15" i="14"/>
  <c r="AX15" i="14"/>
  <c r="AW15" i="14"/>
  <c r="AV15" i="14"/>
  <c r="AU15" i="14"/>
  <c r="AT15" i="14"/>
  <c r="AS15" i="14"/>
  <c r="AR15" i="14"/>
  <c r="AQ15" i="14"/>
  <c r="BS14" i="14" s="1"/>
  <c r="AP15" i="14"/>
  <c r="AO15" i="14"/>
  <c r="AN15" i="14"/>
  <c r="AM15" i="14"/>
  <c r="AL15" i="14"/>
  <c r="AK15" i="14"/>
  <c r="AJ15" i="14"/>
  <c r="AI15" i="14"/>
  <c r="AH15" i="14"/>
  <c r="AG15" i="14"/>
  <c r="BR14" i="14" s="1"/>
  <c r="AF15" i="14"/>
  <c r="AE15" i="14"/>
  <c r="AD15" i="14"/>
  <c r="AC15" i="14"/>
  <c r="AB15" i="14"/>
  <c r="AA15" i="14"/>
  <c r="Z15" i="14"/>
  <c r="Y15" i="14"/>
  <c r="X15" i="14"/>
  <c r="W15" i="14"/>
  <c r="BQ14" i="14" s="1"/>
  <c r="V15" i="14"/>
  <c r="U15" i="14"/>
  <c r="T15" i="14"/>
  <c r="S15" i="14"/>
  <c r="R15" i="14"/>
  <c r="Q15" i="14"/>
  <c r="P15" i="14"/>
  <c r="O15" i="14"/>
  <c r="N15" i="14"/>
  <c r="M15" i="14"/>
  <c r="BP14" i="14" s="1"/>
  <c r="L15" i="14"/>
  <c r="K15" i="14"/>
  <c r="J15" i="14"/>
  <c r="I15" i="14"/>
  <c r="H15" i="14"/>
  <c r="G15" i="14"/>
  <c r="F15" i="14"/>
  <c r="E15" i="14"/>
  <c r="D15" i="14"/>
  <c r="BO14" i="14" s="1"/>
  <c r="BK14" i="14"/>
  <c r="BU13" i="14" s="1"/>
  <c r="BJ14" i="14"/>
  <c r="BI14" i="14"/>
  <c r="BH14" i="14"/>
  <c r="BG14" i="14"/>
  <c r="BF14" i="14"/>
  <c r="BE14" i="14"/>
  <c r="BD14" i="14"/>
  <c r="BC14" i="14"/>
  <c r="BB14" i="14"/>
  <c r="BA14" i="14"/>
  <c r="BT13" i="14" s="1"/>
  <c r="AZ14" i="14"/>
  <c r="AY14" i="14"/>
  <c r="AX14" i="14"/>
  <c r="AW14" i="14"/>
  <c r="AV14" i="14"/>
  <c r="AU14" i="14"/>
  <c r="AT14" i="14"/>
  <c r="AS14" i="14"/>
  <c r="AR14" i="14"/>
  <c r="AQ14" i="14"/>
  <c r="BS13" i="14" s="1"/>
  <c r="AP14" i="14"/>
  <c r="AO14" i="14"/>
  <c r="AN14" i="14"/>
  <c r="AM14" i="14"/>
  <c r="AL14" i="14"/>
  <c r="AK14" i="14"/>
  <c r="AJ14" i="14"/>
  <c r="AI14" i="14"/>
  <c r="AH14" i="14"/>
  <c r="AG14" i="14"/>
  <c r="BR13" i="14" s="1"/>
  <c r="AF14" i="14"/>
  <c r="AE14" i="14"/>
  <c r="AD14" i="14"/>
  <c r="AC14" i="14"/>
  <c r="AB14" i="14"/>
  <c r="AA14" i="14"/>
  <c r="Z14" i="14"/>
  <c r="Y14" i="14"/>
  <c r="X14" i="14"/>
  <c r="W14" i="14"/>
  <c r="BQ13" i="14" s="1"/>
  <c r="V14" i="14"/>
  <c r="U14" i="14"/>
  <c r="T14" i="14"/>
  <c r="S14" i="14"/>
  <c r="R14" i="14"/>
  <c r="Q14" i="14"/>
  <c r="P14" i="14"/>
  <c r="O14" i="14"/>
  <c r="N14" i="14"/>
  <c r="M14" i="14"/>
  <c r="BP13" i="14" s="1"/>
  <c r="L14" i="14"/>
  <c r="K14" i="14"/>
  <c r="J14" i="14"/>
  <c r="I14" i="14"/>
  <c r="H14" i="14"/>
  <c r="G14" i="14"/>
  <c r="F14" i="14"/>
  <c r="E14" i="14"/>
  <c r="D14" i="14"/>
  <c r="BO13" i="14" s="1"/>
  <c r="BK12" i="14"/>
  <c r="BU12" i="14" s="1"/>
  <c r="BJ12" i="14"/>
  <c r="BI12" i="14"/>
  <c r="BH12" i="14"/>
  <c r="BG12" i="14"/>
  <c r="BF12" i="14"/>
  <c r="BE12" i="14"/>
  <c r="BD12" i="14"/>
  <c r="BC12" i="14"/>
  <c r="BB12" i="14"/>
  <c r="BA12" i="14"/>
  <c r="BT12" i="14" s="1"/>
  <c r="AZ12" i="14"/>
  <c r="AY12" i="14"/>
  <c r="AX12" i="14"/>
  <c r="AW12" i="14"/>
  <c r="AV12" i="14"/>
  <c r="AU12" i="14"/>
  <c r="AT12" i="14"/>
  <c r="AS12" i="14"/>
  <c r="AR12" i="14"/>
  <c r="AQ12" i="14"/>
  <c r="BS12" i="14" s="1"/>
  <c r="AP12" i="14"/>
  <c r="AO12" i="14"/>
  <c r="AN12" i="14"/>
  <c r="AM12" i="14"/>
  <c r="AL12" i="14"/>
  <c r="AK12" i="14"/>
  <c r="AJ12" i="14"/>
  <c r="AI12" i="14"/>
  <c r="AH12" i="14"/>
  <c r="AG12" i="14"/>
  <c r="BR12" i="14" s="1"/>
  <c r="AF12" i="14"/>
  <c r="AE12" i="14"/>
  <c r="AD12" i="14"/>
  <c r="AC12" i="14"/>
  <c r="AB12" i="14"/>
  <c r="AA12" i="14"/>
  <c r="Z12" i="14"/>
  <c r="Y12" i="14"/>
  <c r="X12" i="14"/>
  <c r="W12" i="14"/>
  <c r="BQ12" i="14" s="1"/>
  <c r="V12" i="14"/>
  <c r="U12" i="14"/>
  <c r="T12" i="14"/>
  <c r="S12" i="14"/>
  <c r="R12" i="14"/>
  <c r="Q12" i="14"/>
  <c r="P12" i="14"/>
  <c r="O12" i="14"/>
  <c r="N12" i="14"/>
  <c r="M12" i="14"/>
  <c r="BP12" i="14" s="1"/>
  <c r="L12" i="14"/>
  <c r="K12" i="14"/>
  <c r="J12" i="14"/>
  <c r="I12" i="14"/>
  <c r="H12" i="14"/>
  <c r="G12" i="14"/>
  <c r="F12" i="14"/>
  <c r="E12" i="14"/>
  <c r="D12" i="14"/>
  <c r="BO12" i="14" s="1"/>
  <c r="BK11" i="14"/>
  <c r="BU11" i="14" s="1"/>
  <c r="BJ11" i="14"/>
  <c r="BI11" i="14"/>
  <c r="BH11" i="14"/>
  <c r="BG11" i="14"/>
  <c r="BF11" i="14"/>
  <c r="BE11" i="14"/>
  <c r="BD11" i="14"/>
  <c r="BC11" i="14"/>
  <c r="BB11" i="14"/>
  <c r="BA11" i="14"/>
  <c r="BT11" i="14" s="1"/>
  <c r="AZ11" i="14"/>
  <c r="AY11" i="14"/>
  <c r="AX11" i="14"/>
  <c r="AW11" i="14"/>
  <c r="AV11" i="14"/>
  <c r="AU11" i="14"/>
  <c r="AT11" i="14"/>
  <c r="AS11" i="14"/>
  <c r="AR11" i="14"/>
  <c r="AQ11" i="14"/>
  <c r="BS11" i="14" s="1"/>
  <c r="AP11" i="14"/>
  <c r="AO11" i="14"/>
  <c r="AN11" i="14"/>
  <c r="AM11" i="14"/>
  <c r="AL11" i="14"/>
  <c r="AK11" i="14"/>
  <c r="AJ11" i="14"/>
  <c r="AI11" i="14"/>
  <c r="AH11" i="14"/>
  <c r="AG11" i="14"/>
  <c r="BR11" i="14" s="1"/>
  <c r="AF11" i="14"/>
  <c r="AE11" i="14"/>
  <c r="AD11" i="14"/>
  <c r="AC11" i="14"/>
  <c r="AB11" i="14"/>
  <c r="AA11" i="14"/>
  <c r="Z11" i="14"/>
  <c r="Y11" i="14"/>
  <c r="X11" i="14"/>
  <c r="W11" i="14"/>
  <c r="BQ11" i="14" s="1"/>
  <c r="V11" i="14"/>
  <c r="U11" i="14"/>
  <c r="T11" i="14"/>
  <c r="S11" i="14"/>
  <c r="R11" i="14"/>
  <c r="Q11" i="14"/>
  <c r="P11" i="14"/>
  <c r="O11" i="14"/>
  <c r="N11" i="14"/>
  <c r="M11" i="14"/>
  <c r="BP11" i="14" s="1"/>
  <c r="L11" i="14"/>
  <c r="K11" i="14"/>
  <c r="J11" i="14"/>
  <c r="I11" i="14"/>
  <c r="H11" i="14"/>
  <c r="G11" i="14"/>
  <c r="F11" i="14"/>
  <c r="E11" i="14"/>
  <c r="D11" i="14"/>
  <c r="BO11" i="14" s="1"/>
  <c r="BK10" i="14"/>
  <c r="BU10" i="14" s="1"/>
  <c r="BJ10" i="14"/>
  <c r="BI10" i="14"/>
  <c r="BH10" i="14"/>
  <c r="BG10" i="14"/>
  <c r="BF10" i="14"/>
  <c r="BE10" i="14"/>
  <c r="BD10" i="14"/>
  <c r="BC10" i="14"/>
  <c r="BB10" i="14"/>
  <c r="BA10" i="14"/>
  <c r="BT10" i="14" s="1"/>
  <c r="AZ10" i="14"/>
  <c r="AY10" i="14"/>
  <c r="AX10" i="14"/>
  <c r="AW10" i="14"/>
  <c r="AV10" i="14"/>
  <c r="AU10" i="14"/>
  <c r="AT10" i="14"/>
  <c r="AS10" i="14"/>
  <c r="AR10" i="14"/>
  <c r="AQ10" i="14"/>
  <c r="BS10" i="14" s="1"/>
  <c r="AP10" i="14"/>
  <c r="AO10" i="14"/>
  <c r="AN10" i="14"/>
  <c r="AM10" i="14"/>
  <c r="AL10" i="14"/>
  <c r="AK10" i="14"/>
  <c r="AJ10" i="14"/>
  <c r="AI10" i="14"/>
  <c r="AH10" i="14"/>
  <c r="AG10" i="14"/>
  <c r="BR10" i="14" s="1"/>
  <c r="AF10" i="14"/>
  <c r="AE10" i="14"/>
  <c r="AD10" i="14"/>
  <c r="AC10" i="14"/>
  <c r="AB10" i="14"/>
  <c r="AA10" i="14"/>
  <c r="Z10" i="14"/>
  <c r="Y10" i="14"/>
  <c r="X10" i="14"/>
  <c r="W10" i="14"/>
  <c r="BQ10" i="14" s="1"/>
  <c r="V10" i="14"/>
  <c r="U10" i="14"/>
  <c r="T10" i="14"/>
  <c r="S10" i="14"/>
  <c r="R10" i="14"/>
  <c r="Q10" i="14"/>
  <c r="P10" i="14"/>
  <c r="O10" i="14"/>
  <c r="N10" i="14"/>
  <c r="M10" i="14"/>
  <c r="BP10" i="14" s="1"/>
  <c r="L10" i="14"/>
  <c r="K10" i="14"/>
  <c r="J10" i="14"/>
  <c r="I10" i="14"/>
  <c r="H10" i="14"/>
  <c r="G10" i="14"/>
  <c r="F10" i="14"/>
  <c r="E10" i="14"/>
  <c r="D10" i="14"/>
  <c r="BO10" i="14" s="1"/>
  <c r="BK9" i="14"/>
  <c r="BU9" i="14" s="1"/>
  <c r="BJ9" i="14"/>
  <c r="BI9" i="14"/>
  <c r="BH9" i="14"/>
  <c r="BG9" i="14"/>
  <c r="BF9" i="14"/>
  <c r="BE9" i="14"/>
  <c r="BD9" i="14"/>
  <c r="BC9" i="14"/>
  <c r="BB9" i="14"/>
  <c r="BA9" i="14"/>
  <c r="BT9" i="14" s="1"/>
  <c r="AZ9" i="14"/>
  <c r="AY9" i="14"/>
  <c r="AX9" i="14"/>
  <c r="AW9" i="14"/>
  <c r="AV9" i="14"/>
  <c r="AU9" i="14"/>
  <c r="AT9" i="14"/>
  <c r="AS9" i="14"/>
  <c r="AR9" i="14"/>
  <c r="AQ9" i="14"/>
  <c r="BS9" i="14" s="1"/>
  <c r="AP9" i="14"/>
  <c r="AO9" i="14"/>
  <c r="AN9" i="14"/>
  <c r="AM9" i="14"/>
  <c r="AL9" i="14"/>
  <c r="AK9" i="14"/>
  <c r="AJ9" i="14"/>
  <c r="AI9" i="14"/>
  <c r="AH9" i="14"/>
  <c r="AG9" i="14"/>
  <c r="BR9" i="14" s="1"/>
  <c r="AF9" i="14"/>
  <c r="AE9" i="14"/>
  <c r="AD9" i="14"/>
  <c r="AC9" i="14"/>
  <c r="AB9" i="14"/>
  <c r="AA9" i="14"/>
  <c r="Z9" i="14"/>
  <c r="Y9" i="14"/>
  <c r="X9" i="14"/>
  <c r="W9" i="14"/>
  <c r="BQ9" i="14" s="1"/>
  <c r="V9" i="14"/>
  <c r="U9" i="14"/>
  <c r="T9" i="14"/>
  <c r="S9" i="14"/>
  <c r="R9" i="14"/>
  <c r="Q9" i="14"/>
  <c r="P9" i="14"/>
  <c r="O9" i="14"/>
  <c r="N9" i="14"/>
  <c r="M9" i="14"/>
  <c r="BP9" i="14" s="1"/>
  <c r="L9" i="14"/>
  <c r="K9" i="14"/>
  <c r="J9" i="14"/>
  <c r="I9" i="14"/>
  <c r="H9" i="14"/>
  <c r="G9" i="14"/>
  <c r="F9" i="14"/>
  <c r="E9" i="14"/>
  <c r="D9" i="14"/>
  <c r="BO9" i="14" s="1"/>
  <c r="BK8" i="14"/>
  <c r="BU8" i="14" s="1"/>
  <c r="BJ8" i="14"/>
  <c r="BI8" i="14"/>
  <c r="BH8" i="14"/>
  <c r="BG8" i="14"/>
  <c r="BF8" i="14"/>
  <c r="BE8" i="14"/>
  <c r="BD8" i="14"/>
  <c r="BC8" i="14"/>
  <c r="BB8" i="14"/>
  <c r="BA8" i="14"/>
  <c r="BT8" i="14" s="1"/>
  <c r="AZ8" i="14"/>
  <c r="AY8" i="14"/>
  <c r="AX8" i="14"/>
  <c r="AW8" i="14"/>
  <c r="AV8" i="14"/>
  <c r="AU8" i="14"/>
  <c r="AT8" i="14"/>
  <c r="AS8" i="14"/>
  <c r="AR8" i="14"/>
  <c r="AQ8" i="14"/>
  <c r="BS8" i="14" s="1"/>
  <c r="AP8" i="14"/>
  <c r="AO8" i="14"/>
  <c r="AN8" i="14"/>
  <c r="AM8" i="14"/>
  <c r="AL8" i="14"/>
  <c r="AK8" i="14"/>
  <c r="AJ8" i="14"/>
  <c r="AI8" i="14"/>
  <c r="AH8" i="14"/>
  <c r="AG8" i="14"/>
  <c r="BR8" i="14" s="1"/>
  <c r="AF8" i="14"/>
  <c r="AE8" i="14"/>
  <c r="AD8" i="14"/>
  <c r="AC8" i="14"/>
  <c r="AB8" i="14"/>
  <c r="AA8" i="14"/>
  <c r="Z8" i="14"/>
  <c r="Y8" i="14"/>
  <c r="X8" i="14"/>
  <c r="W8" i="14"/>
  <c r="BQ8" i="14" s="1"/>
  <c r="V8" i="14"/>
  <c r="U8" i="14"/>
  <c r="T8" i="14"/>
  <c r="S8" i="14"/>
  <c r="R8" i="14"/>
  <c r="Q8" i="14"/>
  <c r="P8" i="14"/>
  <c r="O8" i="14"/>
  <c r="N8" i="14"/>
  <c r="M8" i="14"/>
  <c r="BP8" i="14" s="1"/>
  <c r="L8" i="14"/>
  <c r="K8" i="14"/>
  <c r="J8" i="14"/>
  <c r="I8" i="14"/>
  <c r="H8" i="14"/>
  <c r="G8" i="14"/>
  <c r="F8" i="14"/>
  <c r="E8" i="14"/>
  <c r="D8" i="14"/>
  <c r="BO8" i="14" s="1"/>
  <c r="BK7" i="14"/>
  <c r="BU7" i="14" s="1"/>
  <c r="BJ7" i="14"/>
  <c r="BI7" i="14"/>
  <c r="BH7" i="14"/>
  <c r="BG7" i="14"/>
  <c r="BF7" i="14"/>
  <c r="BE7" i="14"/>
  <c r="BD7" i="14"/>
  <c r="BC7" i="14"/>
  <c r="BB7" i="14"/>
  <c r="BA7" i="14"/>
  <c r="BT7" i="14" s="1"/>
  <c r="AZ7" i="14"/>
  <c r="AY7" i="14"/>
  <c r="AX7" i="14"/>
  <c r="AW7" i="14"/>
  <c r="AV7" i="14"/>
  <c r="AU7" i="14"/>
  <c r="AT7" i="14"/>
  <c r="AS7" i="14"/>
  <c r="AR7" i="14"/>
  <c r="AQ7" i="14"/>
  <c r="BS7" i="14" s="1"/>
  <c r="AP7" i="14"/>
  <c r="AO7" i="14"/>
  <c r="AN7" i="14"/>
  <c r="AM7" i="14"/>
  <c r="AL7" i="14"/>
  <c r="AK7" i="14"/>
  <c r="AJ7" i="14"/>
  <c r="AI7" i="14"/>
  <c r="AH7" i="14"/>
  <c r="AG7" i="14"/>
  <c r="BR7" i="14" s="1"/>
  <c r="AF7" i="14"/>
  <c r="AE7" i="14"/>
  <c r="AD7" i="14"/>
  <c r="AC7" i="14"/>
  <c r="AB7" i="14"/>
  <c r="AA7" i="14"/>
  <c r="Z7" i="14"/>
  <c r="Y7" i="14"/>
  <c r="X7" i="14"/>
  <c r="W7" i="14"/>
  <c r="BQ7" i="14" s="1"/>
  <c r="V7" i="14"/>
  <c r="U7" i="14"/>
  <c r="T7" i="14"/>
  <c r="S7" i="14"/>
  <c r="R7" i="14"/>
  <c r="Q7" i="14"/>
  <c r="P7" i="14"/>
  <c r="O7" i="14"/>
  <c r="N7" i="14"/>
  <c r="M7" i="14"/>
  <c r="BP7" i="14" s="1"/>
  <c r="L7" i="14"/>
  <c r="K7" i="14"/>
  <c r="J7" i="14"/>
  <c r="I7" i="14"/>
  <c r="H7" i="14"/>
  <c r="G7" i="14"/>
  <c r="F7" i="14"/>
  <c r="E7" i="14"/>
  <c r="D7" i="14"/>
  <c r="BO7" i="14" s="1"/>
  <c r="BK6" i="14"/>
  <c r="BU6" i="14" s="1"/>
  <c r="BJ6" i="14"/>
  <c r="BI6" i="14"/>
  <c r="BH6" i="14"/>
  <c r="BG6" i="14"/>
  <c r="BF6" i="14"/>
  <c r="BE6" i="14"/>
  <c r="BD6" i="14"/>
  <c r="BC6" i="14"/>
  <c r="BB6" i="14"/>
  <c r="BA6" i="14"/>
  <c r="BT6" i="14" s="1"/>
  <c r="AZ6" i="14"/>
  <c r="AY6" i="14"/>
  <c r="AX6" i="14"/>
  <c r="AW6" i="14"/>
  <c r="AV6" i="14"/>
  <c r="AU6" i="14"/>
  <c r="AT6" i="14"/>
  <c r="AS6" i="14"/>
  <c r="AR6" i="14"/>
  <c r="AQ6" i="14"/>
  <c r="BS6" i="14" s="1"/>
  <c r="AP6" i="14"/>
  <c r="AO6" i="14"/>
  <c r="AN6" i="14"/>
  <c r="AM6" i="14"/>
  <c r="AL6" i="14"/>
  <c r="AK6" i="14"/>
  <c r="AJ6" i="14"/>
  <c r="AI6" i="14"/>
  <c r="AH6" i="14"/>
  <c r="AG6" i="14"/>
  <c r="BR6" i="14" s="1"/>
  <c r="AF6" i="14"/>
  <c r="AE6" i="14"/>
  <c r="AD6" i="14"/>
  <c r="AC6" i="14"/>
  <c r="AB6" i="14"/>
  <c r="AA6" i="14"/>
  <c r="Z6" i="14"/>
  <c r="Y6" i="14"/>
  <c r="X6" i="14"/>
  <c r="W6" i="14"/>
  <c r="BQ6" i="14" s="1"/>
  <c r="V6" i="14"/>
  <c r="U6" i="14"/>
  <c r="T6" i="14"/>
  <c r="S6" i="14"/>
  <c r="R6" i="14"/>
  <c r="Q6" i="14"/>
  <c r="P6" i="14"/>
  <c r="O6" i="14"/>
  <c r="N6" i="14"/>
  <c r="M6" i="14"/>
  <c r="BP6" i="14" s="1"/>
  <c r="L6" i="14"/>
  <c r="K6" i="14"/>
  <c r="J6" i="14"/>
  <c r="I6" i="14"/>
  <c r="H6" i="14"/>
  <c r="G6" i="14"/>
  <c r="F6" i="14"/>
  <c r="E6" i="14"/>
  <c r="D6" i="14"/>
  <c r="BO6" i="14" s="1"/>
  <c r="BK5" i="14"/>
  <c r="BU5" i="14" s="1"/>
  <c r="BJ5" i="14"/>
  <c r="BI5" i="14"/>
  <c r="BH5" i="14"/>
  <c r="BG5" i="14"/>
  <c r="BF5" i="14"/>
  <c r="BE5" i="14"/>
  <c r="BD5" i="14"/>
  <c r="BC5" i="14"/>
  <c r="BB5" i="14"/>
  <c r="BA5" i="14"/>
  <c r="BT5" i="14" s="1"/>
  <c r="AZ5" i="14"/>
  <c r="AY5" i="14"/>
  <c r="AX5" i="14"/>
  <c r="AW5" i="14"/>
  <c r="AV5" i="14"/>
  <c r="AU5" i="14"/>
  <c r="AT5" i="14"/>
  <c r="AS5" i="14"/>
  <c r="AR5" i="14"/>
  <c r="AQ5" i="14"/>
  <c r="BS5" i="14" s="1"/>
  <c r="AP5" i="14"/>
  <c r="AO5" i="14"/>
  <c r="AN5" i="14"/>
  <c r="AM5" i="14"/>
  <c r="AL5" i="14"/>
  <c r="AK5" i="14"/>
  <c r="AJ5" i="14"/>
  <c r="AI5" i="14"/>
  <c r="AH5" i="14"/>
  <c r="AG5" i="14"/>
  <c r="BR5" i="14" s="1"/>
  <c r="AF5" i="14"/>
  <c r="AE5" i="14"/>
  <c r="AD5" i="14"/>
  <c r="AC5" i="14"/>
  <c r="AB5" i="14"/>
  <c r="AA5" i="14"/>
  <c r="Z5" i="14"/>
  <c r="Y5" i="14"/>
  <c r="X5" i="14"/>
  <c r="W5" i="14"/>
  <c r="BQ5" i="14" s="1"/>
  <c r="V5" i="14"/>
  <c r="U5" i="14"/>
  <c r="T5" i="14"/>
  <c r="S5" i="14"/>
  <c r="R5" i="14"/>
  <c r="Q5" i="14"/>
  <c r="P5" i="14"/>
  <c r="O5" i="14"/>
  <c r="N5" i="14"/>
  <c r="M5" i="14"/>
  <c r="BP5" i="14" s="1"/>
  <c r="L5" i="14"/>
  <c r="K5" i="14"/>
  <c r="J5" i="14"/>
  <c r="I5" i="14"/>
  <c r="H5" i="14"/>
  <c r="G5" i="14"/>
  <c r="F5" i="14"/>
  <c r="E5" i="14"/>
  <c r="D5" i="14"/>
  <c r="BO5" i="14" s="1"/>
  <c r="BK4" i="14"/>
  <c r="BU4" i="14" s="1"/>
  <c r="BJ4" i="14"/>
  <c r="BI4" i="14"/>
  <c r="BH4" i="14"/>
  <c r="BG4" i="14"/>
  <c r="BF4" i="14"/>
  <c r="BE4" i="14"/>
  <c r="BD4" i="14"/>
  <c r="BC4" i="14"/>
  <c r="BB4" i="14"/>
  <c r="BA4" i="14"/>
  <c r="BT4" i="14" s="1"/>
  <c r="AZ4" i="14"/>
  <c r="AY4" i="14"/>
  <c r="AX4" i="14"/>
  <c r="AW4" i="14"/>
  <c r="AV4" i="14"/>
  <c r="AU4" i="14"/>
  <c r="AT4" i="14"/>
  <c r="AS4" i="14"/>
  <c r="AR4" i="14"/>
  <c r="AQ4" i="14"/>
  <c r="BS4" i="14" s="1"/>
  <c r="AP4" i="14"/>
  <c r="AO4" i="14"/>
  <c r="AN4" i="14"/>
  <c r="AM4" i="14"/>
  <c r="AL4" i="14"/>
  <c r="AK4" i="14"/>
  <c r="AJ4" i="14"/>
  <c r="AI4" i="14"/>
  <c r="AH4" i="14"/>
  <c r="AG4" i="14"/>
  <c r="BR4" i="14" s="1"/>
  <c r="AF4" i="14"/>
  <c r="AE4" i="14"/>
  <c r="AD4" i="14"/>
  <c r="AC4" i="14"/>
  <c r="AB4" i="14"/>
  <c r="AA4" i="14"/>
  <c r="Z4" i="14"/>
  <c r="Y4" i="14"/>
  <c r="X4" i="14"/>
  <c r="W4" i="14"/>
  <c r="BQ4" i="14" s="1"/>
  <c r="V4" i="14"/>
  <c r="U4" i="14"/>
  <c r="T4" i="14"/>
  <c r="S4" i="14"/>
  <c r="R4" i="14"/>
  <c r="Q4" i="14"/>
  <c r="P4" i="14"/>
  <c r="O4" i="14"/>
  <c r="N4" i="14"/>
  <c r="M4" i="14"/>
  <c r="BP4" i="14" s="1"/>
  <c r="L4" i="14"/>
  <c r="K4" i="14"/>
  <c r="J4" i="14"/>
  <c r="I4" i="14"/>
  <c r="H4" i="14"/>
  <c r="G4" i="14"/>
  <c r="F4" i="14"/>
  <c r="E4" i="14"/>
  <c r="D4" i="14"/>
  <c r="BO4" i="14" s="1"/>
  <c r="BK3" i="14"/>
  <c r="BU3" i="14" s="1"/>
  <c r="BJ3" i="14"/>
  <c r="BI3" i="14"/>
  <c r="BH3" i="14"/>
  <c r="BG3" i="14"/>
  <c r="BF3" i="14"/>
  <c r="BE3" i="14"/>
  <c r="BD3" i="14"/>
  <c r="BC3" i="14"/>
  <c r="BB3" i="14"/>
  <c r="BA3" i="14"/>
  <c r="BT3" i="14" s="1"/>
  <c r="AZ3" i="14"/>
  <c r="AY3" i="14"/>
  <c r="AX3" i="14"/>
  <c r="AW3" i="14"/>
  <c r="AV3" i="14"/>
  <c r="AU3" i="14"/>
  <c r="AT3" i="14"/>
  <c r="AS3" i="14"/>
  <c r="AR3" i="14"/>
  <c r="AQ3" i="14"/>
  <c r="BS3" i="14" s="1"/>
  <c r="AP3" i="14"/>
  <c r="AO3" i="14"/>
  <c r="AN3" i="14"/>
  <c r="AM3" i="14"/>
  <c r="AL3" i="14"/>
  <c r="AK3" i="14"/>
  <c r="AJ3" i="14"/>
  <c r="AI3" i="14"/>
  <c r="AH3" i="14"/>
  <c r="AG3" i="14"/>
  <c r="BR3" i="14" s="1"/>
  <c r="AF3" i="14"/>
  <c r="AE3" i="14"/>
  <c r="AD3" i="14"/>
  <c r="AC3" i="14"/>
  <c r="AB3" i="14"/>
  <c r="AA3" i="14"/>
  <c r="Z3" i="14"/>
  <c r="Y3" i="14"/>
  <c r="X3" i="14"/>
  <c r="W3" i="14"/>
  <c r="BQ3" i="14" s="1"/>
  <c r="V3" i="14"/>
  <c r="U3" i="14"/>
  <c r="T3" i="14"/>
  <c r="S3" i="14"/>
  <c r="R3" i="14"/>
  <c r="Q3" i="14"/>
  <c r="P3" i="14"/>
  <c r="O3" i="14"/>
  <c r="N3" i="14"/>
  <c r="M3" i="14"/>
  <c r="BP3" i="14" s="1"/>
  <c r="L3" i="14"/>
  <c r="K3" i="14"/>
  <c r="J3" i="14"/>
  <c r="I3" i="14"/>
  <c r="H3" i="14"/>
  <c r="G3" i="14"/>
  <c r="F3" i="14"/>
  <c r="E3" i="14"/>
  <c r="D3" i="14"/>
  <c r="BO3" i="14" s="1"/>
  <c r="BK2" i="14"/>
  <c r="BU2" i="14" s="1"/>
  <c r="BJ2" i="14"/>
  <c r="BI2" i="14"/>
  <c r="BH2" i="14"/>
  <c r="BG2" i="14"/>
  <c r="BF2" i="14"/>
  <c r="BE2" i="14"/>
  <c r="BD2" i="14"/>
  <c r="BC2" i="14"/>
  <c r="BB2" i="14"/>
  <c r="BA2" i="14"/>
  <c r="BT2" i="14" s="1"/>
  <c r="AZ2" i="14"/>
  <c r="AY2" i="14"/>
  <c r="AX2" i="14"/>
  <c r="AW2" i="14"/>
  <c r="AV2" i="14"/>
  <c r="AU2" i="14"/>
  <c r="AT2" i="14"/>
  <c r="AS2" i="14"/>
  <c r="AR2" i="14"/>
  <c r="AQ2" i="14"/>
  <c r="BS2" i="14" s="1"/>
  <c r="AP2" i="14"/>
  <c r="AO2" i="14"/>
  <c r="AN2" i="14"/>
  <c r="AM2" i="14"/>
  <c r="AL2" i="14"/>
  <c r="AK2" i="14"/>
  <c r="AJ2" i="14"/>
  <c r="AI2" i="14"/>
  <c r="AH2" i="14"/>
  <c r="AG2" i="14"/>
  <c r="BR2" i="14" s="1"/>
  <c r="AF2" i="14"/>
  <c r="AE2" i="14"/>
  <c r="AD2" i="14"/>
  <c r="AC2" i="14"/>
  <c r="AB2" i="14"/>
  <c r="AA2" i="14"/>
  <c r="Z2" i="14"/>
  <c r="Y2" i="14"/>
  <c r="X2" i="14"/>
  <c r="W2" i="14"/>
  <c r="BQ2" i="14" s="1"/>
  <c r="V2" i="14"/>
  <c r="U2" i="14"/>
  <c r="T2" i="14"/>
  <c r="S2" i="14"/>
  <c r="R2" i="14"/>
  <c r="Q2" i="14"/>
  <c r="P2" i="14"/>
  <c r="O2" i="14"/>
  <c r="N2" i="14"/>
  <c r="M2" i="14"/>
  <c r="BP2" i="14" s="1"/>
  <c r="L2" i="14"/>
  <c r="K2" i="14"/>
  <c r="J2" i="14"/>
  <c r="I2" i="14"/>
  <c r="H2" i="14"/>
  <c r="G2" i="14"/>
  <c r="F2" i="14"/>
  <c r="E2" i="14"/>
  <c r="D2" i="14"/>
  <c r="BO2" i="14" s="1"/>
  <c r="BK40" i="13"/>
  <c r="BU39" i="13" s="1"/>
  <c r="BJ40" i="13"/>
  <c r="BI40" i="13"/>
  <c r="BH40" i="13"/>
  <c r="BG40" i="13"/>
  <c r="BF40" i="13"/>
  <c r="BE40" i="13"/>
  <c r="BD40" i="13"/>
  <c r="BC40" i="13"/>
  <c r="BB40" i="13"/>
  <c r="BA40" i="13"/>
  <c r="BT39" i="13" s="1"/>
  <c r="AZ40" i="13"/>
  <c r="AY40" i="13"/>
  <c r="AX40" i="13"/>
  <c r="AW40" i="13"/>
  <c r="AV40" i="13"/>
  <c r="AU40" i="13"/>
  <c r="AT40" i="13"/>
  <c r="AS40" i="13"/>
  <c r="AR40" i="13"/>
  <c r="AQ40" i="13"/>
  <c r="BS39" i="13" s="1"/>
  <c r="AP40" i="13"/>
  <c r="AO40" i="13"/>
  <c r="AN40" i="13"/>
  <c r="AM40" i="13"/>
  <c r="AL40" i="13"/>
  <c r="AK40" i="13"/>
  <c r="AJ40" i="13"/>
  <c r="AI40" i="13"/>
  <c r="AH40" i="13"/>
  <c r="AG40" i="13"/>
  <c r="BR39" i="13" s="1"/>
  <c r="AF40" i="13"/>
  <c r="AE40" i="13"/>
  <c r="AD40" i="13"/>
  <c r="AC40" i="13"/>
  <c r="AB40" i="13"/>
  <c r="AA40" i="13"/>
  <c r="Z40" i="13"/>
  <c r="Y40" i="13"/>
  <c r="X40" i="13"/>
  <c r="W40" i="13"/>
  <c r="BQ39" i="13" s="1"/>
  <c r="V40" i="13"/>
  <c r="U40" i="13"/>
  <c r="T40" i="13"/>
  <c r="S40" i="13"/>
  <c r="R40" i="13"/>
  <c r="Q40" i="13"/>
  <c r="P40" i="13"/>
  <c r="O40" i="13"/>
  <c r="N40" i="13"/>
  <c r="M40" i="13"/>
  <c r="BP39" i="13" s="1"/>
  <c r="L40" i="13"/>
  <c r="K40" i="13"/>
  <c r="J40" i="13"/>
  <c r="I40" i="13"/>
  <c r="H40" i="13"/>
  <c r="G40" i="13"/>
  <c r="F40" i="13"/>
  <c r="E40" i="13"/>
  <c r="D40" i="13"/>
  <c r="BO39" i="13" s="1"/>
  <c r="BK39" i="13"/>
  <c r="BU38" i="13" s="1"/>
  <c r="BJ39" i="13"/>
  <c r="BI39" i="13"/>
  <c r="BH39" i="13"/>
  <c r="BG39" i="13"/>
  <c r="BF39" i="13"/>
  <c r="BE39" i="13"/>
  <c r="BD39" i="13"/>
  <c r="BC39" i="13"/>
  <c r="BB39" i="13"/>
  <c r="BA39" i="13"/>
  <c r="BT38" i="13" s="1"/>
  <c r="AZ39" i="13"/>
  <c r="AY39" i="13"/>
  <c r="AX39" i="13"/>
  <c r="AW39" i="13"/>
  <c r="AV39" i="13"/>
  <c r="AU39" i="13"/>
  <c r="AT39" i="13"/>
  <c r="AS39" i="13"/>
  <c r="AR39" i="13"/>
  <c r="AQ39" i="13"/>
  <c r="BS38" i="13" s="1"/>
  <c r="AP39" i="13"/>
  <c r="AO39" i="13"/>
  <c r="AN39" i="13"/>
  <c r="AM39" i="13"/>
  <c r="AL39" i="13"/>
  <c r="AK39" i="13"/>
  <c r="AJ39" i="13"/>
  <c r="AI39" i="13"/>
  <c r="AH39" i="13"/>
  <c r="AG39" i="13"/>
  <c r="BR38" i="13" s="1"/>
  <c r="AF39" i="13"/>
  <c r="AE39" i="13"/>
  <c r="AD39" i="13"/>
  <c r="AC39" i="13"/>
  <c r="AB39" i="13"/>
  <c r="AA39" i="13"/>
  <c r="Z39" i="13"/>
  <c r="Y39" i="13"/>
  <c r="X39" i="13"/>
  <c r="W39" i="13"/>
  <c r="BQ38" i="13" s="1"/>
  <c r="V39" i="13"/>
  <c r="U39" i="13"/>
  <c r="T39" i="13"/>
  <c r="S39" i="13"/>
  <c r="R39" i="13"/>
  <c r="Q39" i="13"/>
  <c r="P39" i="13"/>
  <c r="O39" i="13"/>
  <c r="N39" i="13"/>
  <c r="M39" i="13"/>
  <c r="BP38" i="13" s="1"/>
  <c r="L39" i="13"/>
  <c r="K39" i="13"/>
  <c r="J39" i="13"/>
  <c r="I39" i="13"/>
  <c r="H39" i="13"/>
  <c r="G39" i="13"/>
  <c r="F39" i="13"/>
  <c r="E39" i="13"/>
  <c r="D39" i="13"/>
  <c r="BO38" i="13" s="1"/>
  <c r="BK38" i="13"/>
  <c r="BU37" i="13" s="1"/>
  <c r="BJ38" i="13"/>
  <c r="BI38" i="13"/>
  <c r="BH38" i="13"/>
  <c r="BG38" i="13"/>
  <c r="BF38" i="13"/>
  <c r="BE38" i="13"/>
  <c r="BD38" i="13"/>
  <c r="BC38" i="13"/>
  <c r="BB38" i="13"/>
  <c r="BA38" i="13"/>
  <c r="BT37" i="13" s="1"/>
  <c r="AZ38" i="13"/>
  <c r="AY38" i="13"/>
  <c r="AX38" i="13"/>
  <c r="AW38" i="13"/>
  <c r="AV38" i="13"/>
  <c r="AU38" i="13"/>
  <c r="AT38" i="13"/>
  <c r="AS38" i="13"/>
  <c r="AR38" i="13"/>
  <c r="AQ38" i="13"/>
  <c r="BS37" i="13" s="1"/>
  <c r="AP38" i="13"/>
  <c r="AO38" i="13"/>
  <c r="AN38" i="13"/>
  <c r="AM38" i="13"/>
  <c r="AL38" i="13"/>
  <c r="AK38" i="13"/>
  <c r="AJ38" i="13"/>
  <c r="AI38" i="13"/>
  <c r="AH38" i="13"/>
  <c r="AG38" i="13"/>
  <c r="BR37" i="13" s="1"/>
  <c r="AF38" i="13"/>
  <c r="AE38" i="13"/>
  <c r="AD38" i="13"/>
  <c r="AC38" i="13"/>
  <c r="AB38" i="13"/>
  <c r="AA38" i="13"/>
  <c r="Z38" i="13"/>
  <c r="Y38" i="13"/>
  <c r="X38" i="13"/>
  <c r="W38" i="13"/>
  <c r="BQ37" i="13" s="1"/>
  <c r="V38" i="13"/>
  <c r="U38" i="13"/>
  <c r="T38" i="13"/>
  <c r="S38" i="13"/>
  <c r="R38" i="13"/>
  <c r="Q38" i="13"/>
  <c r="P38" i="13"/>
  <c r="O38" i="13"/>
  <c r="N38" i="13"/>
  <c r="M38" i="13"/>
  <c r="BP37" i="13" s="1"/>
  <c r="L38" i="13"/>
  <c r="K38" i="13"/>
  <c r="J38" i="13"/>
  <c r="I38" i="13"/>
  <c r="H38" i="13"/>
  <c r="G38" i="13"/>
  <c r="F38" i="13"/>
  <c r="E38" i="13"/>
  <c r="D38" i="13"/>
  <c r="BO37" i="13" s="1"/>
  <c r="BK37" i="13"/>
  <c r="BU36" i="13" s="1"/>
  <c r="BJ37" i="13"/>
  <c r="BI37" i="13"/>
  <c r="BH37" i="13"/>
  <c r="BG37" i="13"/>
  <c r="BF37" i="13"/>
  <c r="BE37" i="13"/>
  <c r="BD37" i="13"/>
  <c r="BC37" i="13"/>
  <c r="BB37" i="13"/>
  <c r="BA37" i="13"/>
  <c r="BT36" i="13" s="1"/>
  <c r="AZ37" i="13"/>
  <c r="AY37" i="13"/>
  <c r="AX37" i="13"/>
  <c r="AW37" i="13"/>
  <c r="AV37" i="13"/>
  <c r="AU37" i="13"/>
  <c r="AT37" i="13"/>
  <c r="AS37" i="13"/>
  <c r="AR37" i="13"/>
  <c r="AQ37" i="13"/>
  <c r="BS36" i="13" s="1"/>
  <c r="AP37" i="13"/>
  <c r="AO37" i="13"/>
  <c r="AN37" i="13"/>
  <c r="AM37" i="13"/>
  <c r="AL37" i="13"/>
  <c r="AK37" i="13"/>
  <c r="AJ37" i="13"/>
  <c r="AI37" i="13"/>
  <c r="AH37" i="13"/>
  <c r="AG37" i="13"/>
  <c r="BR36" i="13" s="1"/>
  <c r="AF37" i="13"/>
  <c r="AE37" i="13"/>
  <c r="AD37" i="13"/>
  <c r="AC37" i="13"/>
  <c r="AB37" i="13"/>
  <c r="AA37" i="13"/>
  <c r="Z37" i="13"/>
  <c r="Y37" i="13"/>
  <c r="X37" i="13"/>
  <c r="W37" i="13"/>
  <c r="BQ36" i="13" s="1"/>
  <c r="V37" i="13"/>
  <c r="U37" i="13"/>
  <c r="T37" i="13"/>
  <c r="S37" i="13"/>
  <c r="R37" i="13"/>
  <c r="Q37" i="13"/>
  <c r="P37" i="13"/>
  <c r="O37" i="13"/>
  <c r="N37" i="13"/>
  <c r="M37" i="13"/>
  <c r="BP36" i="13" s="1"/>
  <c r="L37" i="13"/>
  <c r="K37" i="13"/>
  <c r="J37" i="13"/>
  <c r="I37" i="13"/>
  <c r="H37" i="13"/>
  <c r="G37" i="13"/>
  <c r="F37" i="13"/>
  <c r="E37" i="13"/>
  <c r="D37" i="13"/>
  <c r="BO36" i="13" s="1"/>
  <c r="BK36" i="13"/>
  <c r="BU35" i="13" s="1"/>
  <c r="BJ36" i="13"/>
  <c r="BI36" i="13"/>
  <c r="BH36" i="13"/>
  <c r="BG36" i="13"/>
  <c r="BF36" i="13"/>
  <c r="BE36" i="13"/>
  <c r="BD36" i="13"/>
  <c r="BC36" i="13"/>
  <c r="BB36" i="13"/>
  <c r="BA36" i="13"/>
  <c r="BT35" i="13" s="1"/>
  <c r="AZ36" i="13"/>
  <c r="AY36" i="13"/>
  <c r="AX36" i="13"/>
  <c r="AW36" i="13"/>
  <c r="AV36" i="13"/>
  <c r="AU36" i="13"/>
  <c r="AT36" i="13"/>
  <c r="AS36" i="13"/>
  <c r="AR36" i="13"/>
  <c r="AQ36" i="13"/>
  <c r="BS35" i="13" s="1"/>
  <c r="AP36" i="13"/>
  <c r="AO36" i="13"/>
  <c r="AN36" i="13"/>
  <c r="AM36" i="13"/>
  <c r="AL36" i="13"/>
  <c r="AK36" i="13"/>
  <c r="AJ36" i="13"/>
  <c r="AI36" i="13"/>
  <c r="AH36" i="13"/>
  <c r="AG36" i="13"/>
  <c r="BR35" i="13" s="1"/>
  <c r="AF36" i="13"/>
  <c r="AE36" i="13"/>
  <c r="AD36" i="13"/>
  <c r="AC36" i="13"/>
  <c r="AB36" i="13"/>
  <c r="AA36" i="13"/>
  <c r="Z36" i="13"/>
  <c r="Y36" i="13"/>
  <c r="X36" i="13"/>
  <c r="W36" i="13"/>
  <c r="BQ35" i="13" s="1"/>
  <c r="V36" i="13"/>
  <c r="U36" i="13"/>
  <c r="T36" i="13"/>
  <c r="S36" i="13"/>
  <c r="R36" i="13"/>
  <c r="Q36" i="13"/>
  <c r="P36" i="13"/>
  <c r="O36" i="13"/>
  <c r="N36" i="13"/>
  <c r="M36" i="13"/>
  <c r="BP35" i="13" s="1"/>
  <c r="L36" i="13"/>
  <c r="K36" i="13"/>
  <c r="J36" i="13"/>
  <c r="I36" i="13"/>
  <c r="H36" i="13"/>
  <c r="G36" i="13"/>
  <c r="F36" i="13"/>
  <c r="E36" i="13"/>
  <c r="D36" i="13"/>
  <c r="BO35" i="13" s="1"/>
  <c r="BK35" i="13"/>
  <c r="BU34" i="13" s="1"/>
  <c r="BJ35" i="13"/>
  <c r="BI35" i="13"/>
  <c r="BH35" i="13"/>
  <c r="BG35" i="13"/>
  <c r="BF35" i="13"/>
  <c r="BE35" i="13"/>
  <c r="BD35" i="13"/>
  <c r="BC35" i="13"/>
  <c r="BB35" i="13"/>
  <c r="BA35" i="13"/>
  <c r="BT34" i="13" s="1"/>
  <c r="AZ35" i="13"/>
  <c r="AY35" i="13"/>
  <c r="AX35" i="13"/>
  <c r="AW35" i="13"/>
  <c r="AV35" i="13"/>
  <c r="AU35" i="13"/>
  <c r="AT35" i="13"/>
  <c r="AS35" i="13"/>
  <c r="AR35" i="13"/>
  <c r="AQ35" i="13"/>
  <c r="BS34" i="13" s="1"/>
  <c r="AP35" i="13"/>
  <c r="AO35" i="13"/>
  <c r="AN35" i="13"/>
  <c r="AM35" i="13"/>
  <c r="AL35" i="13"/>
  <c r="AK35" i="13"/>
  <c r="AJ35" i="13"/>
  <c r="AI35" i="13"/>
  <c r="AH35" i="13"/>
  <c r="AG35" i="13"/>
  <c r="BR34" i="13" s="1"/>
  <c r="AF35" i="13"/>
  <c r="AE35" i="13"/>
  <c r="AD35" i="13"/>
  <c r="AC35" i="13"/>
  <c r="AB35" i="13"/>
  <c r="AA35" i="13"/>
  <c r="Z35" i="13"/>
  <c r="Y35" i="13"/>
  <c r="X35" i="13"/>
  <c r="W35" i="13"/>
  <c r="BQ34" i="13" s="1"/>
  <c r="V35" i="13"/>
  <c r="U35" i="13"/>
  <c r="T35" i="13"/>
  <c r="S35" i="13"/>
  <c r="R35" i="13"/>
  <c r="Q35" i="13"/>
  <c r="P35" i="13"/>
  <c r="O35" i="13"/>
  <c r="N35" i="13"/>
  <c r="M35" i="13"/>
  <c r="BP34" i="13" s="1"/>
  <c r="L35" i="13"/>
  <c r="K35" i="13"/>
  <c r="J35" i="13"/>
  <c r="I35" i="13"/>
  <c r="H35" i="13"/>
  <c r="G35" i="13"/>
  <c r="F35" i="13"/>
  <c r="E35" i="13"/>
  <c r="D35" i="13"/>
  <c r="BO34" i="13" s="1"/>
  <c r="BK34" i="13"/>
  <c r="BU33" i="13" s="1"/>
  <c r="BJ34" i="13"/>
  <c r="BI34" i="13"/>
  <c r="BH34" i="13"/>
  <c r="BG34" i="13"/>
  <c r="BF34" i="13"/>
  <c r="BE34" i="13"/>
  <c r="BD34" i="13"/>
  <c r="BC34" i="13"/>
  <c r="BB34" i="13"/>
  <c r="BA34" i="13"/>
  <c r="BT33" i="13" s="1"/>
  <c r="AZ34" i="13"/>
  <c r="AY34" i="13"/>
  <c r="AX34" i="13"/>
  <c r="AW34" i="13"/>
  <c r="AV34" i="13"/>
  <c r="AU34" i="13"/>
  <c r="AT34" i="13"/>
  <c r="AS34" i="13"/>
  <c r="AR34" i="13"/>
  <c r="AQ34" i="13"/>
  <c r="BS33" i="13" s="1"/>
  <c r="AP34" i="13"/>
  <c r="AO34" i="13"/>
  <c r="AN34" i="13"/>
  <c r="AM34" i="13"/>
  <c r="AL34" i="13"/>
  <c r="AK34" i="13"/>
  <c r="AJ34" i="13"/>
  <c r="AI34" i="13"/>
  <c r="AH34" i="13"/>
  <c r="AG34" i="13"/>
  <c r="BR33" i="13" s="1"/>
  <c r="AF34" i="13"/>
  <c r="AE34" i="13"/>
  <c r="AD34" i="13"/>
  <c r="AC34" i="13"/>
  <c r="AB34" i="13"/>
  <c r="AA34" i="13"/>
  <c r="Z34" i="13"/>
  <c r="Y34" i="13"/>
  <c r="X34" i="13"/>
  <c r="W34" i="13"/>
  <c r="BQ33" i="13" s="1"/>
  <c r="V34" i="13"/>
  <c r="U34" i="13"/>
  <c r="T34" i="13"/>
  <c r="S34" i="13"/>
  <c r="R34" i="13"/>
  <c r="Q34" i="13"/>
  <c r="P34" i="13"/>
  <c r="O34" i="13"/>
  <c r="N34" i="13"/>
  <c r="M34" i="13"/>
  <c r="BP33" i="13" s="1"/>
  <c r="L34" i="13"/>
  <c r="K34" i="13"/>
  <c r="J34" i="13"/>
  <c r="I34" i="13"/>
  <c r="H34" i="13"/>
  <c r="G34" i="13"/>
  <c r="F34" i="13"/>
  <c r="E34" i="13"/>
  <c r="D34" i="13"/>
  <c r="BO33" i="13" s="1"/>
  <c r="BK32" i="13"/>
  <c r="BU32" i="13" s="1"/>
  <c r="BJ32" i="13"/>
  <c r="BI32" i="13"/>
  <c r="BH32" i="13"/>
  <c r="BG32" i="13"/>
  <c r="BF32" i="13"/>
  <c r="BE32" i="13"/>
  <c r="BD32" i="13"/>
  <c r="BC32" i="13"/>
  <c r="BB32" i="13"/>
  <c r="BA32" i="13"/>
  <c r="BT32" i="13" s="1"/>
  <c r="AZ32" i="13"/>
  <c r="AY32" i="13"/>
  <c r="AX32" i="13"/>
  <c r="AW32" i="13"/>
  <c r="AV32" i="13"/>
  <c r="AU32" i="13"/>
  <c r="AT32" i="13"/>
  <c r="AS32" i="13"/>
  <c r="AR32" i="13"/>
  <c r="AQ32" i="13"/>
  <c r="BS32" i="13" s="1"/>
  <c r="AP32" i="13"/>
  <c r="AO32" i="13"/>
  <c r="AN32" i="13"/>
  <c r="AM32" i="13"/>
  <c r="AL32" i="13"/>
  <c r="AK32" i="13"/>
  <c r="AJ32" i="13"/>
  <c r="AI32" i="13"/>
  <c r="AH32" i="13"/>
  <c r="AG32" i="13"/>
  <c r="BR32" i="13" s="1"/>
  <c r="AF32" i="13"/>
  <c r="AE32" i="13"/>
  <c r="AD32" i="13"/>
  <c r="AC32" i="13"/>
  <c r="AB32" i="13"/>
  <c r="AA32" i="13"/>
  <c r="Z32" i="13"/>
  <c r="Y32" i="13"/>
  <c r="X32" i="13"/>
  <c r="W32" i="13"/>
  <c r="BQ32" i="13" s="1"/>
  <c r="V32" i="13"/>
  <c r="U32" i="13"/>
  <c r="T32" i="13"/>
  <c r="S32" i="13"/>
  <c r="R32" i="13"/>
  <c r="Q32" i="13"/>
  <c r="P32" i="13"/>
  <c r="O32" i="13"/>
  <c r="N32" i="13"/>
  <c r="M32" i="13"/>
  <c r="BP32" i="13" s="1"/>
  <c r="L32" i="13"/>
  <c r="K32" i="13"/>
  <c r="J32" i="13"/>
  <c r="I32" i="13"/>
  <c r="H32" i="13"/>
  <c r="G32" i="13"/>
  <c r="F32" i="13"/>
  <c r="E32" i="13"/>
  <c r="D32" i="13"/>
  <c r="BO32" i="13" s="1"/>
  <c r="BK31" i="13"/>
  <c r="BU31" i="13" s="1"/>
  <c r="BJ31" i="13"/>
  <c r="BI31" i="13"/>
  <c r="BH31" i="13"/>
  <c r="BG31" i="13"/>
  <c r="BF31" i="13"/>
  <c r="BE31" i="13"/>
  <c r="BD31" i="13"/>
  <c r="BC31" i="13"/>
  <c r="BB31" i="13"/>
  <c r="BA31" i="13"/>
  <c r="BT31" i="13" s="1"/>
  <c r="AZ31" i="13"/>
  <c r="AY31" i="13"/>
  <c r="AX31" i="13"/>
  <c r="AW31" i="13"/>
  <c r="AV31" i="13"/>
  <c r="AU31" i="13"/>
  <c r="AT31" i="13"/>
  <c r="AS31" i="13"/>
  <c r="AR31" i="13"/>
  <c r="AQ31" i="13"/>
  <c r="BS31" i="13" s="1"/>
  <c r="AP31" i="13"/>
  <c r="AO31" i="13"/>
  <c r="AN31" i="13"/>
  <c r="AM31" i="13"/>
  <c r="AL31" i="13"/>
  <c r="AK31" i="13"/>
  <c r="AJ31" i="13"/>
  <c r="AI31" i="13"/>
  <c r="AH31" i="13"/>
  <c r="AG31" i="13"/>
  <c r="BR31" i="13" s="1"/>
  <c r="AF31" i="13"/>
  <c r="AE31" i="13"/>
  <c r="AD31" i="13"/>
  <c r="AC31" i="13"/>
  <c r="AB31" i="13"/>
  <c r="AA31" i="13"/>
  <c r="Z31" i="13"/>
  <c r="Y31" i="13"/>
  <c r="X31" i="13"/>
  <c r="W31" i="13"/>
  <c r="BQ31" i="13" s="1"/>
  <c r="V31" i="13"/>
  <c r="U31" i="13"/>
  <c r="T31" i="13"/>
  <c r="S31" i="13"/>
  <c r="R31" i="13"/>
  <c r="Q31" i="13"/>
  <c r="P31" i="13"/>
  <c r="O31" i="13"/>
  <c r="N31" i="13"/>
  <c r="M31" i="13"/>
  <c r="BP31" i="13" s="1"/>
  <c r="L31" i="13"/>
  <c r="K31" i="13"/>
  <c r="J31" i="13"/>
  <c r="I31" i="13"/>
  <c r="H31" i="13"/>
  <c r="G31" i="13"/>
  <c r="F31" i="13"/>
  <c r="E31" i="13"/>
  <c r="D31" i="13"/>
  <c r="BO31" i="13" s="1"/>
  <c r="BK30" i="13"/>
  <c r="BU30" i="13" s="1"/>
  <c r="BJ30" i="13"/>
  <c r="BI30" i="13"/>
  <c r="BH30" i="13"/>
  <c r="BG30" i="13"/>
  <c r="BF30" i="13"/>
  <c r="BE30" i="13"/>
  <c r="BD30" i="13"/>
  <c r="BC30" i="13"/>
  <c r="BB30" i="13"/>
  <c r="BA30" i="13"/>
  <c r="BT30" i="13" s="1"/>
  <c r="AZ30" i="13"/>
  <c r="AY30" i="13"/>
  <c r="AX30" i="13"/>
  <c r="AW30" i="13"/>
  <c r="AV30" i="13"/>
  <c r="AU30" i="13"/>
  <c r="AT30" i="13"/>
  <c r="AS30" i="13"/>
  <c r="AR30" i="13"/>
  <c r="AQ30" i="13"/>
  <c r="BS30" i="13" s="1"/>
  <c r="AP30" i="13"/>
  <c r="AO30" i="13"/>
  <c r="AN30" i="13"/>
  <c r="AM30" i="13"/>
  <c r="AL30" i="13"/>
  <c r="AK30" i="13"/>
  <c r="AJ30" i="13"/>
  <c r="AI30" i="13"/>
  <c r="AH30" i="13"/>
  <c r="AG30" i="13"/>
  <c r="BR30" i="13" s="1"/>
  <c r="AF30" i="13"/>
  <c r="AE30" i="13"/>
  <c r="AD30" i="13"/>
  <c r="AC30" i="13"/>
  <c r="AB30" i="13"/>
  <c r="AA30" i="13"/>
  <c r="Z30" i="13"/>
  <c r="Y30" i="13"/>
  <c r="X30" i="13"/>
  <c r="W30" i="13"/>
  <c r="BQ30" i="13" s="1"/>
  <c r="V30" i="13"/>
  <c r="U30" i="13"/>
  <c r="T30" i="13"/>
  <c r="S30" i="13"/>
  <c r="R30" i="13"/>
  <c r="Q30" i="13"/>
  <c r="P30" i="13"/>
  <c r="O30" i="13"/>
  <c r="N30" i="13"/>
  <c r="M30" i="13"/>
  <c r="BP30" i="13" s="1"/>
  <c r="L30" i="13"/>
  <c r="K30" i="13"/>
  <c r="J30" i="13"/>
  <c r="I30" i="13"/>
  <c r="H30" i="13"/>
  <c r="G30" i="13"/>
  <c r="F30" i="13"/>
  <c r="E30" i="13"/>
  <c r="D30" i="13"/>
  <c r="BO30" i="13" s="1"/>
  <c r="BK29" i="13"/>
  <c r="BU29" i="13" s="1"/>
  <c r="BJ29" i="13"/>
  <c r="BI29" i="13"/>
  <c r="BH29" i="13"/>
  <c r="BG29" i="13"/>
  <c r="BF29" i="13"/>
  <c r="BE29" i="13"/>
  <c r="BD29" i="13"/>
  <c r="BC29" i="13"/>
  <c r="BB29" i="13"/>
  <c r="BA29" i="13"/>
  <c r="BT29" i="13" s="1"/>
  <c r="AZ29" i="13"/>
  <c r="AY29" i="13"/>
  <c r="AX29" i="13"/>
  <c r="AW29" i="13"/>
  <c r="AV29" i="13"/>
  <c r="AU29" i="13"/>
  <c r="AT29" i="13"/>
  <c r="AS29" i="13"/>
  <c r="AR29" i="13"/>
  <c r="AQ29" i="13"/>
  <c r="BS29" i="13" s="1"/>
  <c r="AP29" i="13"/>
  <c r="AO29" i="13"/>
  <c r="AN29" i="13"/>
  <c r="AM29" i="13"/>
  <c r="AL29" i="13"/>
  <c r="AK29" i="13"/>
  <c r="AJ29" i="13"/>
  <c r="AI29" i="13"/>
  <c r="AH29" i="13"/>
  <c r="AG29" i="13"/>
  <c r="BR29" i="13" s="1"/>
  <c r="AF29" i="13"/>
  <c r="AE29" i="13"/>
  <c r="AD29" i="13"/>
  <c r="AC29" i="13"/>
  <c r="AB29" i="13"/>
  <c r="AA29" i="13"/>
  <c r="Z29" i="13"/>
  <c r="Y29" i="13"/>
  <c r="X29" i="13"/>
  <c r="W29" i="13"/>
  <c r="BQ29" i="13" s="1"/>
  <c r="V29" i="13"/>
  <c r="U29" i="13"/>
  <c r="T29" i="13"/>
  <c r="S29" i="13"/>
  <c r="R29" i="13"/>
  <c r="Q29" i="13"/>
  <c r="P29" i="13"/>
  <c r="O29" i="13"/>
  <c r="N29" i="13"/>
  <c r="M29" i="13"/>
  <c r="BP29" i="13" s="1"/>
  <c r="L29" i="13"/>
  <c r="K29" i="13"/>
  <c r="J29" i="13"/>
  <c r="I29" i="13"/>
  <c r="H29" i="13"/>
  <c r="G29" i="13"/>
  <c r="F29" i="13"/>
  <c r="E29" i="13"/>
  <c r="D29" i="13"/>
  <c r="BO29" i="13" s="1"/>
  <c r="BK28" i="13"/>
  <c r="BU28" i="13" s="1"/>
  <c r="BJ28" i="13"/>
  <c r="BI28" i="13"/>
  <c r="BH28" i="13"/>
  <c r="BG28" i="13"/>
  <c r="BF28" i="13"/>
  <c r="BE28" i="13"/>
  <c r="BD28" i="13"/>
  <c r="BC28" i="13"/>
  <c r="BB28" i="13"/>
  <c r="BA28" i="13"/>
  <c r="BT28" i="13" s="1"/>
  <c r="AZ28" i="13"/>
  <c r="AY28" i="13"/>
  <c r="AX28" i="13"/>
  <c r="AW28" i="13"/>
  <c r="AV28" i="13"/>
  <c r="AU28" i="13"/>
  <c r="AT28" i="13"/>
  <c r="AS28" i="13"/>
  <c r="AR28" i="13"/>
  <c r="AQ28" i="13"/>
  <c r="BS28" i="13" s="1"/>
  <c r="AP28" i="13"/>
  <c r="AO28" i="13"/>
  <c r="AN28" i="13"/>
  <c r="AM28" i="13"/>
  <c r="AL28" i="13"/>
  <c r="AK28" i="13"/>
  <c r="AJ28" i="13"/>
  <c r="AI28" i="13"/>
  <c r="AH28" i="13"/>
  <c r="AG28" i="13"/>
  <c r="BR28" i="13" s="1"/>
  <c r="AF28" i="13"/>
  <c r="AE28" i="13"/>
  <c r="AD28" i="13"/>
  <c r="AC28" i="13"/>
  <c r="AB28" i="13"/>
  <c r="AA28" i="13"/>
  <c r="Z28" i="13"/>
  <c r="Y28" i="13"/>
  <c r="X28" i="13"/>
  <c r="W28" i="13"/>
  <c r="BQ28" i="13" s="1"/>
  <c r="V28" i="13"/>
  <c r="U28" i="13"/>
  <c r="T28" i="13"/>
  <c r="S28" i="13"/>
  <c r="R28" i="13"/>
  <c r="Q28" i="13"/>
  <c r="P28" i="13"/>
  <c r="O28" i="13"/>
  <c r="N28" i="13"/>
  <c r="M28" i="13"/>
  <c r="BP28" i="13" s="1"/>
  <c r="L28" i="13"/>
  <c r="K28" i="13"/>
  <c r="J28" i="13"/>
  <c r="I28" i="13"/>
  <c r="H28" i="13"/>
  <c r="G28" i="13"/>
  <c r="F28" i="13"/>
  <c r="E28" i="13"/>
  <c r="D28" i="13"/>
  <c r="BO28" i="13" s="1"/>
  <c r="BK27" i="13"/>
  <c r="BU27" i="13" s="1"/>
  <c r="BJ27" i="13"/>
  <c r="BI27" i="13"/>
  <c r="BH27" i="13"/>
  <c r="BG27" i="13"/>
  <c r="BF27" i="13"/>
  <c r="BE27" i="13"/>
  <c r="BD27" i="13"/>
  <c r="BC27" i="13"/>
  <c r="BB27" i="13"/>
  <c r="BA27" i="13"/>
  <c r="BT27" i="13" s="1"/>
  <c r="AZ27" i="13"/>
  <c r="AY27" i="13"/>
  <c r="AX27" i="13"/>
  <c r="AW27" i="13"/>
  <c r="AV27" i="13"/>
  <c r="AU27" i="13"/>
  <c r="AT27" i="13"/>
  <c r="AS27" i="13"/>
  <c r="AR27" i="13"/>
  <c r="AQ27" i="13"/>
  <c r="BS27" i="13" s="1"/>
  <c r="AP27" i="13"/>
  <c r="AO27" i="13"/>
  <c r="AN27" i="13"/>
  <c r="AM27" i="13"/>
  <c r="AL27" i="13"/>
  <c r="AK27" i="13"/>
  <c r="AJ27" i="13"/>
  <c r="AI27" i="13"/>
  <c r="AH27" i="13"/>
  <c r="AG27" i="13"/>
  <c r="BR27" i="13" s="1"/>
  <c r="AF27" i="13"/>
  <c r="AE27" i="13"/>
  <c r="AD27" i="13"/>
  <c r="AC27" i="13"/>
  <c r="AB27" i="13"/>
  <c r="AA27" i="13"/>
  <c r="Z27" i="13"/>
  <c r="Y27" i="13"/>
  <c r="X27" i="13"/>
  <c r="W27" i="13"/>
  <c r="BQ27" i="13" s="1"/>
  <c r="V27" i="13"/>
  <c r="U27" i="13"/>
  <c r="T27" i="13"/>
  <c r="S27" i="13"/>
  <c r="R27" i="13"/>
  <c r="Q27" i="13"/>
  <c r="P27" i="13"/>
  <c r="O27" i="13"/>
  <c r="N27" i="13"/>
  <c r="M27" i="13"/>
  <c r="BP27" i="13" s="1"/>
  <c r="L27" i="13"/>
  <c r="K27" i="13"/>
  <c r="J27" i="13"/>
  <c r="I27" i="13"/>
  <c r="H27" i="13"/>
  <c r="G27" i="13"/>
  <c r="F27" i="13"/>
  <c r="E27" i="13"/>
  <c r="D27" i="13"/>
  <c r="BO27" i="13" s="1"/>
  <c r="BK26" i="13"/>
  <c r="BU26" i="13" s="1"/>
  <c r="BJ26" i="13"/>
  <c r="BI26" i="13"/>
  <c r="BH26" i="13"/>
  <c r="BG26" i="13"/>
  <c r="BF26" i="13"/>
  <c r="BE26" i="13"/>
  <c r="BD26" i="13"/>
  <c r="BC26" i="13"/>
  <c r="BB26" i="13"/>
  <c r="BA26" i="13"/>
  <c r="BT26" i="13" s="1"/>
  <c r="AZ26" i="13"/>
  <c r="AY26" i="13"/>
  <c r="AX26" i="13"/>
  <c r="AW26" i="13"/>
  <c r="AV26" i="13"/>
  <c r="AU26" i="13"/>
  <c r="AT26" i="13"/>
  <c r="AS26" i="13"/>
  <c r="AR26" i="13"/>
  <c r="AQ26" i="13"/>
  <c r="BS26" i="13" s="1"/>
  <c r="AP26" i="13"/>
  <c r="AO26" i="13"/>
  <c r="AN26" i="13"/>
  <c r="AM26" i="13"/>
  <c r="AL26" i="13"/>
  <c r="AK26" i="13"/>
  <c r="AJ26" i="13"/>
  <c r="AI26" i="13"/>
  <c r="AH26" i="13"/>
  <c r="AG26" i="13"/>
  <c r="BR26" i="13" s="1"/>
  <c r="AF26" i="13"/>
  <c r="AE26" i="13"/>
  <c r="AD26" i="13"/>
  <c r="AC26" i="13"/>
  <c r="AB26" i="13"/>
  <c r="AA26" i="13"/>
  <c r="Z26" i="13"/>
  <c r="Y26" i="13"/>
  <c r="X26" i="13"/>
  <c r="W26" i="13"/>
  <c r="BQ26" i="13" s="1"/>
  <c r="V26" i="13"/>
  <c r="U26" i="13"/>
  <c r="T26" i="13"/>
  <c r="S26" i="13"/>
  <c r="R26" i="13"/>
  <c r="Q26" i="13"/>
  <c r="P26" i="13"/>
  <c r="O26" i="13"/>
  <c r="N26" i="13"/>
  <c r="M26" i="13"/>
  <c r="BP26" i="13" s="1"/>
  <c r="L26" i="13"/>
  <c r="K26" i="13"/>
  <c r="J26" i="13"/>
  <c r="I26" i="13"/>
  <c r="H26" i="13"/>
  <c r="G26" i="13"/>
  <c r="F26" i="13"/>
  <c r="E26" i="13"/>
  <c r="D26" i="13"/>
  <c r="BO26" i="13" s="1"/>
  <c r="BK24" i="13"/>
  <c r="BU23" i="13" s="1"/>
  <c r="BJ24" i="13"/>
  <c r="BI24" i="13"/>
  <c r="BH24" i="13"/>
  <c r="BG24" i="13"/>
  <c r="BF24" i="13"/>
  <c r="BE24" i="13"/>
  <c r="BD24" i="13"/>
  <c r="BC24" i="13"/>
  <c r="BB24" i="13"/>
  <c r="BA24" i="13"/>
  <c r="BT23" i="13" s="1"/>
  <c r="AZ24" i="13"/>
  <c r="AY24" i="13"/>
  <c r="AX24" i="13"/>
  <c r="AW24" i="13"/>
  <c r="AV24" i="13"/>
  <c r="AU24" i="13"/>
  <c r="AT24" i="13"/>
  <c r="AS24" i="13"/>
  <c r="AR24" i="13"/>
  <c r="AQ24" i="13"/>
  <c r="BS23" i="13" s="1"/>
  <c r="AP24" i="13"/>
  <c r="AO24" i="13"/>
  <c r="AN24" i="13"/>
  <c r="AM24" i="13"/>
  <c r="AL24" i="13"/>
  <c r="AK24" i="13"/>
  <c r="AJ24" i="13"/>
  <c r="AI24" i="13"/>
  <c r="AH24" i="13"/>
  <c r="AG24" i="13"/>
  <c r="BR23" i="13" s="1"/>
  <c r="AF24" i="13"/>
  <c r="AE24" i="13"/>
  <c r="AD24" i="13"/>
  <c r="AC24" i="13"/>
  <c r="AB24" i="13"/>
  <c r="AA24" i="13"/>
  <c r="Z24" i="13"/>
  <c r="Y24" i="13"/>
  <c r="X24" i="13"/>
  <c r="W24" i="13"/>
  <c r="BQ23" i="13" s="1"/>
  <c r="V24" i="13"/>
  <c r="U24" i="13"/>
  <c r="T24" i="13"/>
  <c r="S24" i="13"/>
  <c r="R24" i="13"/>
  <c r="Q24" i="13"/>
  <c r="P24" i="13"/>
  <c r="O24" i="13"/>
  <c r="N24" i="13"/>
  <c r="M24" i="13"/>
  <c r="BP23" i="13" s="1"/>
  <c r="L24" i="13"/>
  <c r="K24" i="13"/>
  <c r="J24" i="13"/>
  <c r="I24" i="13"/>
  <c r="H24" i="13"/>
  <c r="G24" i="13"/>
  <c r="F24" i="13"/>
  <c r="E24" i="13"/>
  <c r="D24" i="13"/>
  <c r="BO23" i="13" s="1"/>
  <c r="BK23" i="13"/>
  <c r="BU22" i="13" s="1"/>
  <c r="BJ23" i="13"/>
  <c r="BI23" i="13"/>
  <c r="BH23" i="13"/>
  <c r="BG23" i="13"/>
  <c r="BF23" i="13"/>
  <c r="BE23" i="13"/>
  <c r="BD23" i="13"/>
  <c r="BC23" i="13"/>
  <c r="BB23" i="13"/>
  <c r="BA23" i="13"/>
  <c r="BT22" i="13" s="1"/>
  <c r="AZ23" i="13"/>
  <c r="AY23" i="13"/>
  <c r="AX23" i="13"/>
  <c r="AW23" i="13"/>
  <c r="AV23" i="13"/>
  <c r="AU23" i="13"/>
  <c r="AT23" i="13"/>
  <c r="AS23" i="13"/>
  <c r="AR23" i="13"/>
  <c r="AQ23" i="13"/>
  <c r="BS22" i="13" s="1"/>
  <c r="AP23" i="13"/>
  <c r="AO23" i="13"/>
  <c r="AN23" i="13"/>
  <c r="AM23" i="13"/>
  <c r="AL23" i="13"/>
  <c r="AK23" i="13"/>
  <c r="AJ23" i="13"/>
  <c r="AI23" i="13"/>
  <c r="AH23" i="13"/>
  <c r="AG23" i="13"/>
  <c r="BR22" i="13" s="1"/>
  <c r="AF23" i="13"/>
  <c r="AE23" i="13"/>
  <c r="AD23" i="13"/>
  <c r="AC23" i="13"/>
  <c r="AB23" i="13"/>
  <c r="AA23" i="13"/>
  <c r="Z23" i="13"/>
  <c r="Y23" i="13"/>
  <c r="X23" i="13"/>
  <c r="W23" i="13"/>
  <c r="BQ22" i="13" s="1"/>
  <c r="V23" i="13"/>
  <c r="U23" i="13"/>
  <c r="T23" i="13"/>
  <c r="S23" i="13"/>
  <c r="R23" i="13"/>
  <c r="Q23" i="13"/>
  <c r="P23" i="13"/>
  <c r="O23" i="13"/>
  <c r="N23" i="13"/>
  <c r="M23" i="13"/>
  <c r="BP22" i="13" s="1"/>
  <c r="L23" i="13"/>
  <c r="K23" i="13"/>
  <c r="J23" i="13"/>
  <c r="I23" i="13"/>
  <c r="H23" i="13"/>
  <c r="G23" i="13"/>
  <c r="F23" i="13"/>
  <c r="E23" i="13"/>
  <c r="D23" i="13"/>
  <c r="BO22" i="13" s="1"/>
  <c r="BK22" i="13"/>
  <c r="BU21" i="13" s="1"/>
  <c r="BJ22" i="13"/>
  <c r="BI22" i="13"/>
  <c r="BH22" i="13"/>
  <c r="BG22" i="13"/>
  <c r="BF22" i="13"/>
  <c r="BE22" i="13"/>
  <c r="BD22" i="13"/>
  <c r="BC22" i="13"/>
  <c r="BB22" i="13"/>
  <c r="BA22" i="13"/>
  <c r="BT21" i="13" s="1"/>
  <c r="AZ22" i="13"/>
  <c r="AY22" i="13"/>
  <c r="AX22" i="13"/>
  <c r="AW22" i="13"/>
  <c r="AV22" i="13"/>
  <c r="AU22" i="13"/>
  <c r="AT22" i="13"/>
  <c r="AS22" i="13"/>
  <c r="AR22" i="13"/>
  <c r="AQ22" i="13"/>
  <c r="BS21" i="13" s="1"/>
  <c r="AP22" i="13"/>
  <c r="AO22" i="13"/>
  <c r="AN22" i="13"/>
  <c r="AM22" i="13"/>
  <c r="AL22" i="13"/>
  <c r="AK22" i="13"/>
  <c r="AJ22" i="13"/>
  <c r="AI22" i="13"/>
  <c r="AH22" i="13"/>
  <c r="AG22" i="13"/>
  <c r="BR21" i="13" s="1"/>
  <c r="AF22" i="13"/>
  <c r="AE22" i="13"/>
  <c r="AD22" i="13"/>
  <c r="AC22" i="13"/>
  <c r="AB22" i="13"/>
  <c r="AA22" i="13"/>
  <c r="Z22" i="13"/>
  <c r="Y22" i="13"/>
  <c r="X22" i="13"/>
  <c r="W22" i="13"/>
  <c r="BQ21" i="13" s="1"/>
  <c r="V22" i="13"/>
  <c r="U22" i="13"/>
  <c r="T22" i="13"/>
  <c r="S22" i="13"/>
  <c r="R22" i="13"/>
  <c r="Q22" i="13"/>
  <c r="P22" i="13"/>
  <c r="O22" i="13"/>
  <c r="N22" i="13"/>
  <c r="M22" i="13"/>
  <c r="BP21" i="13" s="1"/>
  <c r="L22" i="13"/>
  <c r="K22" i="13"/>
  <c r="J22" i="13"/>
  <c r="I22" i="13"/>
  <c r="H22" i="13"/>
  <c r="G22" i="13"/>
  <c r="F22" i="13"/>
  <c r="E22" i="13"/>
  <c r="D22" i="13"/>
  <c r="BO21" i="13" s="1"/>
  <c r="BK21" i="13"/>
  <c r="BU20" i="13" s="1"/>
  <c r="BJ21" i="13"/>
  <c r="BI21" i="13"/>
  <c r="BH21" i="13"/>
  <c r="BG21" i="13"/>
  <c r="BF21" i="13"/>
  <c r="BE21" i="13"/>
  <c r="BD21" i="13"/>
  <c r="BC21" i="13"/>
  <c r="BB21" i="13"/>
  <c r="BA21" i="13"/>
  <c r="BT20" i="13" s="1"/>
  <c r="AZ21" i="13"/>
  <c r="AY21" i="13"/>
  <c r="AX21" i="13"/>
  <c r="AW21" i="13"/>
  <c r="AV21" i="13"/>
  <c r="AU21" i="13"/>
  <c r="AT21" i="13"/>
  <c r="AS21" i="13"/>
  <c r="AR21" i="13"/>
  <c r="AQ21" i="13"/>
  <c r="BS20" i="13" s="1"/>
  <c r="AP21" i="13"/>
  <c r="AO21" i="13"/>
  <c r="AN21" i="13"/>
  <c r="AM21" i="13"/>
  <c r="AL21" i="13"/>
  <c r="AK21" i="13"/>
  <c r="AJ21" i="13"/>
  <c r="AI21" i="13"/>
  <c r="AH21" i="13"/>
  <c r="AG21" i="13"/>
  <c r="BR20" i="13" s="1"/>
  <c r="AF21" i="13"/>
  <c r="AE21" i="13"/>
  <c r="AD21" i="13"/>
  <c r="AC21" i="13"/>
  <c r="AB21" i="13"/>
  <c r="AA21" i="13"/>
  <c r="Z21" i="13"/>
  <c r="Y21" i="13"/>
  <c r="X21" i="13"/>
  <c r="W21" i="13"/>
  <c r="BQ20" i="13" s="1"/>
  <c r="V21" i="13"/>
  <c r="U21" i="13"/>
  <c r="T21" i="13"/>
  <c r="S21" i="13"/>
  <c r="R21" i="13"/>
  <c r="Q21" i="13"/>
  <c r="P21" i="13"/>
  <c r="O21" i="13"/>
  <c r="N21" i="13"/>
  <c r="M21" i="13"/>
  <c r="BP20" i="13" s="1"/>
  <c r="L21" i="13"/>
  <c r="K21" i="13"/>
  <c r="J21" i="13"/>
  <c r="I21" i="13"/>
  <c r="H21" i="13"/>
  <c r="G21" i="13"/>
  <c r="F21" i="13"/>
  <c r="E21" i="13"/>
  <c r="D21" i="13"/>
  <c r="BO20" i="13" s="1"/>
  <c r="BK20" i="13"/>
  <c r="BU19" i="13" s="1"/>
  <c r="BJ20" i="13"/>
  <c r="BI20" i="13"/>
  <c r="BH20" i="13"/>
  <c r="BG20" i="13"/>
  <c r="BF20" i="13"/>
  <c r="BE20" i="13"/>
  <c r="BD20" i="13"/>
  <c r="BC20" i="13"/>
  <c r="BB20" i="13"/>
  <c r="BA20" i="13"/>
  <c r="BT19" i="13" s="1"/>
  <c r="AZ20" i="13"/>
  <c r="AY20" i="13"/>
  <c r="AX20" i="13"/>
  <c r="AW20" i="13"/>
  <c r="AV20" i="13"/>
  <c r="AU20" i="13"/>
  <c r="AT20" i="13"/>
  <c r="AS20" i="13"/>
  <c r="AR20" i="13"/>
  <c r="AQ20" i="13"/>
  <c r="BS19" i="13" s="1"/>
  <c r="AP20" i="13"/>
  <c r="AO20" i="13"/>
  <c r="AN20" i="13"/>
  <c r="AM20" i="13"/>
  <c r="AL20" i="13"/>
  <c r="AK20" i="13"/>
  <c r="AJ20" i="13"/>
  <c r="AI20" i="13"/>
  <c r="AH20" i="13"/>
  <c r="AG20" i="13"/>
  <c r="BR19" i="13" s="1"/>
  <c r="AF20" i="13"/>
  <c r="AE20" i="13"/>
  <c r="AD20" i="13"/>
  <c r="AC20" i="13"/>
  <c r="AB20" i="13"/>
  <c r="AA20" i="13"/>
  <c r="Z20" i="13"/>
  <c r="Y20" i="13"/>
  <c r="X20" i="13"/>
  <c r="W20" i="13"/>
  <c r="BQ19" i="13" s="1"/>
  <c r="V20" i="13"/>
  <c r="U20" i="13"/>
  <c r="T20" i="13"/>
  <c r="S20" i="13"/>
  <c r="R20" i="13"/>
  <c r="Q20" i="13"/>
  <c r="P20" i="13"/>
  <c r="O20" i="13"/>
  <c r="N20" i="13"/>
  <c r="M20" i="13"/>
  <c r="BP19" i="13" s="1"/>
  <c r="L20" i="13"/>
  <c r="K20" i="13"/>
  <c r="J20" i="13"/>
  <c r="I20" i="13"/>
  <c r="H20" i="13"/>
  <c r="G20" i="13"/>
  <c r="F20" i="13"/>
  <c r="E20" i="13"/>
  <c r="D20" i="13"/>
  <c r="BO19" i="13" s="1"/>
  <c r="BK19" i="13"/>
  <c r="BU18" i="13" s="1"/>
  <c r="BJ19" i="13"/>
  <c r="BI19" i="13"/>
  <c r="BH19" i="13"/>
  <c r="BG19" i="13"/>
  <c r="BF19" i="13"/>
  <c r="BE19" i="13"/>
  <c r="BD19" i="13"/>
  <c r="BC19" i="13"/>
  <c r="BB19" i="13"/>
  <c r="BA19" i="13"/>
  <c r="BT18" i="13" s="1"/>
  <c r="AZ19" i="13"/>
  <c r="AY19" i="13"/>
  <c r="AX19" i="13"/>
  <c r="AW19" i="13"/>
  <c r="AV19" i="13"/>
  <c r="AU19" i="13"/>
  <c r="AT19" i="13"/>
  <c r="AS19" i="13"/>
  <c r="AR19" i="13"/>
  <c r="AQ19" i="13"/>
  <c r="BS18" i="13" s="1"/>
  <c r="AP19" i="13"/>
  <c r="AO19" i="13"/>
  <c r="AN19" i="13"/>
  <c r="AM19" i="13"/>
  <c r="AL19" i="13"/>
  <c r="AK19" i="13"/>
  <c r="AJ19" i="13"/>
  <c r="AI19" i="13"/>
  <c r="AH19" i="13"/>
  <c r="AG19" i="13"/>
  <c r="BR18" i="13" s="1"/>
  <c r="AF19" i="13"/>
  <c r="AE19" i="13"/>
  <c r="AD19" i="13"/>
  <c r="AC19" i="13"/>
  <c r="AB19" i="13"/>
  <c r="AA19" i="13"/>
  <c r="Z19" i="13"/>
  <c r="Y19" i="13"/>
  <c r="X19" i="13"/>
  <c r="W19" i="13"/>
  <c r="BQ18" i="13" s="1"/>
  <c r="V19" i="13"/>
  <c r="U19" i="13"/>
  <c r="T19" i="13"/>
  <c r="S19" i="13"/>
  <c r="R19" i="13"/>
  <c r="Q19" i="13"/>
  <c r="P19" i="13"/>
  <c r="O19" i="13"/>
  <c r="N19" i="13"/>
  <c r="M19" i="13"/>
  <c r="BP18" i="13" s="1"/>
  <c r="L19" i="13"/>
  <c r="K19" i="13"/>
  <c r="J19" i="13"/>
  <c r="I19" i="13"/>
  <c r="H19" i="13"/>
  <c r="G19" i="13"/>
  <c r="F19" i="13"/>
  <c r="E19" i="13"/>
  <c r="D19" i="13"/>
  <c r="BO18" i="13" s="1"/>
  <c r="BK18" i="13"/>
  <c r="BU17" i="13" s="1"/>
  <c r="BJ18" i="13"/>
  <c r="BI18" i="13"/>
  <c r="BH18" i="13"/>
  <c r="BG18" i="13"/>
  <c r="BF18" i="13"/>
  <c r="BE18" i="13"/>
  <c r="BD18" i="13"/>
  <c r="BC18" i="13"/>
  <c r="BB18" i="13"/>
  <c r="BA18" i="13"/>
  <c r="BT17" i="13" s="1"/>
  <c r="AZ18" i="13"/>
  <c r="AY18" i="13"/>
  <c r="AX18" i="13"/>
  <c r="AW18" i="13"/>
  <c r="AV18" i="13"/>
  <c r="AU18" i="13"/>
  <c r="AT18" i="13"/>
  <c r="AS18" i="13"/>
  <c r="AR18" i="13"/>
  <c r="AQ18" i="13"/>
  <c r="BS17" i="13" s="1"/>
  <c r="AP18" i="13"/>
  <c r="AO18" i="13"/>
  <c r="AN18" i="13"/>
  <c r="AM18" i="13"/>
  <c r="AL18" i="13"/>
  <c r="AK18" i="13"/>
  <c r="AJ18" i="13"/>
  <c r="AI18" i="13"/>
  <c r="AH18" i="13"/>
  <c r="AG18" i="13"/>
  <c r="BR17" i="13" s="1"/>
  <c r="AF18" i="13"/>
  <c r="AE18" i="13"/>
  <c r="AD18" i="13"/>
  <c r="AC18" i="13"/>
  <c r="AB18" i="13"/>
  <c r="AA18" i="13"/>
  <c r="Z18" i="13"/>
  <c r="Y18" i="13"/>
  <c r="X18" i="13"/>
  <c r="W18" i="13"/>
  <c r="BQ17" i="13" s="1"/>
  <c r="V18" i="13"/>
  <c r="U18" i="13"/>
  <c r="T18" i="13"/>
  <c r="S18" i="13"/>
  <c r="R18" i="13"/>
  <c r="Q18" i="13"/>
  <c r="P18" i="13"/>
  <c r="O18" i="13"/>
  <c r="N18" i="13"/>
  <c r="M18" i="13"/>
  <c r="BP17" i="13" s="1"/>
  <c r="L18" i="13"/>
  <c r="K18" i="13"/>
  <c r="J18" i="13"/>
  <c r="I18" i="13"/>
  <c r="H18" i="13"/>
  <c r="G18" i="13"/>
  <c r="F18" i="13"/>
  <c r="E18" i="13"/>
  <c r="D18" i="13"/>
  <c r="BO17" i="13" s="1"/>
  <c r="BK17" i="13"/>
  <c r="BU16" i="13" s="1"/>
  <c r="BJ17" i="13"/>
  <c r="BI17" i="13"/>
  <c r="BH17" i="13"/>
  <c r="BG17" i="13"/>
  <c r="BF17" i="13"/>
  <c r="BE17" i="13"/>
  <c r="BD17" i="13"/>
  <c r="BC17" i="13"/>
  <c r="BB17" i="13"/>
  <c r="BA17" i="13"/>
  <c r="BT16" i="13" s="1"/>
  <c r="AZ17" i="13"/>
  <c r="AY17" i="13"/>
  <c r="AX17" i="13"/>
  <c r="AW17" i="13"/>
  <c r="AV17" i="13"/>
  <c r="AU17" i="13"/>
  <c r="AT17" i="13"/>
  <c r="AS17" i="13"/>
  <c r="AR17" i="13"/>
  <c r="AQ17" i="13"/>
  <c r="BS16" i="13" s="1"/>
  <c r="AP17" i="13"/>
  <c r="AO17" i="13"/>
  <c r="AN17" i="13"/>
  <c r="AM17" i="13"/>
  <c r="AL17" i="13"/>
  <c r="AK17" i="13"/>
  <c r="AJ17" i="13"/>
  <c r="AI17" i="13"/>
  <c r="AH17" i="13"/>
  <c r="AG17" i="13"/>
  <c r="BR16" i="13" s="1"/>
  <c r="AF17" i="13"/>
  <c r="AE17" i="13"/>
  <c r="AD17" i="13"/>
  <c r="AC17" i="13"/>
  <c r="AB17" i="13"/>
  <c r="AA17" i="13"/>
  <c r="Z17" i="13"/>
  <c r="Y17" i="13"/>
  <c r="X17" i="13"/>
  <c r="W17" i="13"/>
  <c r="BQ16" i="13" s="1"/>
  <c r="V17" i="13"/>
  <c r="U17" i="13"/>
  <c r="T17" i="13"/>
  <c r="S17" i="13"/>
  <c r="R17" i="13"/>
  <c r="Q17" i="13"/>
  <c r="P17" i="13"/>
  <c r="O17" i="13"/>
  <c r="N17" i="13"/>
  <c r="M17" i="13"/>
  <c r="BP16" i="13" s="1"/>
  <c r="L17" i="13"/>
  <c r="K17" i="13"/>
  <c r="J17" i="13"/>
  <c r="I17" i="13"/>
  <c r="H17" i="13"/>
  <c r="G17" i="13"/>
  <c r="F17" i="13"/>
  <c r="E17" i="13"/>
  <c r="D17" i="13"/>
  <c r="BO16" i="13" s="1"/>
  <c r="BK16" i="13"/>
  <c r="BU15" i="13" s="1"/>
  <c r="BJ16" i="13"/>
  <c r="BI16" i="13"/>
  <c r="BH16" i="13"/>
  <c r="BG16" i="13"/>
  <c r="BF16" i="13"/>
  <c r="BE16" i="13"/>
  <c r="BD16" i="13"/>
  <c r="BC16" i="13"/>
  <c r="BB16" i="13"/>
  <c r="BA16" i="13"/>
  <c r="BT15" i="13" s="1"/>
  <c r="AZ16" i="13"/>
  <c r="AY16" i="13"/>
  <c r="AX16" i="13"/>
  <c r="AW16" i="13"/>
  <c r="AV16" i="13"/>
  <c r="AU16" i="13"/>
  <c r="AT16" i="13"/>
  <c r="AS16" i="13"/>
  <c r="AR16" i="13"/>
  <c r="AQ16" i="13"/>
  <c r="BS15" i="13" s="1"/>
  <c r="AP16" i="13"/>
  <c r="AO16" i="13"/>
  <c r="AN16" i="13"/>
  <c r="AM16" i="13"/>
  <c r="AL16" i="13"/>
  <c r="AK16" i="13"/>
  <c r="AJ16" i="13"/>
  <c r="AI16" i="13"/>
  <c r="AH16" i="13"/>
  <c r="AG16" i="13"/>
  <c r="BR15" i="13" s="1"/>
  <c r="AF16" i="13"/>
  <c r="AE16" i="13"/>
  <c r="AD16" i="13"/>
  <c r="AC16" i="13"/>
  <c r="AB16" i="13"/>
  <c r="AA16" i="13"/>
  <c r="Z16" i="13"/>
  <c r="Y16" i="13"/>
  <c r="X16" i="13"/>
  <c r="W16" i="13"/>
  <c r="BQ15" i="13" s="1"/>
  <c r="V16" i="13"/>
  <c r="U16" i="13"/>
  <c r="T16" i="13"/>
  <c r="S16" i="13"/>
  <c r="R16" i="13"/>
  <c r="Q16" i="13"/>
  <c r="P16" i="13"/>
  <c r="O16" i="13"/>
  <c r="N16" i="13"/>
  <c r="M16" i="13"/>
  <c r="BP15" i="13" s="1"/>
  <c r="L16" i="13"/>
  <c r="K16" i="13"/>
  <c r="J16" i="13"/>
  <c r="I16" i="13"/>
  <c r="H16" i="13"/>
  <c r="G16" i="13"/>
  <c r="F16" i="13"/>
  <c r="E16" i="13"/>
  <c r="D16" i="13"/>
  <c r="BO15" i="13" s="1"/>
  <c r="BK15" i="13"/>
  <c r="BU14" i="13" s="1"/>
  <c r="BJ15" i="13"/>
  <c r="BI15" i="13"/>
  <c r="BH15" i="13"/>
  <c r="BG15" i="13"/>
  <c r="BF15" i="13"/>
  <c r="BE15" i="13"/>
  <c r="BD15" i="13"/>
  <c r="BC15" i="13"/>
  <c r="BB15" i="13"/>
  <c r="BA15" i="13"/>
  <c r="BT14" i="13" s="1"/>
  <c r="AZ15" i="13"/>
  <c r="AY15" i="13"/>
  <c r="AX15" i="13"/>
  <c r="AW15" i="13"/>
  <c r="AV15" i="13"/>
  <c r="AU15" i="13"/>
  <c r="AT15" i="13"/>
  <c r="AS15" i="13"/>
  <c r="AR15" i="13"/>
  <c r="AQ15" i="13"/>
  <c r="BS14" i="13" s="1"/>
  <c r="AP15" i="13"/>
  <c r="AO15" i="13"/>
  <c r="AN15" i="13"/>
  <c r="AM15" i="13"/>
  <c r="AL15" i="13"/>
  <c r="AK15" i="13"/>
  <c r="AJ15" i="13"/>
  <c r="AI15" i="13"/>
  <c r="AH15" i="13"/>
  <c r="AG15" i="13"/>
  <c r="BR14" i="13" s="1"/>
  <c r="AF15" i="13"/>
  <c r="AE15" i="13"/>
  <c r="AD15" i="13"/>
  <c r="AC15" i="13"/>
  <c r="AB15" i="13"/>
  <c r="AA15" i="13"/>
  <c r="Z15" i="13"/>
  <c r="Y15" i="13"/>
  <c r="X15" i="13"/>
  <c r="W15" i="13"/>
  <c r="BQ14" i="13" s="1"/>
  <c r="V15" i="13"/>
  <c r="U15" i="13"/>
  <c r="T15" i="13"/>
  <c r="S15" i="13"/>
  <c r="R15" i="13"/>
  <c r="Q15" i="13"/>
  <c r="P15" i="13"/>
  <c r="O15" i="13"/>
  <c r="N15" i="13"/>
  <c r="M15" i="13"/>
  <c r="BP14" i="13" s="1"/>
  <c r="L15" i="13"/>
  <c r="K15" i="13"/>
  <c r="J15" i="13"/>
  <c r="I15" i="13"/>
  <c r="H15" i="13"/>
  <c r="G15" i="13"/>
  <c r="F15" i="13"/>
  <c r="E15" i="13"/>
  <c r="D15" i="13"/>
  <c r="BO14" i="13" s="1"/>
  <c r="BK14" i="13"/>
  <c r="BU13" i="13" s="1"/>
  <c r="BJ14" i="13"/>
  <c r="BI14" i="13"/>
  <c r="BH14" i="13"/>
  <c r="BG14" i="13"/>
  <c r="BF14" i="13"/>
  <c r="BE14" i="13"/>
  <c r="BD14" i="13"/>
  <c r="BC14" i="13"/>
  <c r="BB14" i="13"/>
  <c r="BA14" i="13"/>
  <c r="BT13" i="13" s="1"/>
  <c r="AZ14" i="13"/>
  <c r="AY14" i="13"/>
  <c r="AX14" i="13"/>
  <c r="AW14" i="13"/>
  <c r="AV14" i="13"/>
  <c r="AU14" i="13"/>
  <c r="AT14" i="13"/>
  <c r="AS14" i="13"/>
  <c r="AR14" i="13"/>
  <c r="AQ14" i="13"/>
  <c r="BS13" i="13" s="1"/>
  <c r="AP14" i="13"/>
  <c r="AO14" i="13"/>
  <c r="AN14" i="13"/>
  <c r="AM14" i="13"/>
  <c r="AL14" i="13"/>
  <c r="AK14" i="13"/>
  <c r="AJ14" i="13"/>
  <c r="AI14" i="13"/>
  <c r="AH14" i="13"/>
  <c r="AG14" i="13"/>
  <c r="BR13" i="13" s="1"/>
  <c r="AF14" i="13"/>
  <c r="AE14" i="13"/>
  <c r="AD14" i="13"/>
  <c r="AC14" i="13"/>
  <c r="AB14" i="13"/>
  <c r="AA14" i="13"/>
  <c r="Z14" i="13"/>
  <c r="Y14" i="13"/>
  <c r="X14" i="13"/>
  <c r="W14" i="13"/>
  <c r="BQ13" i="13" s="1"/>
  <c r="V14" i="13"/>
  <c r="U14" i="13"/>
  <c r="T14" i="13"/>
  <c r="S14" i="13"/>
  <c r="R14" i="13"/>
  <c r="Q14" i="13"/>
  <c r="P14" i="13"/>
  <c r="O14" i="13"/>
  <c r="N14" i="13"/>
  <c r="M14" i="13"/>
  <c r="BP13" i="13" s="1"/>
  <c r="L14" i="13"/>
  <c r="K14" i="13"/>
  <c r="J14" i="13"/>
  <c r="I14" i="13"/>
  <c r="H14" i="13"/>
  <c r="G14" i="13"/>
  <c r="F14" i="13"/>
  <c r="E14" i="13"/>
  <c r="D14" i="13"/>
  <c r="BO13" i="13" s="1"/>
  <c r="BK12" i="13"/>
  <c r="BU12" i="13" s="1"/>
  <c r="BJ12" i="13"/>
  <c r="BI12" i="13"/>
  <c r="BH12" i="13"/>
  <c r="BG12" i="13"/>
  <c r="BF12" i="13"/>
  <c r="BE12" i="13"/>
  <c r="BD12" i="13"/>
  <c r="BC12" i="13"/>
  <c r="BB12" i="13"/>
  <c r="BA12" i="13"/>
  <c r="BT12" i="13" s="1"/>
  <c r="AZ12" i="13"/>
  <c r="AY12" i="13"/>
  <c r="AX12" i="13"/>
  <c r="AW12" i="13"/>
  <c r="AV12" i="13"/>
  <c r="AU12" i="13"/>
  <c r="AT12" i="13"/>
  <c r="AS12" i="13"/>
  <c r="AR12" i="13"/>
  <c r="AQ12" i="13"/>
  <c r="BS12" i="13" s="1"/>
  <c r="AP12" i="13"/>
  <c r="AO12" i="13"/>
  <c r="AN12" i="13"/>
  <c r="AM12" i="13"/>
  <c r="AL12" i="13"/>
  <c r="AK12" i="13"/>
  <c r="AJ12" i="13"/>
  <c r="AI12" i="13"/>
  <c r="AH12" i="13"/>
  <c r="AG12" i="13"/>
  <c r="BR12" i="13" s="1"/>
  <c r="AF12" i="13"/>
  <c r="AE12" i="13"/>
  <c r="AD12" i="13"/>
  <c r="AC12" i="13"/>
  <c r="AB12" i="13"/>
  <c r="AA12" i="13"/>
  <c r="Z12" i="13"/>
  <c r="Y12" i="13"/>
  <c r="X12" i="13"/>
  <c r="W12" i="13"/>
  <c r="BQ12" i="13" s="1"/>
  <c r="V12" i="13"/>
  <c r="U12" i="13"/>
  <c r="T12" i="13"/>
  <c r="S12" i="13"/>
  <c r="R12" i="13"/>
  <c r="Q12" i="13"/>
  <c r="P12" i="13"/>
  <c r="O12" i="13"/>
  <c r="N12" i="13"/>
  <c r="M12" i="13"/>
  <c r="BP12" i="13" s="1"/>
  <c r="L12" i="13"/>
  <c r="K12" i="13"/>
  <c r="J12" i="13"/>
  <c r="I12" i="13"/>
  <c r="H12" i="13"/>
  <c r="G12" i="13"/>
  <c r="F12" i="13"/>
  <c r="E12" i="13"/>
  <c r="D12" i="13"/>
  <c r="BO12" i="13" s="1"/>
  <c r="BK11" i="13"/>
  <c r="BU11" i="13" s="1"/>
  <c r="BJ11" i="13"/>
  <c r="BI11" i="13"/>
  <c r="BH11" i="13"/>
  <c r="BG11" i="13"/>
  <c r="BF11" i="13"/>
  <c r="BE11" i="13"/>
  <c r="BD11" i="13"/>
  <c r="BC11" i="13"/>
  <c r="BB11" i="13"/>
  <c r="BA11" i="13"/>
  <c r="BT11" i="13" s="1"/>
  <c r="AZ11" i="13"/>
  <c r="AY11" i="13"/>
  <c r="AX11" i="13"/>
  <c r="AW11" i="13"/>
  <c r="AV11" i="13"/>
  <c r="AU11" i="13"/>
  <c r="AT11" i="13"/>
  <c r="AS11" i="13"/>
  <c r="AR11" i="13"/>
  <c r="AQ11" i="13"/>
  <c r="BS11" i="13" s="1"/>
  <c r="AP11" i="13"/>
  <c r="AO11" i="13"/>
  <c r="AN11" i="13"/>
  <c r="AM11" i="13"/>
  <c r="AL11" i="13"/>
  <c r="AK11" i="13"/>
  <c r="AJ11" i="13"/>
  <c r="AI11" i="13"/>
  <c r="AH11" i="13"/>
  <c r="AG11" i="13"/>
  <c r="BR11" i="13" s="1"/>
  <c r="AF11" i="13"/>
  <c r="AE11" i="13"/>
  <c r="AD11" i="13"/>
  <c r="AC11" i="13"/>
  <c r="AB11" i="13"/>
  <c r="AA11" i="13"/>
  <c r="Z11" i="13"/>
  <c r="Y11" i="13"/>
  <c r="X11" i="13"/>
  <c r="W11" i="13"/>
  <c r="BQ11" i="13" s="1"/>
  <c r="V11" i="13"/>
  <c r="U11" i="13"/>
  <c r="T11" i="13"/>
  <c r="S11" i="13"/>
  <c r="R11" i="13"/>
  <c r="Q11" i="13"/>
  <c r="P11" i="13"/>
  <c r="O11" i="13"/>
  <c r="N11" i="13"/>
  <c r="M11" i="13"/>
  <c r="BP11" i="13" s="1"/>
  <c r="L11" i="13"/>
  <c r="K11" i="13"/>
  <c r="J11" i="13"/>
  <c r="I11" i="13"/>
  <c r="H11" i="13"/>
  <c r="G11" i="13"/>
  <c r="F11" i="13"/>
  <c r="E11" i="13"/>
  <c r="D11" i="13"/>
  <c r="BO11" i="13" s="1"/>
  <c r="BK10" i="13"/>
  <c r="BU10" i="13" s="1"/>
  <c r="BJ10" i="13"/>
  <c r="BI10" i="13"/>
  <c r="BH10" i="13"/>
  <c r="BG10" i="13"/>
  <c r="BF10" i="13"/>
  <c r="BE10" i="13"/>
  <c r="BD10" i="13"/>
  <c r="BC10" i="13"/>
  <c r="BB10" i="13"/>
  <c r="BA10" i="13"/>
  <c r="BT10" i="13" s="1"/>
  <c r="AZ10" i="13"/>
  <c r="AY10" i="13"/>
  <c r="AX10" i="13"/>
  <c r="AW10" i="13"/>
  <c r="AV10" i="13"/>
  <c r="AU10" i="13"/>
  <c r="AT10" i="13"/>
  <c r="AS10" i="13"/>
  <c r="AR10" i="13"/>
  <c r="AQ10" i="13"/>
  <c r="BS10" i="13" s="1"/>
  <c r="AP10" i="13"/>
  <c r="AO10" i="13"/>
  <c r="AN10" i="13"/>
  <c r="AM10" i="13"/>
  <c r="AL10" i="13"/>
  <c r="AK10" i="13"/>
  <c r="AJ10" i="13"/>
  <c r="AI10" i="13"/>
  <c r="AH10" i="13"/>
  <c r="AG10" i="13"/>
  <c r="BR10" i="13" s="1"/>
  <c r="AF10" i="13"/>
  <c r="AE10" i="13"/>
  <c r="AD10" i="13"/>
  <c r="AC10" i="13"/>
  <c r="AB10" i="13"/>
  <c r="AA10" i="13"/>
  <c r="Z10" i="13"/>
  <c r="Y10" i="13"/>
  <c r="X10" i="13"/>
  <c r="W10" i="13"/>
  <c r="BQ10" i="13" s="1"/>
  <c r="V10" i="13"/>
  <c r="U10" i="13"/>
  <c r="T10" i="13"/>
  <c r="S10" i="13"/>
  <c r="R10" i="13"/>
  <c r="Q10" i="13"/>
  <c r="P10" i="13"/>
  <c r="O10" i="13"/>
  <c r="N10" i="13"/>
  <c r="M10" i="13"/>
  <c r="BP10" i="13" s="1"/>
  <c r="L10" i="13"/>
  <c r="K10" i="13"/>
  <c r="J10" i="13"/>
  <c r="I10" i="13"/>
  <c r="H10" i="13"/>
  <c r="G10" i="13"/>
  <c r="F10" i="13"/>
  <c r="E10" i="13"/>
  <c r="D10" i="13"/>
  <c r="BO10" i="13" s="1"/>
  <c r="BK9" i="13"/>
  <c r="BU9" i="13" s="1"/>
  <c r="BJ9" i="13"/>
  <c r="BI9" i="13"/>
  <c r="BH9" i="13"/>
  <c r="BG9" i="13"/>
  <c r="BF9" i="13"/>
  <c r="BE9" i="13"/>
  <c r="BD9" i="13"/>
  <c r="BC9" i="13"/>
  <c r="BB9" i="13"/>
  <c r="BA9" i="13"/>
  <c r="BT9" i="13" s="1"/>
  <c r="AZ9" i="13"/>
  <c r="AY9" i="13"/>
  <c r="AX9" i="13"/>
  <c r="AW9" i="13"/>
  <c r="AV9" i="13"/>
  <c r="AU9" i="13"/>
  <c r="AT9" i="13"/>
  <c r="AS9" i="13"/>
  <c r="AR9" i="13"/>
  <c r="AQ9" i="13"/>
  <c r="BS9" i="13" s="1"/>
  <c r="AP9" i="13"/>
  <c r="AO9" i="13"/>
  <c r="AN9" i="13"/>
  <c r="AM9" i="13"/>
  <c r="AL9" i="13"/>
  <c r="AK9" i="13"/>
  <c r="AJ9" i="13"/>
  <c r="AI9" i="13"/>
  <c r="AH9" i="13"/>
  <c r="AG9" i="13"/>
  <c r="BR9" i="13" s="1"/>
  <c r="AF9" i="13"/>
  <c r="AE9" i="13"/>
  <c r="AD9" i="13"/>
  <c r="AC9" i="13"/>
  <c r="AB9" i="13"/>
  <c r="AA9" i="13"/>
  <c r="Z9" i="13"/>
  <c r="Y9" i="13"/>
  <c r="X9" i="13"/>
  <c r="W9" i="13"/>
  <c r="BQ9" i="13" s="1"/>
  <c r="V9" i="13"/>
  <c r="U9" i="13"/>
  <c r="T9" i="13"/>
  <c r="S9" i="13"/>
  <c r="R9" i="13"/>
  <c r="Q9" i="13"/>
  <c r="P9" i="13"/>
  <c r="O9" i="13"/>
  <c r="N9" i="13"/>
  <c r="M9" i="13"/>
  <c r="BP9" i="13" s="1"/>
  <c r="L9" i="13"/>
  <c r="K9" i="13"/>
  <c r="J9" i="13"/>
  <c r="I9" i="13"/>
  <c r="H9" i="13"/>
  <c r="G9" i="13"/>
  <c r="F9" i="13"/>
  <c r="E9" i="13"/>
  <c r="D9" i="13"/>
  <c r="BO9" i="13" s="1"/>
  <c r="BK8" i="13"/>
  <c r="BU8" i="13" s="1"/>
  <c r="BJ8" i="13"/>
  <c r="BI8" i="13"/>
  <c r="BH8" i="13"/>
  <c r="BG8" i="13"/>
  <c r="BF8" i="13"/>
  <c r="BE8" i="13"/>
  <c r="BD8" i="13"/>
  <c r="BC8" i="13"/>
  <c r="BB8" i="13"/>
  <c r="BA8" i="13"/>
  <c r="BT8" i="13" s="1"/>
  <c r="AZ8" i="13"/>
  <c r="AY8" i="13"/>
  <c r="AX8" i="13"/>
  <c r="AW8" i="13"/>
  <c r="AV8" i="13"/>
  <c r="AU8" i="13"/>
  <c r="AT8" i="13"/>
  <c r="AS8" i="13"/>
  <c r="AR8" i="13"/>
  <c r="AQ8" i="13"/>
  <c r="BS8" i="13" s="1"/>
  <c r="AP8" i="13"/>
  <c r="AO8" i="13"/>
  <c r="AN8" i="13"/>
  <c r="AM8" i="13"/>
  <c r="AL8" i="13"/>
  <c r="AK8" i="13"/>
  <c r="AJ8" i="13"/>
  <c r="AI8" i="13"/>
  <c r="AH8" i="13"/>
  <c r="AG8" i="13"/>
  <c r="BR8" i="13" s="1"/>
  <c r="AF8" i="13"/>
  <c r="AE8" i="13"/>
  <c r="AD8" i="13"/>
  <c r="AC8" i="13"/>
  <c r="AB8" i="13"/>
  <c r="AA8" i="13"/>
  <c r="Z8" i="13"/>
  <c r="Y8" i="13"/>
  <c r="X8" i="13"/>
  <c r="W8" i="13"/>
  <c r="BQ8" i="13" s="1"/>
  <c r="V8" i="13"/>
  <c r="U8" i="13"/>
  <c r="T8" i="13"/>
  <c r="S8" i="13"/>
  <c r="R8" i="13"/>
  <c r="Q8" i="13"/>
  <c r="P8" i="13"/>
  <c r="O8" i="13"/>
  <c r="N8" i="13"/>
  <c r="M8" i="13"/>
  <c r="BP8" i="13" s="1"/>
  <c r="L8" i="13"/>
  <c r="K8" i="13"/>
  <c r="J8" i="13"/>
  <c r="I8" i="13"/>
  <c r="H8" i="13"/>
  <c r="G8" i="13"/>
  <c r="F8" i="13"/>
  <c r="E8" i="13"/>
  <c r="D8" i="13"/>
  <c r="BO8" i="13" s="1"/>
  <c r="BK7" i="13"/>
  <c r="BU7" i="13" s="1"/>
  <c r="BJ7" i="13"/>
  <c r="BI7" i="13"/>
  <c r="BH7" i="13"/>
  <c r="BG7" i="13"/>
  <c r="BF7" i="13"/>
  <c r="BE7" i="13"/>
  <c r="BD7" i="13"/>
  <c r="BC7" i="13"/>
  <c r="BB7" i="13"/>
  <c r="BA7" i="13"/>
  <c r="BT7" i="13" s="1"/>
  <c r="AZ7" i="13"/>
  <c r="AY7" i="13"/>
  <c r="AX7" i="13"/>
  <c r="AW7" i="13"/>
  <c r="AV7" i="13"/>
  <c r="AU7" i="13"/>
  <c r="AT7" i="13"/>
  <c r="AS7" i="13"/>
  <c r="AR7" i="13"/>
  <c r="AQ7" i="13"/>
  <c r="BS7" i="13" s="1"/>
  <c r="AP7" i="13"/>
  <c r="AO7" i="13"/>
  <c r="AN7" i="13"/>
  <c r="AM7" i="13"/>
  <c r="AL7" i="13"/>
  <c r="AK7" i="13"/>
  <c r="AJ7" i="13"/>
  <c r="AI7" i="13"/>
  <c r="AH7" i="13"/>
  <c r="AG7" i="13"/>
  <c r="BR7" i="13" s="1"/>
  <c r="AF7" i="13"/>
  <c r="AE7" i="13"/>
  <c r="AD7" i="13"/>
  <c r="AC7" i="13"/>
  <c r="AB7" i="13"/>
  <c r="AA7" i="13"/>
  <c r="Z7" i="13"/>
  <c r="Y7" i="13"/>
  <c r="X7" i="13"/>
  <c r="W7" i="13"/>
  <c r="BQ7" i="13" s="1"/>
  <c r="V7" i="13"/>
  <c r="U7" i="13"/>
  <c r="T7" i="13"/>
  <c r="S7" i="13"/>
  <c r="R7" i="13"/>
  <c r="Q7" i="13"/>
  <c r="P7" i="13"/>
  <c r="O7" i="13"/>
  <c r="N7" i="13"/>
  <c r="M7" i="13"/>
  <c r="BP7" i="13" s="1"/>
  <c r="L7" i="13"/>
  <c r="K7" i="13"/>
  <c r="J7" i="13"/>
  <c r="I7" i="13"/>
  <c r="H7" i="13"/>
  <c r="G7" i="13"/>
  <c r="F7" i="13"/>
  <c r="E7" i="13"/>
  <c r="D7" i="13"/>
  <c r="BO7" i="13" s="1"/>
  <c r="BK6" i="13"/>
  <c r="BU6" i="13" s="1"/>
  <c r="BJ6" i="13"/>
  <c r="BI6" i="13"/>
  <c r="BH6" i="13"/>
  <c r="BG6" i="13"/>
  <c r="BF6" i="13"/>
  <c r="BE6" i="13"/>
  <c r="BD6" i="13"/>
  <c r="BC6" i="13"/>
  <c r="BB6" i="13"/>
  <c r="BA6" i="13"/>
  <c r="BT6" i="13" s="1"/>
  <c r="AZ6" i="13"/>
  <c r="AY6" i="13"/>
  <c r="AX6" i="13"/>
  <c r="AW6" i="13"/>
  <c r="AV6" i="13"/>
  <c r="AU6" i="13"/>
  <c r="AT6" i="13"/>
  <c r="AS6" i="13"/>
  <c r="AR6" i="13"/>
  <c r="AQ6" i="13"/>
  <c r="BS6" i="13" s="1"/>
  <c r="AP6" i="13"/>
  <c r="AO6" i="13"/>
  <c r="AN6" i="13"/>
  <c r="AM6" i="13"/>
  <c r="AL6" i="13"/>
  <c r="AK6" i="13"/>
  <c r="AJ6" i="13"/>
  <c r="AI6" i="13"/>
  <c r="AH6" i="13"/>
  <c r="AG6" i="13"/>
  <c r="BR6" i="13" s="1"/>
  <c r="AF6" i="13"/>
  <c r="AE6" i="13"/>
  <c r="AD6" i="13"/>
  <c r="AC6" i="13"/>
  <c r="AB6" i="13"/>
  <c r="AA6" i="13"/>
  <c r="Z6" i="13"/>
  <c r="Y6" i="13"/>
  <c r="X6" i="13"/>
  <c r="W6" i="13"/>
  <c r="BQ6" i="13" s="1"/>
  <c r="V6" i="13"/>
  <c r="U6" i="13"/>
  <c r="T6" i="13"/>
  <c r="S6" i="13"/>
  <c r="R6" i="13"/>
  <c r="Q6" i="13"/>
  <c r="P6" i="13"/>
  <c r="O6" i="13"/>
  <c r="N6" i="13"/>
  <c r="M6" i="13"/>
  <c r="BP6" i="13" s="1"/>
  <c r="L6" i="13"/>
  <c r="K6" i="13"/>
  <c r="J6" i="13"/>
  <c r="I6" i="13"/>
  <c r="H6" i="13"/>
  <c r="G6" i="13"/>
  <c r="F6" i="13"/>
  <c r="E6" i="13"/>
  <c r="D6" i="13"/>
  <c r="BO6" i="13" s="1"/>
  <c r="BK5" i="13"/>
  <c r="BU5" i="13" s="1"/>
  <c r="BJ5" i="13"/>
  <c r="BI5" i="13"/>
  <c r="BH5" i="13"/>
  <c r="BG5" i="13"/>
  <c r="BF5" i="13"/>
  <c r="BE5" i="13"/>
  <c r="BD5" i="13"/>
  <c r="BC5" i="13"/>
  <c r="BB5" i="13"/>
  <c r="BA5" i="13"/>
  <c r="BT5" i="13" s="1"/>
  <c r="AZ5" i="13"/>
  <c r="AY5" i="13"/>
  <c r="AX5" i="13"/>
  <c r="AW5" i="13"/>
  <c r="AV5" i="13"/>
  <c r="AU5" i="13"/>
  <c r="AT5" i="13"/>
  <c r="AS5" i="13"/>
  <c r="AR5" i="13"/>
  <c r="AQ5" i="13"/>
  <c r="BS5" i="13" s="1"/>
  <c r="AP5" i="13"/>
  <c r="AO5" i="13"/>
  <c r="AN5" i="13"/>
  <c r="AM5" i="13"/>
  <c r="AL5" i="13"/>
  <c r="AK5" i="13"/>
  <c r="AJ5" i="13"/>
  <c r="AI5" i="13"/>
  <c r="AH5" i="13"/>
  <c r="AG5" i="13"/>
  <c r="BR5" i="13" s="1"/>
  <c r="AF5" i="13"/>
  <c r="AE5" i="13"/>
  <c r="AD5" i="13"/>
  <c r="AC5" i="13"/>
  <c r="AB5" i="13"/>
  <c r="AA5" i="13"/>
  <c r="Z5" i="13"/>
  <c r="Y5" i="13"/>
  <c r="X5" i="13"/>
  <c r="W5" i="13"/>
  <c r="BQ5" i="13" s="1"/>
  <c r="V5" i="13"/>
  <c r="U5" i="13"/>
  <c r="T5" i="13"/>
  <c r="S5" i="13"/>
  <c r="R5" i="13"/>
  <c r="Q5" i="13"/>
  <c r="P5" i="13"/>
  <c r="O5" i="13"/>
  <c r="N5" i="13"/>
  <c r="M5" i="13"/>
  <c r="BP5" i="13" s="1"/>
  <c r="L5" i="13"/>
  <c r="K5" i="13"/>
  <c r="J5" i="13"/>
  <c r="I5" i="13"/>
  <c r="H5" i="13"/>
  <c r="G5" i="13"/>
  <c r="F5" i="13"/>
  <c r="E5" i="13"/>
  <c r="D5" i="13"/>
  <c r="BO5" i="13" s="1"/>
  <c r="BK4" i="13"/>
  <c r="BU4" i="13" s="1"/>
  <c r="BJ4" i="13"/>
  <c r="BI4" i="13"/>
  <c r="BH4" i="13"/>
  <c r="BG4" i="13"/>
  <c r="BF4" i="13"/>
  <c r="BE4" i="13"/>
  <c r="BD4" i="13"/>
  <c r="BC4" i="13"/>
  <c r="BB4" i="13"/>
  <c r="BA4" i="13"/>
  <c r="BT4" i="13" s="1"/>
  <c r="AZ4" i="13"/>
  <c r="AY4" i="13"/>
  <c r="AX4" i="13"/>
  <c r="AW4" i="13"/>
  <c r="AV4" i="13"/>
  <c r="AU4" i="13"/>
  <c r="AT4" i="13"/>
  <c r="AS4" i="13"/>
  <c r="AR4" i="13"/>
  <c r="AQ4" i="13"/>
  <c r="BS4" i="13" s="1"/>
  <c r="AP4" i="13"/>
  <c r="AO4" i="13"/>
  <c r="AN4" i="13"/>
  <c r="AM4" i="13"/>
  <c r="AL4" i="13"/>
  <c r="AK4" i="13"/>
  <c r="AJ4" i="13"/>
  <c r="AI4" i="13"/>
  <c r="AH4" i="13"/>
  <c r="AG4" i="13"/>
  <c r="BR4" i="13" s="1"/>
  <c r="AF4" i="13"/>
  <c r="AE4" i="13"/>
  <c r="AD4" i="13"/>
  <c r="AC4" i="13"/>
  <c r="AB4" i="13"/>
  <c r="AA4" i="13"/>
  <c r="Z4" i="13"/>
  <c r="Y4" i="13"/>
  <c r="X4" i="13"/>
  <c r="W4" i="13"/>
  <c r="BQ4" i="13" s="1"/>
  <c r="V4" i="13"/>
  <c r="U4" i="13"/>
  <c r="T4" i="13"/>
  <c r="S4" i="13"/>
  <c r="R4" i="13"/>
  <c r="Q4" i="13"/>
  <c r="P4" i="13"/>
  <c r="O4" i="13"/>
  <c r="N4" i="13"/>
  <c r="M4" i="13"/>
  <c r="BP4" i="13" s="1"/>
  <c r="L4" i="13"/>
  <c r="K4" i="13"/>
  <c r="J4" i="13"/>
  <c r="I4" i="13"/>
  <c r="H4" i="13"/>
  <c r="G4" i="13"/>
  <c r="F4" i="13"/>
  <c r="E4" i="13"/>
  <c r="D4" i="13"/>
  <c r="BO4" i="13" s="1"/>
  <c r="BK3" i="13"/>
  <c r="BU3" i="13" s="1"/>
  <c r="BJ3" i="13"/>
  <c r="BI3" i="13"/>
  <c r="BH3" i="13"/>
  <c r="BG3" i="13"/>
  <c r="BF3" i="13"/>
  <c r="BE3" i="13"/>
  <c r="BD3" i="13"/>
  <c r="BC3" i="13"/>
  <c r="BB3" i="13"/>
  <c r="BA3" i="13"/>
  <c r="BT3" i="13" s="1"/>
  <c r="AZ3" i="13"/>
  <c r="AY3" i="13"/>
  <c r="AX3" i="13"/>
  <c r="AW3" i="13"/>
  <c r="AV3" i="13"/>
  <c r="AU3" i="13"/>
  <c r="AT3" i="13"/>
  <c r="AS3" i="13"/>
  <c r="AR3" i="13"/>
  <c r="AQ3" i="13"/>
  <c r="BS3" i="13" s="1"/>
  <c r="AP3" i="13"/>
  <c r="AO3" i="13"/>
  <c r="AN3" i="13"/>
  <c r="AM3" i="13"/>
  <c r="AL3" i="13"/>
  <c r="AK3" i="13"/>
  <c r="AJ3" i="13"/>
  <c r="AI3" i="13"/>
  <c r="AH3" i="13"/>
  <c r="AG3" i="13"/>
  <c r="BR3" i="13" s="1"/>
  <c r="AF3" i="13"/>
  <c r="AE3" i="13"/>
  <c r="AD3" i="13"/>
  <c r="AC3" i="13"/>
  <c r="AB3" i="13"/>
  <c r="AA3" i="13"/>
  <c r="Z3" i="13"/>
  <c r="Y3" i="13"/>
  <c r="X3" i="13"/>
  <c r="W3" i="13"/>
  <c r="BQ3" i="13" s="1"/>
  <c r="V3" i="13"/>
  <c r="U3" i="13"/>
  <c r="T3" i="13"/>
  <c r="S3" i="13"/>
  <c r="R3" i="13"/>
  <c r="Q3" i="13"/>
  <c r="P3" i="13"/>
  <c r="O3" i="13"/>
  <c r="N3" i="13"/>
  <c r="M3" i="13"/>
  <c r="BP3" i="13" s="1"/>
  <c r="L3" i="13"/>
  <c r="K3" i="13"/>
  <c r="J3" i="13"/>
  <c r="I3" i="13"/>
  <c r="H3" i="13"/>
  <c r="G3" i="13"/>
  <c r="F3" i="13"/>
  <c r="E3" i="13"/>
  <c r="D3" i="13"/>
  <c r="BO3" i="13" s="1"/>
  <c r="BK2" i="13"/>
  <c r="BU2" i="13" s="1"/>
  <c r="BJ2" i="13"/>
  <c r="BI2" i="13"/>
  <c r="BH2" i="13"/>
  <c r="BG2" i="13"/>
  <c r="BF2" i="13"/>
  <c r="BE2" i="13"/>
  <c r="BD2" i="13"/>
  <c r="BC2" i="13"/>
  <c r="BB2" i="13"/>
  <c r="BA2" i="13"/>
  <c r="BT2" i="13" s="1"/>
  <c r="AZ2" i="13"/>
  <c r="AY2" i="13"/>
  <c r="AX2" i="13"/>
  <c r="AW2" i="13"/>
  <c r="AV2" i="13"/>
  <c r="AU2" i="13"/>
  <c r="AT2" i="13"/>
  <c r="AS2" i="13"/>
  <c r="AR2" i="13"/>
  <c r="AQ2" i="13"/>
  <c r="BS2" i="13" s="1"/>
  <c r="AP2" i="13"/>
  <c r="AO2" i="13"/>
  <c r="AN2" i="13"/>
  <c r="AM2" i="13"/>
  <c r="AL2" i="13"/>
  <c r="AK2" i="13"/>
  <c r="AJ2" i="13"/>
  <c r="AI2" i="13"/>
  <c r="AH2" i="13"/>
  <c r="AG2" i="13"/>
  <c r="BR2" i="13" s="1"/>
  <c r="AF2" i="13"/>
  <c r="AE2" i="13"/>
  <c r="AD2" i="13"/>
  <c r="AC2" i="13"/>
  <c r="AB2" i="13"/>
  <c r="AA2" i="13"/>
  <c r="Z2" i="13"/>
  <c r="Y2" i="13"/>
  <c r="X2" i="13"/>
  <c r="W2" i="13"/>
  <c r="BQ2" i="13" s="1"/>
  <c r="V2" i="13"/>
  <c r="U2" i="13"/>
  <c r="T2" i="13"/>
  <c r="S2" i="13"/>
  <c r="R2" i="13"/>
  <c r="Q2" i="13"/>
  <c r="P2" i="13"/>
  <c r="O2" i="13"/>
  <c r="N2" i="13"/>
  <c r="M2" i="13"/>
  <c r="BP2" i="13" s="1"/>
  <c r="L2" i="13"/>
  <c r="K2" i="13"/>
  <c r="J2" i="13"/>
  <c r="I2" i="13"/>
  <c r="H2" i="13"/>
  <c r="G2" i="13"/>
  <c r="F2" i="13"/>
  <c r="E2" i="13"/>
  <c r="D2" i="13"/>
  <c r="BO2" i="13" s="1"/>
  <c r="BK40" i="12"/>
  <c r="BU39" i="12" s="1"/>
  <c r="BJ40" i="12"/>
  <c r="BI40" i="12"/>
  <c r="BH40" i="12"/>
  <c r="BG40" i="12"/>
  <c r="BF40" i="12"/>
  <c r="BE40" i="12"/>
  <c r="BD40" i="12"/>
  <c r="BC40" i="12"/>
  <c r="BB40" i="12"/>
  <c r="BA40" i="12"/>
  <c r="BT39" i="12" s="1"/>
  <c r="AZ40" i="12"/>
  <c r="AY40" i="12"/>
  <c r="AX40" i="12"/>
  <c r="AW40" i="12"/>
  <c r="AV40" i="12"/>
  <c r="AU40" i="12"/>
  <c r="AT40" i="12"/>
  <c r="AS40" i="12"/>
  <c r="AR40" i="12"/>
  <c r="AQ40" i="12"/>
  <c r="BS39" i="12" s="1"/>
  <c r="AP40" i="12"/>
  <c r="AO40" i="12"/>
  <c r="AN40" i="12"/>
  <c r="AM40" i="12"/>
  <c r="AL40" i="12"/>
  <c r="AK40" i="12"/>
  <c r="AJ40" i="12"/>
  <c r="AI40" i="12"/>
  <c r="AH40" i="12"/>
  <c r="AG40" i="12"/>
  <c r="BR39" i="12" s="1"/>
  <c r="AF40" i="12"/>
  <c r="AE40" i="12"/>
  <c r="AD40" i="12"/>
  <c r="AC40" i="12"/>
  <c r="AB40" i="12"/>
  <c r="AA40" i="12"/>
  <c r="Z40" i="12"/>
  <c r="Y40" i="12"/>
  <c r="X40" i="12"/>
  <c r="W40" i="12"/>
  <c r="BQ39" i="12" s="1"/>
  <c r="V40" i="12"/>
  <c r="U40" i="12"/>
  <c r="T40" i="12"/>
  <c r="S40" i="12"/>
  <c r="R40" i="12"/>
  <c r="Q40" i="12"/>
  <c r="P40" i="12"/>
  <c r="O40" i="12"/>
  <c r="N40" i="12"/>
  <c r="M40" i="12"/>
  <c r="BP39" i="12" s="1"/>
  <c r="L40" i="12"/>
  <c r="K40" i="12"/>
  <c r="J40" i="12"/>
  <c r="I40" i="12"/>
  <c r="H40" i="12"/>
  <c r="G40" i="12"/>
  <c r="F40" i="12"/>
  <c r="E40" i="12"/>
  <c r="D40" i="12"/>
  <c r="BO39" i="12" s="1"/>
  <c r="BK39" i="12"/>
  <c r="BU38" i="12" s="1"/>
  <c r="BJ39" i="12"/>
  <c r="BI39" i="12"/>
  <c r="BH39" i="12"/>
  <c r="BG39" i="12"/>
  <c r="BF39" i="12"/>
  <c r="BE39" i="12"/>
  <c r="BD39" i="12"/>
  <c r="BC39" i="12"/>
  <c r="BB39" i="12"/>
  <c r="BA39" i="12"/>
  <c r="BT38" i="12" s="1"/>
  <c r="AZ39" i="12"/>
  <c r="AY39" i="12"/>
  <c r="AX39" i="12"/>
  <c r="AW39" i="12"/>
  <c r="AV39" i="12"/>
  <c r="AU39" i="12"/>
  <c r="AT39" i="12"/>
  <c r="AS39" i="12"/>
  <c r="AR39" i="12"/>
  <c r="AQ39" i="12"/>
  <c r="BS38" i="12" s="1"/>
  <c r="AP39" i="12"/>
  <c r="AO39" i="12"/>
  <c r="AN39" i="12"/>
  <c r="AM39" i="12"/>
  <c r="AL39" i="12"/>
  <c r="AK39" i="12"/>
  <c r="AJ39" i="12"/>
  <c r="AI39" i="12"/>
  <c r="AH39" i="12"/>
  <c r="AG39" i="12"/>
  <c r="BR38" i="12" s="1"/>
  <c r="AF39" i="12"/>
  <c r="AE39" i="12"/>
  <c r="AD39" i="12"/>
  <c r="AC39" i="12"/>
  <c r="AB39" i="12"/>
  <c r="AA39" i="12"/>
  <c r="Z39" i="12"/>
  <c r="Y39" i="12"/>
  <c r="X39" i="12"/>
  <c r="W39" i="12"/>
  <c r="BQ38" i="12" s="1"/>
  <c r="V39" i="12"/>
  <c r="U39" i="12"/>
  <c r="T39" i="12"/>
  <c r="S39" i="12"/>
  <c r="R39" i="12"/>
  <c r="Q39" i="12"/>
  <c r="P39" i="12"/>
  <c r="O39" i="12"/>
  <c r="N39" i="12"/>
  <c r="M39" i="12"/>
  <c r="BP38" i="12" s="1"/>
  <c r="L39" i="12"/>
  <c r="K39" i="12"/>
  <c r="J39" i="12"/>
  <c r="I39" i="12"/>
  <c r="H39" i="12"/>
  <c r="G39" i="12"/>
  <c r="F39" i="12"/>
  <c r="E39" i="12"/>
  <c r="D39" i="12"/>
  <c r="BO38" i="12" s="1"/>
  <c r="BK38" i="12"/>
  <c r="BU37" i="12" s="1"/>
  <c r="BJ38" i="12"/>
  <c r="BI38" i="12"/>
  <c r="BH38" i="12"/>
  <c r="BG38" i="12"/>
  <c r="BF38" i="12"/>
  <c r="BE38" i="12"/>
  <c r="BD38" i="12"/>
  <c r="BC38" i="12"/>
  <c r="BB38" i="12"/>
  <c r="BA38" i="12"/>
  <c r="BT37" i="12" s="1"/>
  <c r="AZ38" i="12"/>
  <c r="AY38" i="12"/>
  <c r="AX38" i="12"/>
  <c r="AW38" i="12"/>
  <c r="AV38" i="12"/>
  <c r="AU38" i="12"/>
  <c r="AT38" i="12"/>
  <c r="AS38" i="12"/>
  <c r="AR38" i="12"/>
  <c r="AQ38" i="12"/>
  <c r="BS37" i="12" s="1"/>
  <c r="AP38" i="12"/>
  <c r="AO38" i="12"/>
  <c r="AN38" i="12"/>
  <c r="AM38" i="12"/>
  <c r="AL38" i="12"/>
  <c r="AK38" i="12"/>
  <c r="AJ38" i="12"/>
  <c r="AI38" i="12"/>
  <c r="AH38" i="12"/>
  <c r="AG38" i="12"/>
  <c r="BR37" i="12" s="1"/>
  <c r="AF38" i="12"/>
  <c r="AE38" i="12"/>
  <c r="AD38" i="12"/>
  <c r="AC38" i="12"/>
  <c r="AB38" i="12"/>
  <c r="AA38" i="12"/>
  <c r="Z38" i="12"/>
  <c r="Y38" i="12"/>
  <c r="X38" i="12"/>
  <c r="W38" i="12"/>
  <c r="BQ37" i="12" s="1"/>
  <c r="V38" i="12"/>
  <c r="U38" i="12"/>
  <c r="T38" i="12"/>
  <c r="S38" i="12"/>
  <c r="R38" i="12"/>
  <c r="Q38" i="12"/>
  <c r="P38" i="12"/>
  <c r="O38" i="12"/>
  <c r="N38" i="12"/>
  <c r="M38" i="12"/>
  <c r="BP37" i="12" s="1"/>
  <c r="L38" i="12"/>
  <c r="K38" i="12"/>
  <c r="J38" i="12"/>
  <c r="I38" i="12"/>
  <c r="H38" i="12"/>
  <c r="G38" i="12"/>
  <c r="F38" i="12"/>
  <c r="E38" i="12"/>
  <c r="D38" i="12"/>
  <c r="BO37" i="12" s="1"/>
  <c r="BK37" i="12"/>
  <c r="BU36" i="12" s="1"/>
  <c r="BJ37" i="12"/>
  <c r="BI37" i="12"/>
  <c r="BH37" i="12"/>
  <c r="BG37" i="12"/>
  <c r="BF37" i="12"/>
  <c r="BE37" i="12"/>
  <c r="BD37" i="12"/>
  <c r="BC37" i="12"/>
  <c r="BB37" i="12"/>
  <c r="BA37" i="12"/>
  <c r="BT36" i="12" s="1"/>
  <c r="AZ37" i="12"/>
  <c r="AY37" i="12"/>
  <c r="AX37" i="12"/>
  <c r="AW37" i="12"/>
  <c r="AV37" i="12"/>
  <c r="AU37" i="12"/>
  <c r="AT37" i="12"/>
  <c r="AS37" i="12"/>
  <c r="AR37" i="12"/>
  <c r="AQ37" i="12"/>
  <c r="BS36" i="12" s="1"/>
  <c r="AP37" i="12"/>
  <c r="AO37" i="12"/>
  <c r="AN37" i="12"/>
  <c r="AM37" i="12"/>
  <c r="AL37" i="12"/>
  <c r="AK37" i="12"/>
  <c r="AJ37" i="12"/>
  <c r="AI37" i="12"/>
  <c r="AH37" i="12"/>
  <c r="AG37" i="12"/>
  <c r="BR36" i="12" s="1"/>
  <c r="AF37" i="12"/>
  <c r="AE37" i="12"/>
  <c r="AD37" i="12"/>
  <c r="AC37" i="12"/>
  <c r="AB37" i="12"/>
  <c r="AA37" i="12"/>
  <c r="Z37" i="12"/>
  <c r="Y37" i="12"/>
  <c r="X37" i="12"/>
  <c r="W37" i="12"/>
  <c r="BQ36" i="12" s="1"/>
  <c r="V37" i="12"/>
  <c r="U37" i="12"/>
  <c r="T37" i="12"/>
  <c r="S37" i="12"/>
  <c r="R37" i="12"/>
  <c r="Q37" i="12"/>
  <c r="P37" i="12"/>
  <c r="O37" i="12"/>
  <c r="N37" i="12"/>
  <c r="M37" i="12"/>
  <c r="BP36" i="12" s="1"/>
  <c r="L37" i="12"/>
  <c r="K37" i="12"/>
  <c r="J37" i="12"/>
  <c r="I37" i="12"/>
  <c r="H37" i="12"/>
  <c r="G37" i="12"/>
  <c r="F37" i="12"/>
  <c r="E37" i="12"/>
  <c r="D37" i="12"/>
  <c r="BO36" i="12" s="1"/>
  <c r="BK36" i="12"/>
  <c r="BU35" i="12" s="1"/>
  <c r="BJ36" i="12"/>
  <c r="BI36" i="12"/>
  <c r="BH36" i="12"/>
  <c r="BG36" i="12"/>
  <c r="BF36" i="12"/>
  <c r="BE36" i="12"/>
  <c r="BD36" i="12"/>
  <c r="BC36" i="12"/>
  <c r="BB36" i="12"/>
  <c r="BA36" i="12"/>
  <c r="BT35" i="12" s="1"/>
  <c r="AZ36" i="12"/>
  <c r="AY36" i="12"/>
  <c r="AX36" i="12"/>
  <c r="AW36" i="12"/>
  <c r="AV36" i="12"/>
  <c r="AU36" i="12"/>
  <c r="AT36" i="12"/>
  <c r="AS36" i="12"/>
  <c r="AR36" i="12"/>
  <c r="AQ36" i="12"/>
  <c r="BS35" i="12" s="1"/>
  <c r="AP36" i="12"/>
  <c r="AO36" i="12"/>
  <c r="AN36" i="12"/>
  <c r="AM36" i="12"/>
  <c r="AL36" i="12"/>
  <c r="AK36" i="12"/>
  <c r="AJ36" i="12"/>
  <c r="AI36" i="12"/>
  <c r="AH36" i="12"/>
  <c r="AG36" i="12"/>
  <c r="BR35" i="12" s="1"/>
  <c r="AF36" i="12"/>
  <c r="AE36" i="12"/>
  <c r="AD36" i="12"/>
  <c r="AC36" i="12"/>
  <c r="AB36" i="12"/>
  <c r="AA36" i="12"/>
  <c r="Z36" i="12"/>
  <c r="Y36" i="12"/>
  <c r="X36" i="12"/>
  <c r="W36" i="12"/>
  <c r="BQ35" i="12" s="1"/>
  <c r="V36" i="12"/>
  <c r="U36" i="12"/>
  <c r="T36" i="12"/>
  <c r="S36" i="12"/>
  <c r="R36" i="12"/>
  <c r="Q36" i="12"/>
  <c r="P36" i="12"/>
  <c r="O36" i="12"/>
  <c r="N36" i="12"/>
  <c r="M36" i="12"/>
  <c r="BP35" i="12" s="1"/>
  <c r="L36" i="12"/>
  <c r="K36" i="12"/>
  <c r="J36" i="12"/>
  <c r="I36" i="12"/>
  <c r="H36" i="12"/>
  <c r="G36" i="12"/>
  <c r="F36" i="12"/>
  <c r="E36" i="12"/>
  <c r="D36" i="12"/>
  <c r="BO35" i="12" s="1"/>
  <c r="BK35" i="12"/>
  <c r="BU34" i="12" s="1"/>
  <c r="BJ35" i="12"/>
  <c r="BI35" i="12"/>
  <c r="BH35" i="12"/>
  <c r="BG35" i="12"/>
  <c r="BF35" i="12"/>
  <c r="BE35" i="12"/>
  <c r="BD35" i="12"/>
  <c r="BC35" i="12"/>
  <c r="BB35" i="12"/>
  <c r="BA35" i="12"/>
  <c r="BT34" i="12" s="1"/>
  <c r="AZ35" i="12"/>
  <c r="AY35" i="12"/>
  <c r="AX35" i="12"/>
  <c r="AW35" i="12"/>
  <c r="AV35" i="12"/>
  <c r="AU35" i="12"/>
  <c r="AT35" i="12"/>
  <c r="AS35" i="12"/>
  <c r="AR35" i="12"/>
  <c r="AQ35" i="12"/>
  <c r="BS34" i="12" s="1"/>
  <c r="AP35" i="12"/>
  <c r="AO35" i="12"/>
  <c r="AN35" i="12"/>
  <c r="AM35" i="12"/>
  <c r="AL35" i="12"/>
  <c r="AK35" i="12"/>
  <c r="AJ35" i="12"/>
  <c r="AI35" i="12"/>
  <c r="AH35" i="12"/>
  <c r="AG35" i="12"/>
  <c r="BR34" i="12" s="1"/>
  <c r="AF35" i="12"/>
  <c r="AE35" i="12"/>
  <c r="AD35" i="12"/>
  <c r="AC35" i="12"/>
  <c r="AB35" i="12"/>
  <c r="AA35" i="12"/>
  <c r="Z35" i="12"/>
  <c r="Y35" i="12"/>
  <c r="X35" i="12"/>
  <c r="W35" i="12"/>
  <c r="BQ34" i="12" s="1"/>
  <c r="V35" i="12"/>
  <c r="U35" i="12"/>
  <c r="T35" i="12"/>
  <c r="S35" i="12"/>
  <c r="R35" i="12"/>
  <c r="Q35" i="12"/>
  <c r="P35" i="12"/>
  <c r="O35" i="12"/>
  <c r="N35" i="12"/>
  <c r="M35" i="12"/>
  <c r="BP34" i="12" s="1"/>
  <c r="L35" i="12"/>
  <c r="K35" i="12"/>
  <c r="J35" i="12"/>
  <c r="I35" i="12"/>
  <c r="H35" i="12"/>
  <c r="G35" i="12"/>
  <c r="F35" i="12"/>
  <c r="E35" i="12"/>
  <c r="D35" i="12"/>
  <c r="BO34" i="12" s="1"/>
  <c r="BK34" i="12"/>
  <c r="BU33" i="12" s="1"/>
  <c r="BJ34" i="12"/>
  <c r="BI34" i="12"/>
  <c r="BH34" i="12"/>
  <c r="BG34" i="12"/>
  <c r="BF34" i="12"/>
  <c r="BE34" i="12"/>
  <c r="BD34" i="12"/>
  <c r="BC34" i="12"/>
  <c r="BB34" i="12"/>
  <c r="BA34" i="12"/>
  <c r="BT33" i="12" s="1"/>
  <c r="AZ34" i="12"/>
  <c r="AY34" i="12"/>
  <c r="AX34" i="12"/>
  <c r="AW34" i="12"/>
  <c r="AV34" i="12"/>
  <c r="AU34" i="12"/>
  <c r="AT34" i="12"/>
  <c r="AS34" i="12"/>
  <c r="AR34" i="12"/>
  <c r="AQ34" i="12"/>
  <c r="BS33" i="12" s="1"/>
  <c r="AP34" i="12"/>
  <c r="AO34" i="12"/>
  <c r="AN34" i="12"/>
  <c r="AM34" i="12"/>
  <c r="AL34" i="12"/>
  <c r="AK34" i="12"/>
  <c r="AJ34" i="12"/>
  <c r="AI34" i="12"/>
  <c r="AH34" i="12"/>
  <c r="AG34" i="12"/>
  <c r="BR33" i="12" s="1"/>
  <c r="AF34" i="12"/>
  <c r="AE34" i="12"/>
  <c r="AD34" i="12"/>
  <c r="AC34" i="12"/>
  <c r="AB34" i="12"/>
  <c r="AA34" i="12"/>
  <c r="Z34" i="12"/>
  <c r="Y34" i="12"/>
  <c r="X34" i="12"/>
  <c r="W34" i="12"/>
  <c r="BQ33" i="12" s="1"/>
  <c r="V34" i="12"/>
  <c r="U34" i="12"/>
  <c r="T34" i="12"/>
  <c r="S34" i="12"/>
  <c r="R34" i="12"/>
  <c r="Q34" i="12"/>
  <c r="P34" i="12"/>
  <c r="O34" i="12"/>
  <c r="N34" i="12"/>
  <c r="M34" i="12"/>
  <c r="BP33" i="12" s="1"/>
  <c r="L34" i="12"/>
  <c r="K34" i="12"/>
  <c r="J34" i="12"/>
  <c r="I34" i="12"/>
  <c r="H34" i="12"/>
  <c r="G34" i="12"/>
  <c r="F34" i="12"/>
  <c r="E34" i="12"/>
  <c r="D34" i="12"/>
  <c r="BO33" i="12" s="1"/>
  <c r="BK32" i="12"/>
  <c r="BU32" i="12" s="1"/>
  <c r="BJ32" i="12"/>
  <c r="BI32" i="12"/>
  <c r="BH32" i="12"/>
  <c r="BG32" i="12"/>
  <c r="BF32" i="12"/>
  <c r="BE32" i="12"/>
  <c r="BD32" i="12"/>
  <c r="BC32" i="12"/>
  <c r="BB32" i="12"/>
  <c r="BA32" i="12"/>
  <c r="BT32" i="12" s="1"/>
  <c r="AZ32" i="12"/>
  <c r="AY32" i="12"/>
  <c r="AX32" i="12"/>
  <c r="AW32" i="12"/>
  <c r="AV32" i="12"/>
  <c r="AU32" i="12"/>
  <c r="AT32" i="12"/>
  <c r="AS32" i="12"/>
  <c r="AR32" i="12"/>
  <c r="AQ32" i="12"/>
  <c r="BS32" i="12" s="1"/>
  <c r="AP32" i="12"/>
  <c r="AO32" i="12"/>
  <c r="AN32" i="12"/>
  <c r="AM32" i="12"/>
  <c r="AL32" i="12"/>
  <c r="AK32" i="12"/>
  <c r="AJ32" i="12"/>
  <c r="AI32" i="12"/>
  <c r="AH32" i="12"/>
  <c r="AG32" i="12"/>
  <c r="BR32" i="12" s="1"/>
  <c r="AF32" i="12"/>
  <c r="AE32" i="12"/>
  <c r="AD32" i="12"/>
  <c r="AC32" i="12"/>
  <c r="AB32" i="12"/>
  <c r="AA32" i="12"/>
  <c r="Z32" i="12"/>
  <c r="Y32" i="12"/>
  <c r="X32" i="12"/>
  <c r="W32" i="12"/>
  <c r="BQ32" i="12" s="1"/>
  <c r="V32" i="12"/>
  <c r="U32" i="12"/>
  <c r="T32" i="12"/>
  <c r="S32" i="12"/>
  <c r="R32" i="12"/>
  <c r="Q32" i="12"/>
  <c r="P32" i="12"/>
  <c r="O32" i="12"/>
  <c r="N32" i="12"/>
  <c r="M32" i="12"/>
  <c r="BP32" i="12" s="1"/>
  <c r="L32" i="12"/>
  <c r="K32" i="12"/>
  <c r="J32" i="12"/>
  <c r="I32" i="12"/>
  <c r="H32" i="12"/>
  <c r="G32" i="12"/>
  <c r="F32" i="12"/>
  <c r="E32" i="12"/>
  <c r="D32" i="12"/>
  <c r="BO32" i="12" s="1"/>
  <c r="BK31" i="12"/>
  <c r="BU31" i="12" s="1"/>
  <c r="BJ31" i="12"/>
  <c r="BI31" i="12"/>
  <c r="BH31" i="12"/>
  <c r="BG31" i="12"/>
  <c r="BF31" i="12"/>
  <c r="BE31" i="12"/>
  <c r="BD31" i="12"/>
  <c r="BC31" i="12"/>
  <c r="BB31" i="12"/>
  <c r="BA31" i="12"/>
  <c r="BT31" i="12" s="1"/>
  <c r="AZ31" i="12"/>
  <c r="AY31" i="12"/>
  <c r="AX31" i="12"/>
  <c r="AW31" i="12"/>
  <c r="AV31" i="12"/>
  <c r="AU31" i="12"/>
  <c r="AT31" i="12"/>
  <c r="AS31" i="12"/>
  <c r="AR31" i="12"/>
  <c r="AQ31" i="12"/>
  <c r="BS31" i="12" s="1"/>
  <c r="AP31" i="12"/>
  <c r="AO31" i="12"/>
  <c r="AN31" i="12"/>
  <c r="AM31" i="12"/>
  <c r="AL31" i="12"/>
  <c r="AK31" i="12"/>
  <c r="AJ31" i="12"/>
  <c r="AI31" i="12"/>
  <c r="AH31" i="12"/>
  <c r="AG31" i="12"/>
  <c r="BR31" i="12" s="1"/>
  <c r="AF31" i="12"/>
  <c r="AE31" i="12"/>
  <c r="AD31" i="12"/>
  <c r="AC31" i="12"/>
  <c r="AB31" i="12"/>
  <c r="AA31" i="12"/>
  <c r="Z31" i="12"/>
  <c r="Y31" i="12"/>
  <c r="X31" i="12"/>
  <c r="W31" i="12"/>
  <c r="BQ31" i="12" s="1"/>
  <c r="V31" i="12"/>
  <c r="U31" i="12"/>
  <c r="T31" i="12"/>
  <c r="S31" i="12"/>
  <c r="R31" i="12"/>
  <c r="Q31" i="12"/>
  <c r="P31" i="12"/>
  <c r="O31" i="12"/>
  <c r="N31" i="12"/>
  <c r="M31" i="12"/>
  <c r="BP31" i="12" s="1"/>
  <c r="L31" i="12"/>
  <c r="K31" i="12"/>
  <c r="J31" i="12"/>
  <c r="I31" i="12"/>
  <c r="H31" i="12"/>
  <c r="G31" i="12"/>
  <c r="F31" i="12"/>
  <c r="E31" i="12"/>
  <c r="D31" i="12"/>
  <c r="BO31" i="12" s="1"/>
  <c r="BK30" i="12"/>
  <c r="BU30" i="12" s="1"/>
  <c r="BJ30" i="12"/>
  <c r="BI30" i="12"/>
  <c r="BH30" i="12"/>
  <c r="BG30" i="12"/>
  <c r="BF30" i="12"/>
  <c r="BE30" i="12"/>
  <c r="BD30" i="12"/>
  <c r="BC30" i="12"/>
  <c r="BB30" i="12"/>
  <c r="BA30" i="12"/>
  <c r="BT30" i="12" s="1"/>
  <c r="AZ30" i="12"/>
  <c r="AY30" i="12"/>
  <c r="AX30" i="12"/>
  <c r="AW30" i="12"/>
  <c r="AV30" i="12"/>
  <c r="AU30" i="12"/>
  <c r="AT30" i="12"/>
  <c r="AS30" i="12"/>
  <c r="AR30" i="12"/>
  <c r="AQ30" i="12"/>
  <c r="BS30" i="12" s="1"/>
  <c r="AP30" i="12"/>
  <c r="AO30" i="12"/>
  <c r="AN30" i="12"/>
  <c r="AM30" i="12"/>
  <c r="AL30" i="12"/>
  <c r="AK30" i="12"/>
  <c r="AJ30" i="12"/>
  <c r="AI30" i="12"/>
  <c r="AH30" i="12"/>
  <c r="AG30" i="12"/>
  <c r="BR30" i="12" s="1"/>
  <c r="AF30" i="12"/>
  <c r="AE30" i="12"/>
  <c r="AD30" i="12"/>
  <c r="AC30" i="12"/>
  <c r="AB30" i="12"/>
  <c r="AA30" i="12"/>
  <c r="Z30" i="12"/>
  <c r="Y30" i="12"/>
  <c r="X30" i="12"/>
  <c r="W30" i="12"/>
  <c r="BQ30" i="12" s="1"/>
  <c r="V30" i="12"/>
  <c r="U30" i="12"/>
  <c r="T30" i="12"/>
  <c r="S30" i="12"/>
  <c r="R30" i="12"/>
  <c r="Q30" i="12"/>
  <c r="P30" i="12"/>
  <c r="O30" i="12"/>
  <c r="N30" i="12"/>
  <c r="M30" i="12"/>
  <c r="BP30" i="12" s="1"/>
  <c r="L30" i="12"/>
  <c r="K30" i="12"/>
  <c r="J30" i="12"/>
  <c r="I30" i="12"/>
  <c r="H30" i="12"/>
  <c r="G30" i="12"/>
  <c r="F30" i="12"/>
  <c r="E30" i="12"/>
  <c r="D30" i="12"/>
  <c r="BO30" i="12" s="1"/>
  <c r="BK29" i="12"/>
  <c r="BU29" i="12" s="1"/>
  <c r="BJ29" i="12"/>
  <c r="BI29" i="12"/>
  <c r="BH29" i="12"/>
  <c r="BG29" i="12"/>
  <c r="BF29" i="12"/>
  <c r="BE29" i="12"/>
  <c r="BD29" i="12"/>
  <c r="BC29" i="12"/>
  <c r="BB29" i="12"/>
  <c r="BA29" i="12"/>
  <c r="BT29" i="12" s="1"/>
  <c r="AZ29" i="12"/>
  <c r="AY29" i="12"/>
  <c r="AX29" i="12"/>
  <c r="AW29" i="12"/>
  <c r="AV29" i="12"/>
  <c r="AU29" i="12"/>
  <c r="AT29" i="12"/>
  <c r="AS29" i="12"/>
  <c r="AR29" i="12"/>
  <c r="AQ29" i="12"/>
  <c r="BS29" i="12" s="1"/>
  <c r="AP29" i="12"/>
  <c r="AO29" i="12"/>
  <c r="AN29" i="12"/>
  <c r="AM29" i="12"/>
  <c r="AL29" i="12"/>
  <c r="AK29" i="12"/>
  <c r="AJ29" i="12"/>
  <c r="AI29" i="12"/>
  <c r="AH29" i="12"/>
  <c r="AG29" i="12"/>
  <c r="BR29" i="12" s="1"/>
  <c r="AF29" i="12"/>
  <c r="AE29" i="12"/>
  <c r="AD29" i="12"/>
  <c r="AC29" i="12"/>
  <c r="AB29" i="12"/>
  <c r="AA29" i="12"/>
  <c r="Z29" i="12"/>
  <c r="Y29" i="12"/>
  <c r="X29" i="12"/>
  <c r="W29" i="12"/>
  <c r="BQ29" i="12" s="1"/>
  <c r="V29" i="12"/>
  <c r="U29" i="12"/>
  <c r="T29" i="12"/>
  <c r="S29" i="12"/>
  <c r="R29" i="12"/>
  <c r="Q29" i="12"/>
  <c r="P29" i="12"/>
  <c r="O29" i="12"/>
  <c r="N29" i="12"/>
  <c r="M29" i="12"/>
  <c r="BP29" i="12" s="1"/>
  <c r="L29" i="12"/>
  <c r="K29" i="12"/>
  <c r="J29" i="12"/>
  <c r="I29" i="12"/>
  <c r="H29" i="12"/>
  <c r="G29" i="12"/>
  <c r="F29" i="12"/>
  <c r="E29" i="12"/>
  <c r="D29" i="12"/>
  <c r="BO29" i="12" s="1"/>
  <c r="BK28" i="12"/>
  <c r="BU28" i="12" s="1"/>
  <c r="BJ28" i="12"/>
  <c r="BI28" i="12"/>
  <c r="BH28" i="12"/>
  <c r="BG28" i="12"/>
  <c r="BF28" i="12"/>
  <c r="BE28" i="12"/>
  <c r="BD28" i="12"/>
  <c r="BC28" i="12"/>
  <c r="BB28" i="12"/>
  <c r="BA28" i="12"/>
  <c r="BT28" i="12" s="1"/>
  <c r="AZ28" i="12"/>
  <c r="AY28" i="12"/>
  <c r="AX28" i="12"/>
  <c r="AW28" i="12"/>
  <c r="AV28" i="12"/>
  <c r="AU28" i="12"/>
  <c r="AT28" i="12"/>
  <c r="AS28" i="12"/>
  <c r="AR28" i="12"/>
  <c r="AQ28" i="12"/>
  <c r="BS28" i="12" s="1"/>
  <c r="AP28" i="12"/>
  <c r="AO28" i="12"/>
  <c r="AN28" i="12"/>
  <c r="AM28" i="12"/>
  <c r="AL28" i="12"/>
  <c r="AK28" i="12"/>
  <c r="AJ28" i="12"/>
  <c r="AI28" i="12"/>
  <c r="AH28" i="12"/>
  <c r="AG28" i="12"/>
  <c r="BR28" i="12" s="1"/>
  <c r="AF28" i="12"/>
  <c r="AE28" i="12"/>
  <c r="AD28" i="12"/>
  <c r="AC28" i="12"/>
  <c r="AB28" i="12"/>
  <c r="AA28" i="12"/>
  <c r="Z28" i="12"/>
  <c r="Y28" i="12"/>
  <c r="X28" i="12"/>
  <c r="W28" i="12"/>
  <c r="BQ28" i="12" s="1"/>
  <c r="V28" i="12"/>
  <c r="U28" i="12"/>
  <c r="T28" i="12"/>
  <c r="S28" i="12"/>
  <c r="R28" i="12"/>
  <c r="Q28" i="12"/>
  <c r="P28" i="12"/>
  <c r="O28" i="12"/>
  <c r="N28" i="12"/>
  <c r="M28" i="12"/>
  <c r="BP28" i="12" s="1"/>
  <c r="L28" i="12"/>
  <c r="K28" i="12"/>
  <c r="J28" i="12"/>
  <c r="I28" i="12"/>
  <c r="H28" i="12"/>
  <c r="G28" i="12"/>
  <c r="F28" i="12"/>
  <c r="E28" i="12"/>
  <c r="D28" i="12"/>
  <c r="BO28" i="12" s="1"/>
  <c r="BK27" i="12"/>
  <c r="BU27" i="12" s="1"/>
  <c r="BJ27" i="12"/>
  <c r="BI27" i="12"/>
  <c r="BH27" i="12"/>
  <c r="BG27" i="12"/>
  <c r="BF27" i="12"/>
  <c r="BE27" i="12"/>
  <c r="BD27" i="12"/>
  <c r="BC27" i="12"/>
  <c r="BB27" i="12"/>
  <c r="BA27" i="12"/>
  <c r="BT27" i="12" s="1"/>
  <c r="AZ27" i="12"/>
  <c r="AY27" i="12"/>
  <c r="AX27" i="12"/>
  <c r="AW27" i="12"/>
  <c r="AV27" i="12"/>
  <c r="AU27" i="12"/>
  <c r="AT27" i="12"/>
  <c r="AS27" i="12"/>
  <c r="AR27" i="12"/>
  <c r="AQ27" i="12"/>
  <c r="BS27" i="12" s="1"/>
  <c r="AP27" i="12"/>
  <c r="AO27" i="12"/>
  <c r="AN27" i="12"/>
  <c r="AM27" i="12"/>
  <c r="AL27" i="12"/>
  <c r="AK27" i="12"/>
  <c r="AJ27" i="12"/>
  <c r="AI27" i="12"/>
  <c r="AH27" i="12"/>
  <c r="AG27" i="12"/>
  <c r="BR27" i="12" s="1"/>
  <c r="AF27" i="12"/>
  <c r="AE27" i="12"/>
  <c r="AD27" i="12"/>
  <c r="AC27" i="12"/>
  <c r="AB27" i="12"/>
  <c r="AA27" i="12"/>
  <c r="Z27" i="12"/>
  <c r="Y27" i="12"/>
  <c r="X27" i="12"/>
  <c r="W27" i="12"/>
  <c r="BQ27" i="12" s="1"/>
  <c r="V27" i="12"/>
  <c r="U27" i="12"/>
  <c r="T27" i="12"/>
  <c r="S27" i="12"/>
  <c r="R27" i="12"/>
  <c r="Q27" i="12"/>
  <c r="P27" i="12"/>
  <c r="O27" i="12"/>
  <c r="N27" i="12"/>
  <c r="M27" i="12"/>
  <c r="BP27" i="12" s="1"/>
  <c r="L27" i="12"/>
  <c r="K27" i="12"/>
  <c r="J27" i="12"/>
  <c r="I27" i="12"/>
  <c r="H27" i="12"/>
  <c r="G27" i="12"/>
  <c r="F27" i="12"/>
  <c r="E27" i="12"/>
  <c r="D27" i="12"/>
  <c r="BO27" i="12" s="1"/>
  <c r="BK26" i="12"/>
  <c r="BU26" i="12" s="1"/>
  <c r="BJ26" i="12"/>
  <c r="BI26" i="12"/>
  <c r="BH26" i="12"/>
  <c r="BG26" i="12"/>
  <c r="BF26" i="12"/>
  <c r="BE26" i="12"/>
  <c r="BD26" i="12"/>
  <c r="BC26" i="12"/>
  <c r="BB26" i="12"/>
  <c r="BA26" i="12"/>
  <c r="BT26" i="12" s="1"/>
  <c r="AZ26" i="12"/>
  <c r="AY26" i="12"/>
  <c r="AX26" i="12"/>
  <c r="AW26" i="12"/>
  <c r="AV26" i="12"/>
  <c r="AU26" i="12"/>
  <c r="AT26" i="12"/>
  <c r="AS26" i="12"/>
  <c r="AR26" i="12"/>
  <c r="AQ26" i="12"/>
  <c r="BS26" i="12" s="1"/>
  <c r="AP26" i="12"/>
  <c r="AO26" i="12"/>
  <c r="AN26" i="12"/>
  <c r="AM26" i="12"/>
  <c r="AL26" i="12"/>
  <c r="AK26" i="12"/>
  <c r="AJ26" i="12"/>
  <c r="AI26" i="12"/>
  <c r="AH26" i="12"/>
  <c r="AG26" i="12"/>
  <c r="BR26" i="12" s="1"/>
  <c r="AF26" i="12"/>
  <c r="AE26" i="12"/>
  <c r="AD26" i="12"/>
  <c r="AC26" i="12"/>
  <c r="AB26" i="12"/>
  <c r="AA26" i="12"/>
  <c r="Z26" i="12"/>
  <c r="Y26" i="12"/>
  <c r="X26" i="12"/>
  <c r="W26" i="12"/>
  <c r="BQ26" i="12" s="1"/>
  <c r="V26" i="12"/>
  <c r="U26" i="12"/>
  <c r="T26" i="12"/>
  <c r="S26" i="12"/>
  <c r="R26" i="12"/>
  <c r="Q26" i="12"/>
  <c r="P26" i="12"/>
  <c r="O26" i="12"/>
  <c r="N26" i="12"/>
  <c r="M26" i="12"/>
  <c r="BP26" i="12" s="1"/>
  <c r="L26" i="12"/>
  <c r="K26" i="12"/>
  <c r="J26" i="12"/>
  <c r="I26" i="12"/>
  <c r="H26" i="12"/>
  <c r="G26" i="12"/>
  <c r="F26" i="12"/>
  <c r="E26" i="12"/>
  <c r="D26" i="12"/>
  <c r="BO26" i="12" s="1"/>
  <c r="BK24" i="12"/>
  <c r="BJ24" i="12"/>
  <c r="BI24" i="12"/>
  <c r="BH24" i="12"/>
  <c r="BG24" i="12"/>
  <c r="BF24" i="12"/>
  <c r="BE24" i="12"/>
  <c r="BD24" i="12"/>
  <c r="BC24" i="12"/>
  <c r="BB24" i="12"/>
  <c r="BA24" i="12"/>
  <c r="BT23" i="12" s="1"/>
  <c r="AZ24" i="12"/>
  <c r="AY24" i="12"/>
  <c r="AX24" i="12"/>
  <c r="AW24" i="12"/>
  <c r="AV24" i="12"/>
  <c r="AU24" i="12"/>
  <c r="AT24" i="12"/>
  <c r="AS24" i="12"/>
  <c r="AR24" i="12"/>
  <c r="AQ24" i="12"/>
  <c r="BS23" i="12" s="1"/>
  <c r="AP24" i="12"/>
  <c r="AO24" i="12"/>
  <c r="AN24" i="12"/>
  <c r="AM24" i="12"/>
  <c r="AL24" i="12"/>
  <c r="AK24" i="12"/>
  <c r="AJ24" i="12"/>
  <c r="AI24" i="12"/>
  <c r="AH24" i="12"/>
  <c r="AG24" i="12"/>
  <c r="BR23" i="12" s="1"/>
  <c r="AF24" i="12"/>
  <c r="AE24" i="12"/>
  <c r="AD24" i="12"/>
  <c r="AC24" i="12"/>
  <c r="AB24" i="12"/>
  <c r="AA24" i="12"/>
  <c r="Z24" i="12"/>
  <c r="Y24" i="12"/>
  <c r="X24" i="12"/>
  <c r="W24" i="12"/>
  <c r="BQ23" i="12" s="1"/>
  <c r="V24" i="12"/>
  <c r="U24" i="12"/>
  <c r="T24" i="12"/>
  <c r="S24" i="12"/>
  <c r="R24" i="12"/>
  <c r="Q24" i="12"/>
  <c r="P24" i="12"/>
  <c r="O24" i="12"/>
  <c r="N24" i="12"/>
  <c r="M24" i="12"/>
  <c r="BP23" i="12" s="1"/>
  <c r="L24" i="12"/>
  <c r="K24" i="12"/>
  <c r="J24" i="12"/>
  <c r="I24" i="12"/>
  <c r="H24" i="12"/>
  <c r="G24" i="12"/>
  <c r="F24" i="12"/>
  <c r="E24" i="12"/>
  <c r="D24" i="12"/>
  <c r="BO23" i="12" s="1"/>
  <c r="BK23" i="12"/>
  <c r="BJ23" i="12"/>
  <c r="BI23" i="12"/>
  <c r="BH23" i="12"/>
  <c r="BG23" i="12"/>
  <c r="BF23" i="12"/>
  <c r="BE23" i="12"/>
  <c r="BD23" i="12"/>
  <c r="BC23" i="12"/>
  <c r="BB23" i="12"/>
  <c r="BA23" i="12"/>
  <c r="BT22" i="12" s="1"/>
  <c r="AZ23" i="12"/>
  <c r="AY23" i="12"/>
  <c r="AX23" i="12"/>
  <c r="AW23" i="12"/>
  <c r="AV23" i="12"/>
  <c r="AU23" i="12"/>
  <c r="AT23" i="12"/>
  <c r="AS23" i="12"/>
  <c r="AR23" i="12"/>
  <c r="AQ23" i="12"/>
  <c r="BS22" i="12" s="1"/>
  <c r="AP23" i="12"/>
  <c r="AO23" i="12"/>
  <c r="AN23" i="12"/>
  <c r="AM23" i="12"/>
  <c r="AL23" i="12"/>
  <c r="AK23" i="12"/>
  <c r="AJ23" i="12"/>
  <c r="AI23" i="12"/>
  <c r="AH23" i="12"/>
  <c r="AG23" i="12"/>
  <c r="BR22" i="12" s="1"/>
  <c r="AF23" i="12"/>
  <c r="AE23" i="12"/>
  <c r="AD23" i="12"/>
  <c r="AC23" i="12"/>
  <c r="AB23" i="12"/>
  <c r="AA23" i="12"/>
  <c r="Z23" i="12"/>
  <c r="Y23" i="12"/>
  <c r="X23" i="12"/>
  <c r="W23" i="12"/>
  <c r="BQ22" i="12" s="1"/>
  <c r="V23" i="12"/>
  <c r="U23" i="12"/>
  <c r="T23" i="12"/>
  <c r="S23" i="12"/>
  <c r="R23" i="12"/>
  <c r="Q23" i="12"/>
  <c r="P23" i="12"/>
  <c r="O23" i="12"/>
  <c r="N23" i="12"/>
  <c r="M23" i="12"/>
  <c r="BP22" i="12" s="1"/>
  <c r="L23" i="12"/>
  <c r="K23" i="12"/>
  <c r="J23" i="12"/>
  <c r="I23" i="12"/>
  <c r="H23" i="12"/>
  <c r="G23" i="12"/>
  <c r="F23" i="12"/>
  <c r="E23" i="12"/>
  <c r="D23" i="12"/>
  <c r="BO22" i="12" s="1"/>
  <c r="BK22" i="12"/>
  <c r="BJ22" i="12"/>
  <c r="BI22" i="12"/>
  <c r="BH22" i="12"/>
  <c r="BG22" i="12"/>
  <c r="BF22" i="12"/>
  <c r="BE22" i="12"/>
  <c r="BD22" i="12"/>
  <c r="BC22" i="12"/>
  <c r="BB22" i="12"/>
  <c r="BA22" i="12"/>
  <c r="BT21" i="12" s="1"/>
  <c r="AZ22" i="12"/>
  <c r="AY22" i="12"/>
  <c r="AX22" i="12"/>
  <c r="AW22" i="12"/>
  <c r="AV22" i="12"/>
  <c r="AU22" i="12"/>
  <c r="AT22" i="12"/>
  <c r="AS22" i="12"/>
  <c r="AR22" i="12"/>
  <c r="AQ22" i="12"/>
  <c r="BS21" i="12" s="1"/>
  <c r="AP22" i="12"/>
  <c r="AO22" i="12"/>
  <c r="AN22" i="12"/>
  <c r="AM22" i="12"/>
  <c r="AL22" i="12"/>
  <c r="AK22" i="12"/>
  <c r="AJ22" i="12"/>
  <c r="AI22" i="12"/>
  <c r="AH22" i="12"/>
  <c r="AG22" i="12"/>
  <c r="BR21" i="12" s="1"/>
  <c r="AF22" i="12"/>
  <c r="AE22" i="12"/>
  <c r="AD22" i="12"/>
  <c r="AC22" i="12"/>
  <c r="AB22" i="12"/>
  <c r="AA22" i="12"/>
  <c r="Z22" i="12"/>
  <c r="Y22" i="12"/>
  <c r="X22" i="12"/>
  <c r="W22" i="12"/>
  <c r="BQ21" i="12" s="1"/>
  <c r="V22" i="12"/>
  <c r="U22" i="12"/>
  <c r="T22" i="12"/>
  <c r="S22" i="12"/>
  <c r="R22" i="12"/>
  <c r="Q22" i="12"/>
  <c r="P22" i="12"/>
  <c r="O22" i="12"/>
  <c r="N22" i="12"/>
  <c r="M22" i="12"/>
  <c r="BP21" i="12" s="1"/>
  <c r="L22" i="12"/>
  <c r="K22" i="12"/>
  <c r="J22" i="12"/>
  <c r="I22" i="12"/>
  <c r="H22" i="12"/>
  <c r="G22" i="12"/>
  <c r="F22" i="12"/>
  <c r="E22" i="12"/>
  <c r="D22" i="12"/>
  <c r="BO21" i="12" s="1"/>
  <c r="BK21" i="12"/>
  <c r="BJ21" i="12"/>
  <c r="BI21" i="12"/>
  <c r="BH21" i="12"/>
  <c r="BG21" i="12"/>
  <c r="BF21" i="12"/>
  <c r="BE21" i="12"/>
  <c r="BD21" i="12"/>
  <c r="BC21" i="12"/>
  <c r="BB21" i="12"/>
  <c r="BA21" i="12"/>
  <c r="BT20" i="12" s="1"/>
  <c r="AZ21" i="12"/>
  <c r="AY21" i="12"/>
  <c r="AX21" i="12"/>
  <c r="AW21" i="12"/>
  <c r="AV21" i="12"/>
  <c r="AU21" i="12"/>
  <c r="AT21" i="12"/>
  <c r="AS21" i="12"/>
  <c r="AR21" i="12"/>
  <c r="AQ21" i="12"/>
  <c r="BS20" i="12" s="1"/>
  <c r="AP21" i="12"/>
  <c r="AO21" i="12"/>
  <c r="AN21" i="12"/>
  <c r="AM21" i="12"/>
  <c r="AL21" i="12"/>
  <c r="AK21" i="12"/>
  <c r="AJ21" i="12"/>
  <c r="AI21" i="12"/>
  <c r="AH21" i="12"/>
  <c r="AG21" i="12"/>
  <c r="BR20" i="12" s="1"/>
  <c r="AF21" i="12"/>
  <c r="AE21" i="12"/>
  <c r="AD21" i="12"/>
  <c r="AC21" i="12"/>
  <c r="AB21" i="12"/>
  <c r="AA21" i="12"/>
  <c r="Z21" i="12"/>
  <c r="Y21" i="12"/>
  <c r="X21" i="12"/>
  <c r="W21" i="12"/>
  <c r="BQ20" i="12" s="1"/>
  <c r="V21" i="12"/>
  <c r="U21" i="12"/>
  <c r="T21" i="12"/>
  <c r="S21" i="12"/>
  <c r="R21" i="12"/>
  <c r="Q21" i="12"/>
  <c r="P21" i="12"/>
  <c r="O21" i="12"/>
  <c r="N21" i="12"/>
  <c r="M21" i="12"/>
  <c r="BP20" i="12" s="1"/>
  <c r="L21" i="12"/>
  <c r="K21" i="12"/>
  <c r="J21" i="12"/>
  <c r="I21" i="12"/>
  <c r="H21" i="12"/>
  <c r="G21" i="12"/>
  <c r="F21" i="12"/>
  <c r="E21" i="12"/>
  <c r="D21" i="12"/>
  <c r="BO20" i="12" s="1"/>
  <c r="BK20" i="12"/>
  <c r="BJ20" i="12"/>
  <c r="BI20" i="12"/>
  <c r="BH20" i="12"/>
  <c r="BG20" i="12"/>
  <c r="BF20" i="12"/>
  <c r="BE20" i="12"/>
  <c r="BD20" i="12"/>
  <c r="BC20" i="12"/>
  <c r="BB20" i="12"/>
  <c r="BA20" i="12"/>
  <c r="BT19" i="12" s="1"/>
  <c r="AZ20" i="12"/>
  <c r="AY20" i="12"/>
  <c r="AX20" i="12"/>
  <c r="AW20" i="12"/>
  <c r="AV20" i="12"/>
  <c r="AU20" i="12"/>
  <c r="AT20" i="12"/>
  <c r="AS20" i="12"/>
  <c r="AR20" i="12"/>
  <c r="AQ20" i="12"/>
  <c r="BS19" i="12" s="1"/>
  <c r="AP20" i="12"/>
  <c r="AO20" i="12"/>
  <c r="AN20" i="12"/>
  <c r="AM20" i="12"/>
  <c r="AL20" i="12"/>
  <c r="AK20" i="12"/>
  <c r="AJ20" i="12"/>
  <c r="AI20" i="12"/>
  <c r="AH20" i="12"/>
  <c r="AG20" i="12"/>
  <c r="BR19" i="12" s="1"/>
  <c r="AF20" i="12"/>
  <c r="AE20" i="12"/>
  <c r="AD20" i="12"/>
  <c r="AC20" i="12"/>
  <c r="AB20" i="12"/>
  <c r="AA20" i="12"/>
  <c r="Z20" i="12"/>
  <c r="Y20" i="12"/>
  <c r="X20" i="12"/>
  <c r="W20" i="12"/>
  <c r="BQ19" i="12" s="1"/>
  <c r="V20" i="12"/>
  <c r="U20" i="12"/>
  <c r="T20" i="12"/>
  <c r="S20" i="12"/>
  <c r="R20" i="12"/>
  <c r="Q20" i="12"/>
  <c r="P20" i="12"/>
  <c r="O20" i="12"/>
  <c r="N20" i="12"/>
  <c r="M20" i="12"/>
  <c r="BP19" i="12" s="1"/>
  <c r="L20" i="12"/>
  <c r="K20" i="12"/>
  <c r="J20" i="12"/>
  <c r="I20" i="12"/>
  <c r="H20" i="12"/>
  <c r="G20" i="12"/>
  <c r="F20" i="12"/>
  <c r="E20" i="12"/>
  <c r="D20" i="12"/>
  <c r="BO19" i="12" s="1"/>
  <c r="BK19" i="12"/>
  <c r="BJ19" i="12"/>
  <c r="BI19" i="12"/>
  <c r="BH19" i="12"/>
  <c r="BG19" i="12"/>
  <c r="BF19" i="12"/>
  <c r="BE19" i="12"/>
  <c r="BD19" i="12"/>
  <c r="BC19" i="12"/>
  <c r="BB19" i="12"/>
  <c r="BA19" i="12"/>
  <c r="BT18" i="12" s="1"/>
  <c r="AZ19" i="12"/>
  <c r="AY19" i="12"/>
  <c r="AX19" i="12"/>
  <c r="AW19" i="12"/>
  <c r="AV19" i="12"/>
  <c r="AU19" i="12"/>
  <c r="AT19" i="12"/>
  <c r="AS19" i="12"/>
  <c r="AR19" i="12"/>
  <c r="AQ19" i="12"/>
  <c r="BS18" i="12" s="1"/>
  <c r="AP19" i="12"/>
  <c r="AO19" i="12"/>
  <c r="AN19" i="12"/>
  <c r="AM19" i="12"/>
  <c r="AL19" i="12"/>
  <c r="AK19" i="12"/>
  <c r="AJ19" i="12"/>
  <c r="AI19" i="12"/>
  <c r="AH19" i="12"/>
  <c r="AG19" i="12"/>
  <c r="BR18" i="12" s="1"/>
  <c r="AF19" i="12"/>
  <c r="AE19" i="12"/>
  <c r="AD19" i="12"/>
  <c r="AC19" i="12"/>
  <c r="AB19" i="12"/>
  <c r="AA19" i="12"/>
  <c r="Z19" i="12"/>
  <c r="Y19" i="12"/>
  <c r="X19" i="12"/>
  <c r="W19" i="12"/>
  <c r="BQ18" i="12" s="1"/>
  <c r="V19" i="12"/>
  <c r="U19" i="12"/>
  <c r="T19" i="12"/>
  <c r="S19" i="12"/>
  <c r="R19" i="12"/>
  <c r="Q19" i="12"/>
  <c r="P19" i="12"/>
  <c r="O19" i="12"/>
  <c r="N19" i="12"/>
  <c r="M19" i="12"/>
  <c r="BP18" i="12" s="1"/>
  <c r="L19" i="12"/>
  <c r="K19" i="12"/>
  <c r="J19" i="12"/>
  <c r="I19" i="12"/>
  <c r="H19" i="12"/>
  <c r="G19" i="12"/>
  <c r="F19" i="12"/>
  <c r="E19" i="12"/>
  <c r="D19" i="12"/>
  <c r="BO18" i="12" s="1"/>
  <c r="BK18" i="12"/>
  <c r="BJ18" i="12"/>
  <c r="BI18" i="12"/>
  <c r="BH18" i="12"/>
  <c r="BG18" i="12"/>
  <c r="BF18" i="12"/>
  <c r="BE18" i="12"/>
  <c r="BD18" i="12"/>
  <c r="BC18" i="12"/>
  <c r="BB18" i="12"/>
  <c r="BA18" i="12"/>
  <c r="BT17" i="12" s="1"/>
  <c r="AZ18" i="12"/>
  <c r="AY18" i="12"/>
  <c r="AX18" i="12"/>
  <c r="AW18" i="12"/>
  <c r="AV18" i="12"/>
  <c r="AU18" i="12"/>
  <c r="AT18" i="12"/>
  <c r="AS18" i="12"/>
  <c r="AR18" i="12"/>
  <c r="AQ18" i="12"/>
  <c r="BS17" i="12" s="1"/>
  <c r="AP18" i="12"/>
  <c r="AO18" i="12"/>
  <c r="AN18" i="12"/>
  <c r="AM18" i="12"/>
  <c r="AL18" i="12"/>
  <c r="AK18" i="12"/>
  <c r="AJ18" i="12"/>
  <c r="AI18" i="12"/>
  <c r="AH18" i="12"/>
  <c r="AG18" i="12"/>
  <c r="BR17" i="12" s="1"/>
  <c r="AF18" i="12"/>
  <c r="AE18" i="12"/>
  <c r="AD18" i="12"/>
  <c r="AC18" i="12"/>
  <c r="AB18" i="12"/>
  <c r="AA18" i="12"/>
  <c r="Z18" i="12"/>
  <c r="Y18" i="12"/>
  <c r="X18" i="12"/>
  <c r="W18" i="12"/>
  <c r="BQ17" i="12" s="1"/>
  <c r="V18" i="12"/>
  <c r="U18" i="12"/>
  <c r="T18" i="12"/>
  <c r="S18" i="12"/>
  <c r="R18" i="12"/>
  <c r="Q18" i="12"/>
  <c r="P18" i="12"/>
  <c r="O18" i="12"/>
  <c r="N18" i="12"/>
  <c r="M18" i="12"/>
  <c r="L18" i="12"/>
  <c r="K18" i="12"/>
  <c r="J18" i="12"/>
  <c r="I18" i="12"/>
  <c r="H18" i="12"/>
  <c r="G18" i="12"/>
  <c r="F18" i="12"/>
  <c r="E18" i="12"/>
  <c r="D18" i="12"/>
  <c r="BO17" i="12" s="1"/>
  <c r="BK17" i="12"/>
  <c r="BJ17" i="12"/>
  <c r="BI17" i="12"/>
  <c r="BH17" i="12"/>
  <c r="BG17" i="12"/>
  <c r="BF17" i="12"/>
  <c r="BE17" i="12"/>
  <c r="BD17" i="12"/>
  <c r="BC17" i="12"/>
  <c r="BB17" i="12"/>
  <c r="BA17" i="12"/>
  <c r="BT16" i="12" s="1"/>
  <c r="AZ17" i="12"/>
  <c r="AY17" i="12"/>
  <c r="AX17" i="12"/>
  <c r="AW17" i="12"/>
  <c r="AV17" i="12"/>
  <c r="AU17" i="12"/>
  <c r="AT17" i="12"/>
  <c r="AS17" i="12"/>
  <c r="AR17" i="12"/>
  <c r="AQ17" i="12"/>
  <c r="BS16" i="12" s="1"/>
  <c r="AP17" i="12"/>
  <c r="AO17" i="12"/>
  <c r="AN17" i="12"/>
  <c r="AM17" i="12"/>
  <c r="AL17" i="12"/>
  <c r="AK17" i="12"/>
  <c r="AJ17" i="12"/>
  <c r="AI17" i="12"/>
  <c r="AH17" i="12"/>
  <c r="AG17" i="12"/>
  <c r="BR16" i="12" s="1"/>
  <c r="AF17" i="12"/>
  <c r="AE17" i="12"/>
  <c r="AD17" i="12"/>
  <c r="AC17" i="12"/>
  <c r="AB17" i="12"/>
  <c r="AA17" i="12"/>
  <c r="Z17" i="12"/>
  <c r="Y17" i="12"/>
  <c r="X17" i="12"/>
  <c r="W17" i="12"/>
  <c r="BQ16" i="12" s="1"/>
  <c r="V17" i="12"/>
  <c r="U17" i="12"/>
  <c r="T17" i="12"/>
  <c r="S17" i="12"/>
  <c r="R17" i="12"/>
  <c r="Q17" i="12"/>
  <c r="P17" i="12"/>
  <c r="O17" i="12"/>
  <c r="N17" i="12"/>
  <c r="M17" i="12"/>
  <c r="BP16" i="12" s="1"/>
  <c r="L17" i="12"/>
  <c r="K17" i="12"/>
  <c r="J17" i="12"/>
  <c r="I17" i="12"/>
  <c r="H17" i="12"/>
  <c r="G17" i="12"/>
  <c r="F17" i="12"/>
  <c r="E17" i="12"/>
  <c r="D17" i="12"/>
  <c r="BO16" i="12" s="1"/>
  <c r="BK16" i="12"/>
  <c r="BJ16" i="12"/>
  <c r="BI16" i="12"/>
  <c r="BH16" i="12"/>
  <c r="BG16" i="12"/>
  <c r="BF16" i="12"/>
  <c r="BE16" i="12"/>
  <c r="BD16" i="12"/>
  <c r="BC16" i="12"/>
  <c r="BB16" i="12"/>
  <c r="BA16" i="12"/>
  <c r="BT15" i="12" s="1"/>
  <c r="AZ16" i="12"/>
  <c r="AY16" i="12"/>
  <c r="AX16" i="12"/>
  <c r="AW16" i="12"/>
  <c r="AV16" i="12"/>
  <c r="AU16" i="12"/>
  <c r="AT16" i="12"/>
  <c r="AS16" i="12"/>
  <c r="AR16" i="12"/>
  <c r="AQ16" i="12"/>
  <c r="BS15" i="12" s="1"/>
  <c r="AP16" i="12"/>
  <c r="AO16" i="12"/>
  <c r="AN16" i="12"/>
  <c r="AM16" i="12"/>
  <c r="AL16" i="12"/>
  <c r="AK16" i="12"/>
  <c r="AJ16" i="12"/>
  <c r="AI16" i="12"/>
  <c r="AH16" i="12"/>
  <c r="AG16" i="12"/>
  <c r="BR15" i="12" s="1"/>
  <c r="AF16" i="12"/>
  <c r="AE16" i="12"/>
  <c r="AD16" i="12"/>
  <c r="AC16" i="12"/>
  <c r="AB16" i="12"/>
  <c r="AA16" i="12"/>
  <c r="Z16" i="12"/>
  <c r="Y16" i="12"/>
  <c r="X16" i="12"/>
  <c r="W16" i="12"/>
  <c r="BQ15" i="12" s="1"/>
  <c r="V16" i="12"/>
  <c r="U16" i="12"/>
  <c r="T16" i="12"/>
  <c r="S16" i="12"/>
  <c r="R16" i="12"/>
  <c r="Q16" i="12"/>
  <c r="P16" i="12"/>
  <c r="O16" i="12"/>
  <c r="N16" i="12"/>
  <c r="M16" i="12"/>
  <c r="BP15" i="12" s="1"/>
  <c r="L16" i="12"/>
  <c r="K16" i="12"/>
  <c r="J16" i="12"/>
  <c r="I16" i="12"/>
  <c r="H16" i="12"/>
  <c r="G16" i="12"/>
  <c r="F16" i="12"/>
  <c r="E16" i="12"/>
  <c r="D16" i="12"/>
  <c r="BO15" i="12" s="1"/>
  <c r="BK15" i="12"/>
  <c r="BJ15" i="12"/>
  <c r="BI15" i="12"/>
  <c r="BH15" i="12"/>
  <c r="BG15" i="12"/>
  <c r="BF15" i="12"/>
  <c r="BE15" i="12"/>
  <c r="BD15" i="12"/>
  <c r="BC15" i="12"/>
  <c r="BB15" i="12"/>
  <c r="BA15" i="12"/>
  <c r="BT14" i="12" s="1"/>
  <c r="AZ15" i="12"/>
  <c r="AY15" i="12"/>
  <c r="AX15" i="12"/>
  <c r="AW15" i="12"/>
  <c r="AV15" i="12"/>
  <c r="AU15" i="12"/>
  <c r="AT15" i="12"/>
  <c r="AS15" i="12"/>
  <c r="AR15" i="12"/>
  <c r="AQ15" i="12"/>
  <c r="BS14" i="12" s="1"/>
  <c r="AP15" i="12"/>
  <c r="AO15" i="12"/>
  <c r="AN15" i="12"/>
  <c r="AM15" i="12"/>
  <c r="AL15" i="12"/>
  <c r="AK15" i="12"/>
  <c r="AJ15" i="12"/>
  <c r="AI15" i="12"/>
  <c r="AH15" i="12"/>
  <c r="AG15" i="12"/>
  <c r="BR14" i="12" s="1"/>
  <c r="AF15" i="12"/>
  <c r="AE15" i="12"/>
  <c r="AD15" i="12"/>
  <c r="AC15" i="12"/>
  <c r="AB15" i="12"/>
  <c r="AA15" i="12"/>
  <c r="Z15" i="12"/>
  <c r="Y15" i="12"/>
  <c r="X15" i="12"/>
  <c r="W15" i="12"/>
  <c r="BQ14" i="12" s="1"/>
  <c r="V15" i="12"/>
  <c r="U15" i="12"/>
  <c r="T15" i="12"/>
  <c r="S15" i="12"/>
  <c r="R15" i="12"/>
  <c r="Q15" i="12"/>
  <c r="P15" i="12"/>
  <c r="O15" i="12"/>
  <c r="N15" i="12"/>
  <c r="M15" i="12"/>
  <c r="BP14" i="12" s="1"/>
  <c r="L15" i="12"/>
  <c r="K15" i="12"/>
  <c r="J15" i="12"/>
  <c r="I15" i="12"/>
  <c r="H15" i="12"/>
  <c r="G15" i="12"/>
  <c r="F15" i="12"/>
  <c r="E15" i="12"/>
  <c r="D15" i="12"/>
  <c r="BO14" i="12" s="1"/>
  <c r="BK14" i="12"/>
  <c r="BJ14" i="12"/>
  <c r="BI14" i="12"/>
  <c r="BH14" i="12"/>
  <c r="BG14" i="12"/>
  <c r="BF14" i="12"/>
  <c r="BE14" i="12"/>
  <c r="BD14" i="12"/>
  <c r="BC14" i="12"/>
  <c r="BB14" i="12"/>
  <c r="BA14" i="12"/>
  <c r="BT13" i="12" s="1"/>
  <c r="AZ14" i="12"/>
  <c r="AY14" i="12"/>
  <c r="AX14" i="12"/>
  <c r="AW14" i="12"/>
  <c r="AV14" i="12"/>
  <c r="AU14" i="12"/>
  <c r="AT14" i="12"/>
  <c r="AS14" i="12"/>
  <c r="AR14" i="12"/>
  <c r="AQ14" i="12"/>
  <c r="BS13" i="12" s="1"/>
  <c r="AP14" i="12"/>
  <c r="AO14" i="12"/>
  <c r="AN14" i="12"/>
  <c r="AM14" i="12"/>
  <c r="AL14" i="12"/>
  <c r="AK14" i="12"/>
  <c r="AJ14" i="12"/>
  <c r="AI14" i="12"/>
  <c r="AH14" i="12"/>
  <c r="AG14" i="12"/>
  <c r="BR13" i="12" s="1"/>
  <c r="AF14" i="12"/>
  <c r="AE14" i="12"/>
  <c r="AD14" i="12"/>
  <c r="AC14" i="12"/>
  <c r="AB14" i="12"/>
  <c r="AA14" i="12"/>
  <c r="Z14" i="12"/>
  <c r="Y14" i="12"/>
  <c r="X14" i="12"/>
  <c r="W14" i="12"/>
  <c r="BQ13" i="12" s="1"/>
  <c r="V14" i="12"/>
  <c r="U14" i="12"/>
  <c r="T14" i="12"/>
  <c r="S14" i="12"/>
  <c r="R14" i="12"/>
  <c r="Q14" i="12"/>
  <c r="P14" i="12"/>
  <c r="O14" i="12"/>
  <c r="N14" i="12"/>
  <c r="M14" i="12"/>
  <c r="L14" i="12"/>
  <c r="K14" i="12"/>
  <c r="J14" i="12"/>
  <c r="I14" i="12"/>
  <c r="H14" i="12"/>
  <c r="G14" i="12"/>
  <c r="F14" i="12"/>
  <c r="E14" i="12"/>
  <c r="D14" i="12"/>
  <c r="BO13" i="12" s="1"/>
  <c r="BK12" i="12"/>
  <c r="BJ12" i="12"/>
  <c r="BI12" i="12"/>
  <c r="BH12" i="12"/>
  <c r="BG12" i="12"/>
  <c r="BF12" i="12"/>
  <c r="BE12" i="12"/>
  <c r="BD12" i="12"/>
  <c r="BC12" i="12"/>
  <c r="BB12" i="12"/>
  <c r="BA12" i="12"/>
  <c r="BT12" i="12" s="1"/>
  <c r="AZ12" i="12"/>
  <c r="AY12" i="12"/>
  <c r="AX12" i="12"/>
  <c r="AW12" i="12"/>
  <c r="AV12" i="12"/>
  <c r="AU12" i="12"/>
  <c r="AT12" i="12"/>
  <c r="AS12" i="12"/>
  <c r="AR12" i="12"/>
  <c r="AQ12" i="12"/>
  <c r="BS12" i="12" s="1"/>
  <c r="AP12" i="12"/>
  <c r="AO12" i="12"/>
  <c r="AN12" i="12"/>
  <c r="AM12" i="12"/>
  <c r="AL12" i="12"/>
  <c r="AK12" i="12"/>
  <c r="AJ12" i="12"/>
  <c r="AI12" i="12"/>
  <c r="AH12" i="12"/>
  <c r="AG12" i="12"/>
  <c r="BR12" i="12" s="1"/>
  <c r="AF12" i="12"/>
  <c r="AE12" i="12"/>
  <c r="AD12" i="12"/>
  <c r="AC12" i="12"/>
  <c r="AB12" i="12"/>
  <c r="AA12" i="12"/>
  <c r="Z12" i="12"/>
  <c r="Y12" i="12"/>
  <c r="X12" i="12"/>
  <c r="W12" i="12"/>
  <c r="BQ12" i="12" s="1"/>
  <c r="V12" i="12"/>
  <c r="U12" i="12"/>
  <c r="T12" i="12"/>
  <c r="S12" i="12"/>
  <c r="R12" i="12"/>
  <c r="Q12" i="12"/>
  <c r="P12" i="12"/>
  <c r="O12" i="12"/>
  <c r="N12" i="12"/>
  <c r="M12" i="12"/>
  <c r="BP12" i="12" s="1"/>
  <c r="L12" i="12"/>
  <c r="K12" i="12"/>
  <c r="J12" i="12"/>
  <c r="I12" i="12"/>
  <c r="H12" i="12"/>
  <c r="G12" i="12"/>
  <c r="F12" i="12"/>
  <c r="E12" i="12"/>
  <c r="D12" i="12"/>
  <c r="BO12" i="12" s="1"/>
  <c r="BK11" i="12"/>
  <c r="BJ11" i="12"/>
  <c r="BI11" i="12"/>
  <c r="BH11" i="12"/>
  <c r="BG11" i="12"/>
  <c r="BF11" i="12"/>
  <c r="BE11" i="12"/>
  <c r="BD11" i="12"/>
  <c r="BC11" i="12"/>
  <c r="BB11" i="12"/>
  <c r="BA11" i="12"/>
  <c r="BT11" i="12" s="1"/>
  <c r="AZ11" i="12"/>
  <c r="AY11" i="12"/>
  <c r="AX11" i="12"/>
  <c r="AW11" i="12"/>
  <c r="AV11" i="12"/>
  <c r="AU11" i="12"/>
  <c r="AT11" i="12"/>
  <c r="AS11" i="12"/>
  <c r="AR11" i="12"/>
  <c r="AQ11" i="12"/>
  <c r="BS11" i="12" s="1"/>
  <c r="AP11" i="12"/>
  <c r="AO11" i="12"/>
  <c r="AN11" i="12"/>
  <c r="AM11" i="12"/>
  <c r="AL11" i="12"/>
  <c r="AK11" i="12"/>
  <c r="AJ11" i="12"/>
  <c r="AI11" i="12"/>
  <c r="AH11" i="12"/>
  <c r="AG11" i="12"/>
  <c r="BR11" i="12" s="1"/>
  <c r="AF11" i="12"/>
  <c r="AE11" i="12"/>
  <c r="AD11" i="12"/>
  <c r="AC11" i="12"/>
  <c r="AB11" i="12"/>
  <c r="AA11" i="12"/>
  <c r="Z11" i="12"/>
  <c r="Y11" i="12"/>
  <c r="X11" i="12"/>
  <c r="W11" i="12"/>
  <c r="BQ11" i="12" s="1"/>
  <c r="V11" i="12"/>
  <c r="U11" i="12"/>
  <c r="T11" i="12"/>
  <c r="S11" i="12"/>
  <c r="R11" i="12"/>
  <c r="Q11" i="12"/>
  <c r="P11" i="12"/>
  <c r="O11" i="12"/>
  <c r="N11" i="12"/>
  <c r="M11" i="12"/>
  <c r="BP11" i="12" s="1"/>
  <c r="L11" i="12"/>
  <c r="K11" i="12"/>
  <c r="J11" i="12"/>
  <c r="I11" i="12"/>
  <c r="H11" i="12"/>
  <c r="G11" i="12"/>
  <c r="F11" i="12"/>
  <c r="E11" i="12"/>
  <c r="D11" i="12"/>
  <c r="BO11" i="12" s="1"/>
  <c r="BK10" i="12"/>
  <c r="BJ10" i="12"/>
  <c r="BI10" i="12"/>
  <c r="BH10" i="12"/>
  <c r="BG10" i="12"/>
  <c r="BF10" i="12"/>
  <c r="BE10" i="12"/>
  <c r="BD10" i="12"/>
  <c r="BC10" i="12"/>
  <c r="BB10" i="12"/>
  <c r="BA10" i="12"/>
  <c r="BT10" i="12" s="1"/>
  <c r="AZ10" i="12"/>
  <c r="AY10" i="12"/>
  <c r="AX10" i="12"/>
  <c r="AW10" i="12"/>
  <c r="AV10" i="12"/>
  <c r="AU10" i="12"/>
  <c r="AT10" i="12"/>
  <c r="AS10" i="12"/>
  <c r="AR10" i="12"/>
  <c r="AQ10" i="12"/>
  <c r="BS10" i="12" s="1"/>
  <c r="AP10" i="12"/>
  <c r="AO10" i="12"/>
  <c r="AN10" i="12"/>
  <c r="AM10" i="12"/>
  <c r="AL10" i="12"/>
  <c r="AK10" i="12"/>
  <c r="AJ10" i="12"/>
  <c r="AI10" i="12"/>
  <c r="AH10" i="12"/>
  <c r="AG10" i="12"/>
  <c r="BR10" i="12" s="1"/>
  <c r="AF10" i="12"/>
  <c r="AE10" i="12"/>
  <c r="AD10" i="12"/>
  <c r="AC10" i="12"/>
  <c r="AB10" i="12"/>
  <c r="AA10" i="12"/>
  <c r="Z10" i="12"/>
  <c r="Y10" i="12"/>
  <c r="X10" i="12"/>
  <c r="W10" i="12"/>
  <c r="BQ10" i="12" s="1"/>
  <c r="V10" i="12"/>
  <c r="U10" i="12"/>
  <c r="T10" i="12"/>
  <c r="S10" i="12"/>
  <c r="R10" i="12"/>
  <c r="Q10" i="12"/>
  <c r="P10" i="12"/>
  <c r="O10" i="12"/>
  <c r="N10" i="12"/>
  <c r="M10" i="12"/>
  <c r="BP10" i="12" s="1"/>
  <c r="L10" i="12"/>
  <c r="K10" i="12"/>
  <c r="J10" i="12"/>
  <c r="I10" i="12"/>
  <c r="H10" i="12"/>
  <c r="G10" i="12"/>
  <c r="F10" i="12"/>
  <c r="E10" i="12"/>
  <c r="D10" i="12"/>
  <c r="BO10" i="12" s="1"/>
  <c r="BK9" i="12"/>
  <c r="BJ9" i="12"/>
  <c r="BI9" i="12"/>
  <c r="BH9" i="12"/>
  <c r="BG9" i="12"/>
  <c r="BF9" i="12"/>
  <c r="BE9" i="12"/>
  <c r="BD9" i="12"/>
  <c r="BC9" i="12"/>
  <c r="BB9" i="12"/>
  <c r="BA9" i="12"/>
  <c r="BT9" i="12" s="1"/>
  <c r="AZ9" i="12"/>
  <c r="AY9" i="12"/>
  <c r="AX9" i="12"/>
  <c r="AW9" i="12"/>
  <c r="AV9" i="12"/>
  <c r="AU9" i="12"/>
  <c r="AT9" i="12"/>
  <c r="AS9" i="12"/>
  <c r="AR9" i="12"/>
  <c r="AQ9" i="12"/>
  <c r="BS9" i="12" s="1"/>
  <c r="AP9" i="12"/>
  <c r="AO9" i="12"/>
  <c r="AN9" i="12"/>
  <c r="AM9" i="12"/>
  <c r="AL9" i="12"/>
  <c r="AK9" i="12"/>
  <c r="AJ9" i="12"/>
  <c r="AI9" i="12"/>
  <c r="AH9" i="12"/>
  <c r="AG9" i="12"/>
  <c r="BR9" i="12" s="1"/>
  <c r="AF9" i="12"/>
  <c r="AE9" i="12"/>
  <c r="AD9" i="12"/>
  <c r="AC9" i="12"/>
  <c r="AB9" i="12"/>
  <c r="AA9" i="12"/>
  <c r="Z9" i="12"/>
  <c r="Y9" i="12"/>
  <c r="X9" i="12"/>
  <c r="W9" i="12"/>
  <c r="BQ9" i="12" s="1"/>
  <c r="V9" i="12"/>
  <c r="U9" i="12"/>
  <c r="T9" i="12"/>
  <c r="S9" i="12"/>
  <c r="R9" i="12"/>
  <c r="Q9" i="12"/>
  <c r="P9" i="12"/>
  <c r="O9" i="12"/>
  <c r="N9" i="12"/>
  <c r="M9" i="12"/>
  <c r="BP9" i="12" s="1"/>
  <c r="L9" i="12"/>
  <c r="K9" i="12"/>
  <c r="J9" i="12"/>
  <c r="I9" i="12"/>
  <c r="H9" i="12"/>
  <c r="G9" i="12"/>
  <c r="F9" i="12"/>
  <c r="E9" i="12"/>
  <c r="D9" i="12"/>
  <c r="BO9" i="12" s="1"/>
  <c r="BK8" i="12"/>
  <c r="BJ8" i="12"/>
  <c r="BI8" i="12"/>
  <c r="BH8" i="12"/>
  <c r="BG8" i="12"/>
  <c r="BF8" i="12"/>
  <c r="BE8" i="12"/>
  <c r="BD8" i="12"/>
  <c r="BC8" i="12"/>
  <c r="BB8" i="12"/>
  <c r="BA8" i="12"/>
  <c r="BT8" i="12" s="1"/>
  <c r="AZ8" i="12"/>
  <c r="AY8" i="12"/>
  <c r="AX8" i="12"/>
  <c r="AW8" i="12"/>
  <c r="AV8" i="12"/>
  <c r="AU8" i="12"/>
  <c r="AT8" i="12"/>
  <c r="AS8" i="12"/>
  <c r="AR8" i="12"/>
  <c r="AQ8" i="12"/>
  <c r="BS8" i="12" s="1"/>
  <c r="AP8" i="12"/>
  <c r="AO8" i="12"/>
  <c r="AN8" i="12"/>
  <c r="AM8" i="12"/>
  <c r="AL8" i="12"/>
  <c r="AK8" i="12"/>
  <c r="AJ8" i="12"/>
  <c r="AI8" i="12"/>
  <c r="AH8" i="12"/>
  <c r="AG8" i="12"/>
  <c r="BR8" i="12" s="1"/>
  <c r="AF8" i="12"/>
  <c r="AE8" i="12"/>
  <c r="AD8" i="12"/>
  <c r="AC8" i="12"/>
  <c r="AB8" i="12"/>
  <c r="AA8" i="12"/>
  <c r="Z8" i="12"/>
  <c r="Y8" i="12"/>
  <c r="X8" i="12"/>
  <c r="W8" i="12"/>
  <c r="BQ8" i="12" s="1"/>
  <c r="V8" i="12"/>
  <c r="U8" i="12"/>
  <c r="T8" i="12"/>
  <c r="S8" i="12"/>
  <c r="R8" i="12"/>
  <c r="Q8" i="12"/>
  <c r="P8" i="12"/>
  <c r="O8" i="12"/>
  <c r="N8" i="12"/>
  <c r="M8" i="12"/>
  <c r="BP8" i="12" s="1"/>
  <c r="L8" i="12"/>
  <c r="K8" i="12"/>
  <c r="J8" i="12"/>
  <c r="I8" i="12"/>
  <c r="H8" i="12"/>
  <c r="G8" i="12"/>
  <c r="F8" i="12"/>
  <c r="E8" i="12"/>
  <c r="D8" i="12"/>
  <c r="BO8" i="12" s="1"/>
  <c r="BK7" i="12"/>
  <c r="BJ7" i="12"/>
  <c r="BI7" i="12"/>
  <c r="BH7" i="12"/>
  <c r="BG7" i="12"/>
  <c r="BF7" i="12"/>
  <c r="BE7" i="12"/>
  <c r="BD7" i="12"/>
  <c r="BC7" i="12"/>
  <c r="BB7" i="12"/>
  <c r="BA7" i="12"/>
  <c r="BT7" i="12" s="1"/>
  <c r="AZ7" i="12"/>
  <c r="AY7" i="12"/>
  <c r="AX7" i="12"/>
  <c r="AW7" i="12"/>
  <c r="AV7" i="12"/>
  <c r="AU7" i="12"/>
  <c r="AT7" i="12"/>
  <c r="AS7" i="12"/>
  <c r="AR7" i="12"/>
  <c r="AQ7" i="12"/>
  <c r="BS7" i="12" s="1"/>
  <c r="AP7" i="12"/>
  <c r="AO7" i="12"/>
  <c r="AN7" i="12"/>
  <c r="AM7" i="12"/>
  <c r="AL7" i="12"/>
  <c r="AK7" i="12"/>
  <c r="AJ7" i="12"/>
  <c r="AI7" i="12"/>
  <c r="AH7" i="12"/>
  <c r="AG7" i="12"/>
  <c r="BR7" i="12" s="1"/>
  <c r="AF7" i="12"/>
  <c r="AE7" i="12"/>
  <c r="AD7" i="12"/>
  <c r="AC7" i="12"/>
  <c r="AB7" i="12"/>
  <c r="AA7" i="12"/>
  <c r="Z7" i="12"/>
  <c r="Y7" i="12"/>
  <c r="X7" i="12"/>
  <c r="W7" i="12"/>
  <c r="BQ7" i="12" s="1"/>
  <c r="V7" i="12"/>
  <c r="U7" i="12"/>
  <c r="T7" i="12"/>
  <c r="S7" i="12"/>
  <c r="R7" i="12"/>
  <c r="Q7" i="12"/>
  <c r="P7" i="12"/>
  <c r="O7" i="12"/>
  <c r="N7" i="12"/>
  <c r="M7" i="12"/>
  <c r="BP7" i="12" s="1"/>
  <c r="L7" i="12"/>
  <c r="K7" i="12"/>
  <c r="J7" i="12"/>
  <c r="I7" i="12"/>
  <c r="H7" i="12"/>
  <c r="G7" i="12"/>
  <c r="F7" i="12"/>
  <c r="E7" i="12"/>
  <c r="D7" i="12"/>
  <c r="BO7" i="12" s="1"/>
  <c r="BK6" i="12"/>
  <c r="BJ6" i="12"/>
  <c r="BI6" i="12"/>
  <c r="BH6" i="12"/>
  <c r="BG6" i="12"/>
  <c r="BF6" i="12"/>
  <c r="BE6" i="12"/>
  <c r="BD6" i="12"/>
  <c r="BC6" i="12"/>
  <c r="BB6" i="12"/>
  <c r="BA6" i="12"/>
  <c r="BT6" i="12" s="1"/>
  <c r="AZ6" i="12"/>
  <c r="AY6" i="12"/>
  <c r="AX6" i="12"/>
  <c r="AW6" i="12"/>
  <c r="AV6" i="12"/>
  <c r="AU6" i="12"/>
  <c r="AT6" i="12"/>
  <c r="AS6" i="12"/>
  <c r="AR6" i="12"/>
  <c r="AQ6" i="12"/>
  <c r="BS6" i="12" s="1"/>
  <c r="AP6" i="12"/>
  <c r="AO6" i="12"/>
  <c r="AN6" i="12"/>
  <c r="AM6" i="12"/>
  <c r="AL6" i="12"/>
  <c r="AK6" i="12"/>
  <c r="AJ6" i="12"/>
  <c r="AI6" i="12"/>
  <c r="AH6" i="12"/>
  <c r="AG6" i="12"/>
  <c r="BR6" i="12" s="1"/>
  <c r="AF6" i="12"/>
  <c r="AE6" i="12"/>
  <c r="AD6" i="12"/>
  <c r="AC6" i="12"/>
  <c r="AB6" i="12"/>
  <c r="AA6" i="12"/>
  <c r="Z6" i="12"/>
  <c r="Y6" i="12"/>
  <c r="X6" i="12"/>
  <c r="W6" i="12"/>
  <c r="BQ6" i="12" s="1"/>
  <c r="V6" i="12"/>
  <c r="U6" i="12"/>
  <c r="T6" i="12"/>
  <c r="S6" i="12"/>
  <c r="R6" i="12"/>
  <c r="Q6" i="12"/>
  <c r="P6" i="12"/>
  <c r="O6" i="12"/>
  <c r="N6" i="12"/>
  <c r="M6" i="12"/>
  <c r="L6" i="12"/>
  <c r="K6" i="12"/>
  <c r="J6" i="12"/>
  <c r="I6" i="12"/>
  <c r="H6" i="12"/>
  <c r="G6" i="12"/>
  <c r="F6" i="12"/>
  <c r="E6" i="12"/>
  <c r="D6" i="12"/>
  <c r="BO6" i="12" s="1"/>
  <c r="BK5" i="12"/>
  <c r="BJ5" i="12"/>
  <c r="BI5" i="12"/>
  <c r="BH5" i="12"/>
  <c r="BG5" i="12"/>
  <c r="BF5" i="12"/>
  <c r="BE5" i="12"/>
  <c r="BD5" i="12"/>
  <c r="BC5" i="12"/>
  <c r="BB5" i="12"/>
  <c r="BA5" i="12"/>
  <c r="BT5" i="12" s="1"/>
  <c r="AZ5" i="12"/>
  <c r="AY5" i="12"/>
  <c r="AX5" i="12"/>
  <c r="AW5" i="12"/>
  <c r="AV5" i="12"/>
  <c r="AU5" i="12"/>
  <c r="AT5" i="12"/>
  <c r="AS5" i="12"/>
  <c r="AR5" i="12"/>
  <c r="AQ5" i="12"/>
  <c r="BS5" i="12" s="1"/>
  <c r="AP5" i="12"/>
  <c r="AO5" i="12"/>
  <c r="AN5" i="12"/>
  <c r="AM5" i="12"/>
  <c r="AL5" i="12"/>
  <c r="AK5" i="12"/>
  <c r="AJ5" i="12"/>
  <c r="AI5" i="12"/>
  <c r="AH5" i="12"/>
  <c r="AG5" i="12"/>
  <c r="BR5" i="12" s="1"/>
  <c r="AF5" i="12"/>
  <c r="AE5" i="12"/>
  <c r="AD5" i="12"/>
  <c r="AC5" i="12"/>
  <c r="AB5" i="12"/>
  <c r="AA5" i="12"/>
  <c r="Z5" i="12"/>
  <c r="Y5" i="12"/>
  <c r="X5" i="12"/>
  <c r="W5" i="12"/>
  <c r="BQ5" i="12" s="1"/>
  <c r="V5" i="12"/>
  <c r="U5" i="12"/>
  <c r="T5" i="12"/>
  <c r="S5" i="12"/>
  <c r="R5" i="12"/>
  <c r="Q5" i="12"/>
  <c r="P5" i="12"/>
  <c r="O5" i="12"/>
  <c r="N5" i="12"/>
  <c r="M5" i="12"/>
  <c r="BP5" i="12" s="1"/>
  <c r="L5" i="12"/>
  <c r="K5" i="12"/>
  <c r="J5" i="12"/>
  <c r="I5" i="12"/>
  <c r="H5" i="12"/>
  <c r="G5" i="12"/>
  <c r="F5" i="12"/>
  <c r="E5" i="12"/>
  <c r="D5" i="12"/>
  <c r="BO5" i="12" s="1"/>
  <c r="BK4" i="12"/>
  <c r="BJ4" i="12"/>
  <c r="BI4" i="12"/>
  <c r="BH4" i="12"/>
  <c r="BG4" i="12"/>
  <c r="BF4" i="12"/>
  <c r="BE4" i="12"/>
  <c r="BD4" i="12"/>
  <c r="BC4" i="12"/>
  <c r="BB4" i="12"/>
  <c r="BA4" i="12"/>
  <c r="BT4" i="12" s="1"/>
  <c r="AZ4" i="12"/>
  <c r="AY4" i="12"/>
  <c r="AX4" i="12"/>
  <c r="AW4" i="12"/>
  <c r="AV4" i="12"/>
  <c r="AU4" i="12"/>
  <c r="AT4" i="12"/>
  <c r="AS4" i="12"/>
  <c r="AR4" i="12"/>
  <c r="AQ4" i="12"/>
  <c r="BS4" i="12" s="1"/>
  <c r="AP4" i="12"/>
  <c r="AO4" i="12"/>
  <c r="AN4" i="12"/>
  <c r="AM4" i="12"/>
  <c r="AL4" i="12"/>
  <c r="AK4" i="12"/>
  <c r="AJ4" i="12"/>
  <c r="AI4" i="12"/>
  <c r="AH4" i="12"/>
  <c r="AG4" i="12"/>
  <c r="BR4" i="12" s="1"/>
  <c r="AF4" i="12"/>
  <c r="AE4" i="12"/>
  <c r="AD4" i="12"/>
  <c r="AC4" i="12"/>
  <c r="AB4" i="12"/>
  <c r="AA4" i="12"/>
  <c r="Z4" i="12"/>
  <c r="Y4" i="12"/>
  <c r="X4" i="12"/>
  <c r="W4" i="12"/>
  <c r="BQ4" i="12" s="1"/>
  <c r="V4" i="12"/>
  <c r="U4" i="12"/>
  <c r="T4" i="12"/>
  <c r="S4" i="12"/>
  <c r="R4" i="12"/>
  <c r="Q4" i="12"/>
  <c r="P4" i="12"/>
  <c r="O4" i="12"/>
  <c r="N4" i="12"/>
  <c r="M4" i="12"/>
  <c r="BP4" i="12" s="1"/>
  <c r="L4" i="12"/>
  <c r="K4" i="12"/>
  <c r="J4" i="12"/>
  <c r="I4" i="12"/>
  <c r="H4" i="12"/>
  <c r="G4" i="12"/>
  <c r="F4" i="12"/>
  <c r="E4" i="12"/>
  <c r="D4" i="12"/>
  <c r="BO4" i="12" s="1"/>
  <c r="BK3" i="12"/>
  <c r="BJ3" i="12"/>
  <c r="BI3" i="12"/>
  <c r="BH3" i="12"/>
  <c r="BG3" i="12"/>
  <c r="BF3" i="12"/>
  <c r="BE3" i="12"/>
  <c r="BD3" i="12"/>
  <c r="BC3" i="12"/>
  <c r="BB3" i="12"/>
  <c r="BA3" i="12"/>
  <c r="BT3" i="12" s="1"/>
  <c r="AZ3" i="12"/>
  <c r="AY3" i="12"/>
  <c r="AX3" i="12"/>
  <c r="AW3" i="12"/>
  <c r="AV3" i="12"/>
  <c r="AU3" i="12"/>
  <c r="AT3" i="12"/>
  <c r="AS3" i="12"/>
  <c r="AR3" i="12"/>
  <c r="AQ3" i="12"/>
  <c r="BS3" i="12" s="1"/>
  <c r="AP3" i="12"/>
  <c r="AO3" i="12"/>
  <c r="AN3" i="12"/>
  <c r="AM3" i="12"/>
  <c r="AL3" i="12"/>
  <c r="AK3" i="12"/>
  <c r="AJ3" i="12"/>
  <c r="AI3" i="12"/>
  <c r="AH3" i="12"/>
  <c r="AG3" i="12"/>
  <c r="BR3" i="12" s="1"/>
  <c r="AF3" i="12"/>
  <c r="AE3" i="12"/>
  <c r="AD3" i="12"/>
  <c r="AC3" i="12"/>
  <c r="AB3" i="12"/>
  <c r="AA3" i="12"/>
  <c r="Z3" i="12"/>
  <c r="Y3" i="12"/>
  <c r="X3" i="12"/>
  <c r="W3" i="12"/>
  <c r="BQ3" i="12" s="1"/>
  <c r="V3" i="12"/>
  <c r="U3" i="12"/>
  <c r="T3" i="12"/>
  <c r="S3" i="12"/>
  <c r="R3" i="12"/>
  <c r="Q3" i="12"/>
  <c r="P3" i="12"/>
  <c r="O3" i="12"/>
  <c r="N3" i="12"/>
  <c r="M3" i="12"/>
  <c r="BP3" i="12" s="1"/>
  <c r="L3" i="12"/>
  <c r="K3" i="12"/>
  <c r="J3" i="12"/>
  <c r="I3" i="12"/>
  <c r="H3" i="12"/>
  <c r="G3" i="12"/>
  <c r="F3" i="12"/>
  <c r="E3" i="12"/>
  <c r="D3" i="12"/>
  <c r="BO3" i="12" s="1"/>
  <c r="BK2" i="12"/>
  <c r="BJ2" i="12"/>
  <c r="BI2" i="12"/>
  <c r="BH2" i="12"/>
  <c r="BG2" i="12"/>
  <c r="BF2" i="12"/>
  <c r="BE2" i="12"/>
  <c r="BD2" i="12"/>
  <c r="BC2" i="12"/>
  <c r="BB2" i="12"/>
  <c r="BA2" i="12"/>
  <c r="BT2" i="12" s="1"/>
  <c r="AZ2" i="12"/>
  <c r="AY2" i="12"/>
  <c r="AX2" i="12"/>
  <c r="AW2" i="12"/>
  <c r="AV2" i="12"/>
  <c r="AU2" i="12"/>
  <c r="AT2" i="12"/>
  <c r="AS2" i="12"/>
  <c r="AR2" i="12"/>
  <c r="AQ2" i="12"/>
  <c r="BS2" i="12" s="1"/>
  <c r="AP2" i="12"/>
  <c r="AO2" i="12"/>
  <c r="AN2" i="12"/>
  <c r="AM2" i="12"/>
  <c r="AL2" i="12"/>
  <c r="AK2" i="12"/>
  <c r="AJ2" i="12"/>
  <c r="AI2" i="12"/>
  <c r="AH2" i="12"/>
  <c r="AG2" i="12"/>
  <c r="BR2" i="12" s="1"/>
  <c r="AF2" i="12"/>
  <c r="AE2" i="12"/>
  <c r="AD2" i="12"/>
  <c r="AC2" i="12"/>
  <c r="AB2" i="12"/>
  <c r="AA2" i="12"/>
  <c r="Z2" i="12"/>
  <c r="Y2" i="12"/>
  <c r="X2" i="12"/>
  <c r="W2" i="12"/>
  <c r="BQ2" i="12" s="1"/>
  <c r="V2" i="12"/>
  <c r="U2" i="12"/>
  <c r="T2" i="12"/>
  <c r="S2" i="12"/>
  <c r="R2" i="12"/>
  <c r="Q2" i="12"/>
  <c r="P2" i="12"/>
  <c r="O2" i="12"/>
  <c r="N2" i="12"/>
  <c r="M2" i="12"/>
  <c r="BV2" i="12" s="1"/>
  <c r="L2" i="12"/>
  <c r="K2" i="12"/>
  <c r="J2" i="12"/>
  <c r="I2" i="12"/>
  <c r="H2" i="12"/>
  <c r="G2" i="12"/>
  <c r="F2" i="12"/>
  <c r="E2" i="12"/>
  <c r="D2" i="12"/>
  <c r="BO2" i="12" s="1"/>
  <c r="CM20" i="11"/>
  <c r="CL20" i="11"/>
  <c r="CK20" i="11"/>
  <c r="CJ20" i="11"/>
  <c r="CI20" i="11"/>
  <c r="CH20" i="11"/>
  <c r="CG20" i="11"/>
  <c r="CF20" i="11"/>
  <c r="CE20" i="11"/>
  <c r="CD20" i="11"/>
  <c r="CC20" i="11"/>
  <c r="CB20" i="11"/>
  <c r="CA20" i="11"/>
  <c r="BZ20" i="11"/>
  <c r="BY20" i="11"/>
  <c r="BX20" i="11"/>
  <c r="BW20" i="11"/>
  <c r="BV20" i="11"/>
  <c r="BU20" i="11"/>
  <c r="BT20" i="11"/>
  <c r="BS20" i="11"/>
  <c r="BR20" i="11"/>
  <c r="BQ20" i="11"/>
  <c r="BP20" i="11"/>
  <c r="BO20" i="11"/>
  <c r="BN20" i="11"/>
  <c r="BM20" i="11"/>
  <c r="BL20" i="11"/>
  <c r="BK20" i="11"/>
  <c r="BJ20" i="11"/>
  <c r="BI20" i="11"/>
  <c r="BH20" i="11"/>
  <c r="BG20" i="11"/>
  <c r="BF20" i="11"/>
  <c r="BE20" i="11"/>
  <c r="BD20" i="11"/>
  <c r="BC20" i="11"/>
  <c r="BB20" i="11"/>
  <c r="BA20" i="11"/>
  <c r="AZ20" i="11"/>
  <c r="AY20" i="11"/>
  <c r="AX20"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H20" i="11"/>
  <c r="G20" i="11"/>
  <c r="F20" i="11"/>
  <c r="E20" i="11"/>
  <c r="D20" i="11"/>
  <c r="C20" i="11"/>
  <c r="B20" i="11"/>
  <c r="CM19" i="11"/>
  <c r="CL19" i="11"/>
  <c r="CK19" i="11"/>
  <c r="CJ19" i="11"/>
  <c r="CI19" i="11"/>
  <c r="CH19" i="11"/>
  <c r="CG19" i="11"/>
  <c r="CF19" i="11"/>
  <c r="CE19" i="11"/>
  <c r="CD19" i="11"/>
  <c r="CC19" i="11"/>
  <c r="CB19" i="11"/>
  <c r="CA19" i="11"/>
  <c r="BZ19" i="11"/>
  <c r="BY19" i="11"/>
  <c r="BX19" i="11"/>
  <c r="BW19" i="11"/>
  <c r="BV19" i="11"/>
  <c r="BU19" i="11"/>
  <c r="BT19" i="11"/>
  <c r="BS19" i="11"/>
  <c r="BR19" i="11"/>
  <c r="BQ19" i="11"/>
  <c r="BP19" i="11"/>
  <c r="BO19" i="11"/>
  <c r="BN19" i="11"/>
  <c r="BM19" i="11"/>
  <c r="BL19" i="11"/>
  <c r="BK19" i="11"/>
  <c r="BJ19" i="11"/>
  <c r="BI19" i="11"/>
  <c r="BH19" i="11"/>
  <c r="BG19" i="11"/>
  <c r="BF19" i="11"/>
  <c r="BE19" i="11"/>
  <c r="BD19" i="11"/>
  <c r="BC19" i="11"/>
  <c r="BB19" i="11"/>
  <c r="BA19" i="11"/>
  <c r="AZ19" i="11"/>
  <c r="AY19" i="11"/>
  <c r="AX19" i="11"/>
  <c r="AW19" i="11"/>
  <c r="AV19" i="11"/>
  <c r="AU19" i="11"/>
  <c r="AT19" i="11"/>
  <c r="AS19" i="11"/>
  <c r="AR19" i="11"/>
  <c r="AQ19" i="11"/>
  <c r="AP19" i="1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G19" i="11"/>
  <c r="F19" i="11"/>
  <c r="E19" i="11"/>
  <c r="D19" i="11"/>
  <c r="C19" i="11"/>
  <c r="B19" i="11"/>
  <c r="CM18" i="11"/>
  <c r="CL18" i="11"/>
  <c r="CK18" i="11"/>
  <c r="CJ18" i="11"/>
  <c r="CI18" i="11"/>
  <c r="CH18" i="11"/>
  <c r="CG18" i="11"/>
  <c r="CF18" i="11"/>
  <c r="CE18" i="11"/>
  <c r="CD18" i="11"/>
  <c r="CC18" i="11"/>
  <c r="CB18" i="11"/>
  <c r="CA18" i="11"/>
  <c r="BZ18" i="11"/>
  <c r="BY18" i="11"/>
  <c r="BX18" i="11"/>
  <c r="BW18" i="11"/>
  <c r="BV18" i="11"/>
  <c r="BU18" i="11"/>
  <c r="BT18" i="11"/>
  <c r="BS18" i="11"/>
  <c r="BR18" i="11"/>
  <c r="BQ18" i="11"/>
  <c r="BP18" i="11"/>
  <c r="BO18" i="11"/>
  <c r="BN18" i="11"/>
  <c r="BM18" i="11"/>
  <c r="BL18" i="11"/>
  <c r="BK18" i="11"/>
  <c r="BJ18" i="11"/>
  <c r="BI18" i="11"/>
  <c r="BH18" i="11"/>
  <c r="BG18" i="11"/>
  <c r="BF18" i="11"/>
  <c r="BE18" i="11"/>
  <c r="BD18" i="11"/>
  <c r="BC18" i="11"/>
  <c r="BB18" i="11"/>
  <c r="BA18" i="11"/>
  <c r="AZ18" i="11"/>
  <c r="AY18" i="11"/>
  <c r="AX18" i="11"/>
  <c r="AW18" i="11"/>
  <c r="AV18" i="11"/>
  <c r="AU18" i="11"/>
  <c r="AT18" i="11"/>
  <c r="AS18" i="11"/>
  <c r="AR18" i="11"/>
  <c r="AQ18" i="11"/>
  <c r="AP18" i="11"/>
  <c r="AO18" i="11"/>
  <c r="AN18" i="11"/>
  <c r="AM18" i="11"/>
  <c r="AL18" i="11"/>
  <c r="AK18" i="11"/>
  <c r="AJ18" i="11"/>
  <c r="AI18" i="11"/>
  <c r="AH18" i="11"/>
  <c r="AG18" i="11"/>
  <c r="AF18" i="11"/>
  <c r="AE18" i="11"/>
  <c r="AD18" i="11"/>
  <c r="AC18" i="11"/>
  <c r="AB18" i="11"/>
  <c r="AA18" i="11"/>
  <c r="Z18" i="11"/>
  <c r="Y18" i="11"/>
  <c r="X18" i="11"/>
  <c r="W18" i="11"/>
  <c r="V18" i="11"/>
  <c r="U18" i="11"/>
  <c r="T18" i="11"/>
  <c r="S18" i="11"/>
  <c r="R18" i="11"/>
  <c r="Q18" i="11"/>
  <c r="P18" i="11"/>
  <c r="O18" i="11"/>
  <c r="N18" i="11"/>
  <c r="M18" i="11"/>
  <c r="L18" i="11"/>
  <c r="K18" i="11"/>
  <c r="J18" i="11"/>
  <c r="I18" i="11"/>
  <c r="H18" i="11"/>
  <c r="G18" i="11"/>
  <c r="F18" i="11"/>
  <c r="E18" i="11"/>
  <c r="D18" i="11"/>
  <c r="C18" i="11"/>
  <c r="B18" i="11"/>
  <c r="CM17" i="11"/>
  <c r="CL17" i="11"/>
  <c r="CK17" i="11"/>
  <c r="CJ17" i="11"/>
  <c r="CI17" i="11"/>
  <c r="CH17" i="11"/>
  <c r="CG17" i="11"/>
  <c r="CF17" i="11"/>
  <c r="CE17" i="11"/>
  <c r="CD17" i="11"/>
  <c r="CC17" i="11"/>
  <c r="CB17" i="11"/>
  <c r="CA17" i="11"/>
  <c r="BZ17" i="11"/>
  <c r="BY17" i="11"/>
  <c r="BX17" i="11"/>
  <c r="BW17" i="11"/>
  <c r="BV17" i="11"/>
  <c r="BU17" i="11"/>
  <c r="BT17" i="11"/>
  <c r="BS17" i="11"/>
  <c r="BR17" i="11"/>
  <c r="BQ17" i="11"/>
  <c r="BP17" i="11"/>
  <c r="BO17" i="11"/>
  <c r="BN17" i="11"/>
  <c r="BM17" i="11"/>
  <c r="BL17" i="11"/>
  <c r="BK17" i="11"/>
  <c r="BJ17" i="11"/>
  <c r="BI17" i="11"/>
  <c r="BH17" i="11"/>
  <c r="BG17" i="11"/>
  <c r="BF17" i="11"/>
  <c r="BE17" i="11"/>
  <c r="BD17" i="11"/>
  <c r="BC17" i="11"/>
  <c r="BB17" i="11"/>
  <c r="BA17" i="11"/>
  <c r="AZ17" i="11"/>
  <c r="AY17" i="11"/>
  <c r="AX17" i="11"/>
  <c r="AW17" i="11"/>
  <c r="AV17" i="11"/>
  <c r="AU17" i="11"/>
  <c r="AT17" i="11"/>
  <c r="AS17" i="11"/>
  <c r="AR17" i="11"/>
  <c r="AQ17" i="11"/>
  <c r="AP17" i="11"/>
  <c r="AO17" i="11"/>
  <c r="AN17" i="11"/>
  <c r="AM17" i="11"/>
  <c r="AL17" i="11"/>
  <c r="AK17" i="11"/>
  <c r="AJ17" i="11"/>
  <c r="AI17" i="11"/>
  <c r="AH17" i="11"/>
  <c r="AG17"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G17" i="11"/>
  <c r="F17" i="11"/>
  <c r="E17" i="11"/>
  <c r="D17" i="11"/>
  <c r="C17" i="11"/>
  <c r="B17" i="11"/>
  <c r="CM16" i="11"/>
  <c r="CL16" i="11"/>
  <c r="CK16" i="11"/>
  <c r="CJ16" i="11"/>
  <c r="CI16" i="11"/>
  <c r="CH16" i="11"/>
  <c r="CG16" i="11"/>
  <c r="CF16" i="11"/>
  <c r="CE16" i="11"/>
  <c r="CD16" i="11"/>
  <c r="CC16" i="11"/>
  <c r="CB16" i="11"/>
  <c r="CA16" i="11"/>
  <c r="BZ16" i="11"/>
  <c r="BY16" i="11"/>
  <c r="BX16" i="11"/>
  <c r="BW16" i="11"/>
  <c r="BV16" i="11"/>
  <c r="BU16" i="11"/>
  <c r="BT16" i="11"/>
  <c r="BS16" i="11"/>
  <c r="BR16" i="11"/>
  <c r="BQ16" i="11"/>
  <c r="BP16" i="11"/>
  <c r="BO16" i="11"/>
  <c r="BN16" i="11"/>
  <c r="BM16" i="11"/>
  <c r="BL16"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G16" i="11"/>
  <c r="F16" i="11"/>
  <c r="E16" i="11"/>
  <c r="D16" i="11"/>
  <c r="C16" i="11"/>
  <c r="B16" i="11"/>
  <c r="CM15" i="11"/>
  <c r="CL15" i="11"/>
  <c r="CK15" i="11"/>
  <c r="CJ15" i="11"/>
  <c r="CI15" i="11"/>
  <c r="CH15" i="11"/>
  <c r="CG15" i="11"/>
  <c r="CF15" i="11"/>
  <c r="CE15" i="11"/>
  <c r="CD15" i="11"/>
  <c r="CC15" i="11"/>
  <c r="CB15" i="11"/>
  <c r="CA15" i="11"/>
  <c r="BZ15" i="11"/>
  <c r="BY15" i="11"/>
  <c r="BX15" i="11"/>
  <c r="BW15" i="11"/>
  <c r="BV15" i="11"/>
  <c r="BU15" i="11"/>
  <c r="BT15" i="11"/>
  <c r="BS15" i="11"/>
  <c r="BR15" i="11"/>
  <c r="BQ15" i="11"/>
  <c r="BP15" i="11"/>
  <c r="BO15" i="11"/>
  <c r="BN15" i="11"/>
  <c r="BM15" i="11"/>
  <c r="BL15" i="11"/>
  <c r="BK15" i="11"/>
  <c r="BJ15" i="11"/>
  <c r="BI15" i="11"/>
  <c r="BH15" i="11"/>
  <c r="BG15" i="11"/>
  <c r="BF15" i="11"/>
  <c r="BE15" i="11"/>
  <c r="BD15" i="11"/>
  <c r="BC15" i="11"/>
  <c r="BB15" i="11"/>
  <c r="BA15" i="11"/>
  <c r="AZ15" i="11"/>
  <c r="AY15" i="11"/>
  <c r="AX15" i="11"/>
  <c r="AW15" i="11"/>
  <c r="AV15" i="11"/>
  <c r="AU15" i="11"/>
  <c r="AT15" i="11"/>
  <c r="AS15" i="11"/>
  <c r="AR15" i="11"/>
  <c r="AQ15" i="11"/>
  <c r="AP15" i="11"/>
  <c r="AO15" i="11"/>
  <c r="AN15" i="11"/>
  <c r="AM15" i="11"/>
  <c r="AL15" i="11"/>
  <c r="AK15" i="11"/>
  <c r="AJ15" i="11"/>
  <c r="AI15" i="11"/>
  <c r="AH15" i="11"/>
  <c r="AG15" i="11"/>
  <c r="AF15" i="11"/>
  <c r="AE15" i="11"/>
  <c r="AE24" i="11" s="1"/>
  <c r="AE54" i="4" s="1"/>
  <c r="AD15" i="11"/>
  <c r="AD24" i="11" s="1"/>
  <c r="AD54" i="4" s="1"/>
  <c r="AC15" i="11"/>
  <c r="AB15" i="11"/>
  <c r="AA15" i="11"/>
  <c r="AA24" i="11" s="1"/>
  <c r="AA54" i="4" s="1"/>
  <c r="Z15" i="11"/>
  <c r="Z24" i="11" s="1"/>
  <c r="Z54" i="4" s="1"/>
  <c r="Y15" i="11"/>
  <c r="X15" i="11"/>
  <c r="W15" i="11"/>
  <c r="W24" i="11" s="1"/>
  <c r="W54" i="4" s="1"/>
  <c r="V15" i="11"/>
  <c r="V24" i="11" s="1"/>
  <c r="V54" i="4" s="1"/>
  <c r="U15" i="11"/>
  <c r="T15" i="11"/>
  <c r="S15" i="11"/>
  <c r="S24" i="11" s="1"/>
  <c r="S54" i="4" s="1"/>
  <c r="R15" i="11"/>
  <c r="R24" i="11" s="1"/>
  <c r="R54" i="4" s="1"/>
  <c r="Q15" i="11"/>
  <c r="P15" i="11"/>
  <c r="O15" i="11"/>
  <c r="O24" i="11" s="1"/>
  <c r="O54" i="4" s="1"/>
  <c r="N15" i="11"/>
  <c r="N24" i="11" s="1"/>
  <c r="N54" i="4" s="1"/>
  <c r="M15" i="11"/>
  <c r="L15" i="11"/>
  <c r="K15" i="11"/>
  <c r="K24" i="11" s="1"/>
  <c r="K54" i="4" s="1"/>
  <c r="J15" i="11"/>
  <c r="J24" i="11" s="1"/>
  <c r="J54" i="4" s="1"/>
  <c r="I15" i="11"/>
  <c r="H15" i="11"/>
  <c r="G15" i="11"/>
  <c r="G24" i="11" s="1"/>
  <c r="G54" i="4" s="1"/>
  <c r="F15" i="11"/>
  <c r="F24" i="11" s="1"/>
  <c r="F54" i="4" s="1"/>
  <c r="E15" i="11"/>
  <c r="D15" i="11"/>
  <c r="C15" i="11"/>
  <c r="C24" i="11" s="1"/>
  <c r="C54" i="4" s="1"/>
  <c r="B15" i="11"/>
  <c r="B24" i="11" s="1"/>
  <c r="B54" i="4" s="1"/>
  <c r="CM14" i="11"/>
  <c r="CL14" i="11"/>
  <c r="CK14" i="11"/>
  <c r="CJ14" i="11"/>
  <c r="CI14" i="11"/>
  <c r="CH14" i="11"/>
  <c r="CG14" i="11"/>
  <c r="CF14" i="11"/>
  <c r="CE14" i="11"/>
  <c r="CD14" i="11"/>
  <c r="CC14" i="11"/>
  <c r="CB14" i="11"/>
  <c r="CA14" i="11"/>
  <c r="BZ14" i="11"/>
  <c r="BY14" i="11"/>
  <c r="BX14" i="11"/>
  <c r="BW14" i="11"/>
  <c r="BV14" i="11"/>
  <c r="BU14" i="11"/>
  <c r="BT14" i="11"/>
  <c r="BS14" i="11"/>
  <c r="BR14" i="11"/>
  <c r="BQ14" i="11"/>
  <c r="BP14" i="11"/>
  <c r="BO14" i="11"/>
  <c r="BN14" i="11"/>
  <c r="BM14" i="11"/>
  <c r="BL14" i="11"/>
  <c r="BK14" i="11"/>
  <c r="BJ14" i="11"/>
  <c r="BI14" i="11"/>
  <c r="BH14" i="11"/>
  <c r="BG14" i="11"/>
  <c r="BF14" i="11"/>
  <c r="BE14" i="11"/>
  <c r="BD14" i="11"/>
  <c r="BC14" i="11"/>
  <c r="BB14" i="11"/>
  <c r="BA14" i="11"/>
  <c r="AZ14" i="11"/>
  <c r="AY14" i="11"/>
  <c r="AX14" i="11"/>
  <c r="AW14" i="11"/>
  <c r="AV14" i="11"/>
  <c r="AU14" i="11"/>
  <c r="AT14" i="11"/>
  <c r="AS14" i="11"/>
  <c r="AR14" i="11"/>
  <c r="AQ14" i="11"/>
  <c r="AP14" i="11"/>
  <c r="AO14" i="11"/>
  <c r="AN14" i="11"/>
  <c r="AM14" i="11"/>
  <c r="AL14" i="11"/>
  <c r="AK14" i="11"/>
  <c r="AJ14" i="11"/>
  <c r="AI14" i="11"/>
  <c r="AH14" i="11"/>
  <c r="AG14" i="11"/>
  <c r="AF14" i="11"/>
  <c r="AE14" i="11"/>
  <c r="AD14" i="11"/>
  <c r="AC14" i="11"/>
  <c r="AB14" i="11"/>
  <c r="AA14" i="11"/>
  <c r="Z14" i="11"/>
  <c r="Y14" i="11"/>
  <c r="X14" i="11"/>
  <c r="W14" i="11"/>
  <c r="V14" i="11"/>
  <c r="U14" i="11"/>
  <c r="T14" i="11"/>
  <c r="S14" i="11"/>
  <c r="R14" i="11"/>
  <c r="Q14" i="11"/>
  <c r="P14" i="11"/>
  <c r="O14" i="11"/>
  <c r="N14" i="11"/>
  <c r="M14" i="11"/>
  <c r="L14" i="11"/>
  <c r="K14" i="11"/>
  <c r="J14" i="11"/>
  <c r="I14" i="11"/>
  <c r="H14" i="11"/>
  <c r="G14" i="11"/>
  <c r="F14" i="11"/>
  <c r="E14" i="11"/>
  <c r="D14" i="11"/>
  <c r="C14" i="11"/>
  <c r="B14" i="11"/>
  <c r="CM13" i="11"/>
  <c r="CL13" i="11"/>
  <c r="CK13" i="11"/>
  <c r="CJ13" i="11"/>
  <c r="CI13" i="11"/>
  <c r="CH13" i="11"/>
  <c r="CG13" i="11"/>
  <c r="CF13" i="11"/>
  <c r="CE13" i="11"/>
  <c r="CD13" i="11"/>
  <c r="CC13" i="11"/>
  <c r="CB13" i="11"/>
  <c r="CA13" i="11"/>
  <c r="BZ13" i="11"/>
  <c r="BY13" i="11"/>
  <c r="BX13" i="11"/>
  <c r="BW13" i="11"/>
  <c r="BV13" i="11"/>
  <c r="BU13" i="11"/>
  <c r="BT13" i="11"/>
  <c r="BS13" i="11"/>
  <c r="BR13" i="11"/>
  <c r="BQ13" i="11"/>
  <c r="BP13" i="11"/>
  <c r="BO13" i="11"/>
  <c r="BN13" i="11"/>
  <c r="BM13" i="11"/>
  <c r="BL13" i="11"/>
  <c r="BK13" i="11"/>
  <c r="BJ13" i="11"/>
  <c r="BI13" i="11"/>
  <c r="BH13" i="11"/>
  <c r="BG13" i="11"/>
  <c r="BF13" i="11"/>
  <c r="BE13" i="11"/>
  <c r="BD13" i="11"/>
  <c r="BC13" i="11"/>
  <c r="BB13" i="11"/>
  <c r="BA13" i="11"/>
  <c r="AZ13" i="11"/>
  <c r="AY13" i="11"/>
  <c r="AX13" i="11"/>
  <c r="AW13" i="11"/>
  <c r="AV13" i="11"/>
  <c r="AU13" i="11"/>
  <c r="AT13" i="11"/>
  <c r="AS13" i="11"/>
  <c r="AR13" i="11"/>
  <c r="AQ13" i="11"/>
  <c r="AP13" i="11"/>
  <c r="AO13" i="11"/>
  <c r="AN13" i="11"/>
  <c r="AM13" i="11"/>
  <c r="AL13" i="11"/>
  <c r="AK13" i="11"/>
  <c r="AJ13" i="11"/>
  <c r="AI13" i="11"/>
  <c r="AH13" i="11"/>
  <c r="AG13" i="11"/>
  <c r="AF13" i="11"/>
  <c r="D42" i="9" s="1"/>
  <c r="AE13" i="11"/>
  <c r="AE23" i="11" s="1"/>
  <c r="AE52" i="1" s="1"/>
  <c r="AD13" i="11"/>
  <c r="AD23" i="11" s="1"/>
  <c r="AD52" i="4" s="1"/>
  <c r="AC13" i="11"/>
  <c r="AB13" i="11"/>
  <c r="AA13" i="11"/>
  <c r="AA23" i="11" s="1"/>
  <c r="AA52" i="1" s="1"/>
  <c r="Z13" i="11"/>
  <c r="Z23" i="11" s="1"/>
  <c r="Z52" i="4" s="1"/>
  <c r="Y13" i="11"/>
  <c r="X13" i="11"/>
  <c r="W13" i="11"/>
  <c r="W23" i="11" s="1"/>
  <c r="W52" i="1" s="1"/>
  <c r="V13" i="11"/>
  <c r="V23" i="11" s="1"/>
  <c r="V52" i="4" s="1"/>
  <c r="U13" i="11"/>
  <c r="T13" i="11"/>
  <c r="S13" i="11"/>
  <c r="S23" i="11" s="1"/>
  <c r="S52" i="1" s="1"/>
  <c r="R13" i="11"/>
  <c r="R23" i="11" s="1"/>
  <c r="R52" i="4" s="1"/>
  <c r="Q13" i="11"/>
  <c r="P13" i="11"/>
  <c r="O13" i="11"/>
  <c r="O23" i="11" s="1"/>
  <c r="O52" i="1" s="1"/>
  <c r="N13" i="11"/>
  <c r="N23" i="11" s="1"/>
  <c r="N52" i="4" s="1"/>
  <c r="M13" i="11"/>
  <c r="L13" i="11"/>
  <c r="K13" i="11"/>
  <c r="K23" i="11" s="1"/>
  <c r="K52" i="1" s="1"/>
  <c r="J13" i="11"/>
  <c r="J23" i="11" s="1"/>
  <c r="J52" i="4" s="1"/>
  <c r="I13" i="11"/>
  <c r="H13" i="11"/>
  <c r="G13" i="11"/>
  <c r="G23" i="11" s="1"/>
  <c r="G52" i="1" s="1"/>
  <c r="F13" i="11"/>
  <c r="F23" i="11" s="1"/>
  <c r="F52" i="4" s="1"/>
  <c r="E13" i="11"/>
  <c r="D13" i="11"/>
  <c r="C13" i="11"/>
  <c r="C23" i="11" s="1"/>
  <c r="C52" i="1" s="1"/>
  <c r="B13" i="11"/>
  <c r="B23" i="11" s="1"/>
  <c r="B52" i="4" s="1"/>
  <c r="CM24" i="10"/>
  <c r="CL24" i="10"/>
  <c r="CK24" i="10"/>
  <c r="CJ24" i="10"/>
  <c r="CI24" i="10"/>
  <c r="CH24" i="10"/>
  <c r="CG24" i="10"/>
  <c r="CF24" i="10"/>
  <c r="CE24" i="10"/>
  <c r="CD24" i="10"/>
  <c r="CC24" i="10"/>
  <c r="CB24" i="10"/>
  <c r="CA24" i="10"/>
  <c r="BZ24" i="10"/>
  <c r="BY24" i="10"/>
  <c r="BX24" i="10"/>
  <c r="BW24" i="10"/>
  <c r="BV24" i="10"/>
  <c r="BU24" i="10"/>
  <c r="BT24" i="10"/>
  <c r="BS24" i="10"/>
  <c r="BR24" i="10"/>
  <c r="BQ24" i="10"/>
  <c r="BP24" i="10"/>
  <c r="BO24" i="10"/>
  <c r="BN24" i="10"/>
  <c r="BM24" i="10"/>
  <c r="BL24" i="10"/>
  <c r="BK24" i="10"/>
  <c r="BJ24" i="10"/>
  <c r="BI24" i="10"/>
  <c r="BH24" i="10"/>
  <c r="BG24" i="10"/>
  <c r="BF24" i="10"/>
  <c r="BE24" i="10"/>
  <c r="BD24" i="10"/>
  <c r="BC24" i="10"/>
  <c r="BB24" i="10"/>
  <c r="BA24" i="10"/>
  <c r="AZ24" i="10"/>
  <c r="AY24" i="10"/>
  <c r="AX24" i="10"/>
  <c r="AW24" i="10"/>
  <c r="AV24" i="10"/>
  <c r="AU24" i="10"/>
  <c r="AT24" i="10"/>
  <c r="AS24" i="10"/>
  <c r="AR24" i="10"/>
  <c r="AQ24" i="10"/>
  <c r="AP24" i="10"/>
  <c r="AO24" i="10"/>
  <c r="AN24" i="10"/>
  <c r="AM24" i="10"/>
  <c r="AL24" i="10"/>
  <c r="AK24" i="10"/>
  <c r="AJ24" i="10"/>
  <c r="AI24" i="10"/>
  <c r="AH24" i="10"/>
  <c r="AG24" i="10"/>
  <c r="AF24" i="10"/>
  <c r="AE24" i="10"/>
  <c r="AD24" i="10"/>
  <c r="AC24" i="10"/>
  <c r="AB24" i="10"/>
  <c r="AA24" i="10"/>
  <c r="Z24" i="10"/>
  <c r="Y24" i="10"/>
  <c r="X24" i="10"/>
  <c r="W24" i="10"/>
  <c r="V24" i="10"/>
  <c r="U24" i="10"/>
  <c r="T24" i="10"/>
  <c r="S24" i="10"/>
  <c r="R24" i="10"/>
  <c r="Q24" i="10"/>
  <c r="P24" i="10"/>
  <c r="O24" i="10"/>
  <c r="N24" i="10"/>
  <c r="M24" i="10"/>
  <c r="L24" i="10"/>
  <c r="K24" i="10"/>
  <c r="J24" i="10"/>
  <c r="I24" i="10"/>
  <c r="H24" i="10"/>
  <c r="G24" i="10"/>
  <c r="F24" i="10"/>
  <c r="E24" i="10"/>
  <c r="D24" i="10"/>
  <c r="C24" i="10"/>
  <c r="B24" i="10"/>
  <c r="CM23" i="10"/>
  <c r="CL23" i="10"/>
  <c r="CK23" i="10"/>
  <c r="CJ23" i="10"/>
  <c r="CI23" i="10"/>
  <c r="CH23" i="10"/>
  <c r="CG23" i="10"/>
  <c r="CF23" i="10"/>
  <c r="CE23" i="10"/>
  <c r="CD23" i="10"/>
  <c r="CC23" i="10"/>
  <c r="CB23" i="10"/>
  <c r="CA23" i="10"/>
  <c r="BZ23" i="10"/>
  <c r="BY23" i="10"/>
  <c r="BX23" i="10"/>
  <c r="BW23" i="10"/>
  <c r="BV23" i="10"/>
  <c r="BU23" i="10"/>
  <c r="BT23" i="10"/>
  <c r="BS23" i="10"/>
  <c r="BR23" i="10"/>
  <c r="BQ23" i="10"/>
  <c r="BP23" i="10"/>
  <c r="BO23" i="10"/>
  <c r="BN23" i="10"/>
  <c r="BM23" i="10"/>
  <c r="BL23" i="10"/>
  <c r="BK23" i="10"/>
  <c r="BJ23" i="10"/>
  <c r="BI23" i="10"/>
  <c r="BH23" i="10"/>
  <c r="BG23" i="10"/>
  <c r="BF23" i="10"/>
  <c r="BE23" i="10"/>
  <c r="BD23" i="10"/>
  <c r="BC23" i="10"/>
  <c r="BB23" i="10"/>
  <c r="BA23" i="10"/>
  <c r="AZ23" i="10"/>
  <c r="AY23" i="10"/>
  <c r="AX23" i="10"/>
  <c r="AW23" i="10"/>
  <c r="AV23" i="10"/>
  <c r="AU23" i="10"/>
  <c r="AT23" i="10"/>
  <c r="AS23" i="10"/>
  <c r="AR23" i="10"/>
  <c r="AQ23" i="10"/>
  <c r="AP23" i="10"/>
  <c r="AO23" i="10"/>
  <c r="AN23" i="10"/>
  <c r="AM23" i="10"/>
  <c r="AL23" i="10"/>
  <c r="AK23" i="10"/>
  <c r="AJ23" i="10"/>
  <c r="AI23" i="10"/>
  <c r="AH23" i="10"/>
  <c r="AG23"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G23" i="10"/>
  <c r="F23" i="10"/>
  <c r="E23" i="10"/>
  <c r="D23" i="10"/>
  <c r="C23" i="10"/>
  <c r="B23" i="10"/>
  <c r="CM22" i="10"/>
  <c r="CL22" i="10"/>
  <c r="CK22" i="10"/>
  <c r="CJ22" i="10"/>
  <c r="CI22" i="10"/>
  <c r="CH22" i="10"/>
  <c r="CG22" i="10"/>
  <c r="CF22" i="10"/>
  <c r="CE22" i="10"/>
  <c r="CD22" i="10"/>
  <c r="CC22" i="10"/>
  <c r="CB22" i="10"/>
  <c r="CA22" i="10"/>
  <c r="BZ22" i="10"/>
  <c r="BY22" i="10"/>
  <c r="BX22" i="10"/>
  <c r="BW22" i="10"/>
  <c r="BV22" i="10"/>
  <c r="BU22" i="10"/>
  <c r="BT22" i="10"/>
  <c r="BS22" i="10"/>
  <c r="BR22" i="10"/>
  <c r="BQ22" i="10"/>
  <c r="BP22" i="10"/>
  <c r="BO22" i="10"/>
  <c r="BN22" i="10"/>
  <c r="BM22" i="10"/>
  <c r="BL22" i="10"/>
  <c r="BK22" i="10"/>
  <c r="BJ22" i="10"/>
  <c r="BI22" i="10"/>
  <c r="BH22" i="10"/>
  <c r="BG22" i="10"/>
  <c r="BF22" i="10"/>
  <c r="BE22" i="10"/>
  <c r="BD22" i="10"/>
  <c r="BC22" i="10"/>
  <c r="BB22" i="10"/>
  <c r="BA22" i="10"/>
  <c r="AZ22" i="10"/>
  <c r="AY22" i="10"/>
  <c r="AX22" i="10"/>
  <c r="AW22" i="10"/>
  <c r="AV22" i="10"/>
  <c r="AU22" i="10"/>
  <c r="AT22" i="10"/>
  <c r="AS22" i="10"/>
  <c r="AR22" i="10"/>
  <c r="AQ22" i="10"/>
  <c r="AP22" i="10"/>
  <c r="AO22" i="10"/>
  <c r="AN22" i="10"/>
  <c r="AM22" i="10"/>
  <c r="AL22" i="10"/>
  <c r="AK22" i="10"/>
  <c r="AJ22" i="10"/>
  <c r="AI22" i="10"/>
  <c r="AH22" i="10"/>
  <c r="AG22" i="10"/>
  <c r="AF22" i="10"/>
  <c r="AE22" i="10"/>
  <c r="AD22" i="10"/>
  <c r="AC22" i="10"/>
  <c r="AB22" i="10"/>
  <c r="AA22" i="10"/>
  <c r="Z22" i="10"/>
  <c r="Y22" i="10"/>
  <c r="X22" i="10"/>
  <c r="W22" i="10"/>
  <c r="V22" i="10"/>
  <c r="U22" i="10"/>
  <c r="T22" i="10"/>
  <c r="S22" i="10"/>
  <c r="R22" i="10"/>
  <c r="Q22" i="10"/>
  <c r="P22" i="10"/>
  <c r="O22" i="10"/>
  <c r="N22" i="10"/>
  <c r="M22" i="10"/>
  <c r="L22" i="10"/>
  <c r="K22" i="10"/>
  <c r="J22" i="10"/>
  <c r="I22" i="10"/>
  <c r="H22" i="10"/>
  <c r="G22" i="10"/>
  <c r="F22" i="10"/>
  <c r="E22" i="10"/>
  <c r="D22" i="10"/>
  <c r="C22" i="10"/>
  <c r="B22" i="10"/>
  <c r="CM21" i="10"/>
  <c r="CL21" i="10"/>
  <c r="CK21" i="10"/>
  <c r="CJ21" i="10"/>
  <c r="CI21" i="10"/>
  <c r="CH21" i="10"/>
  <c r="CG21" i="10"/>
  <c r="CF21" i="10"/>
  <c r="CE21" i="10"/>
  <c r="CD21" i="10"/>
  <c r="CC21" i="10"/>
  <c r="CB21" i="10"/>
  <c r="CA21" i="10"/>
  <c r="BZ21" i="10"/>
  <c r="BY21" i="10"/>
  <c r="BX21" i="10"/>
  <c r="BW21" i="10"/>
  <c r="BV21" i="10"/>
  <c r="BU21" i="10"/>
  <c r="BT21" i="10"/>
  <c r="BS21" i="10"/>
  <c r="BR21" i="10"/>
  <c r="BQ21" i="10"/>
  <c r="BP21" i="10"/>
  <c r="BO21" i="10"/>
  <c r="BN21" i="10"/>
  <c r="BM21" i="10"/>
  <c r="BL21" i="10"/>
  <c r="BK21" i="10"/>
  <c r="BJ21" i="10"/>
  <c r="BI21" i="10"/>
  <c r="BH21" i="10"/>
  <c r="BG21" i="10"/>
  <c r="BF21" i="10"/>
  <c r="BE21" i="10"/>
  <c r="BD21" i="10"/>
  <c r="BC21" i="10"/>
  <c r="BB21" i="10"/>
  <c r="BA21" i="10"/>
  <c r="AZ21" i="10"/>
  <c r="AY21" i="10"/>
  <c r="AX21" i="10"/>
  <c r="AW21" i="10"/>
  <c r="AV21" i="10"/>
  <c r="AU21" i="10"/>
  <c r="AT21" i="10"/>
  <c r="AS21" i="10"/>
  <c r="AR21" i="10"/>
  <c r="AQ21" i="10"/>
  <c r="AP21" i="10"/>
  <c r="AO21" i="10"/>
  <c r="AN21" i="10"/>
  <c r="AM21" i="10"/>
  <c r="AL21" i="10"/>
  <c r="AK21" i="10"/>
  <c r="AJ21" i="10"/>
  <c r="AI21" i="10"/>
  <c r="AH21" i="10"/>
  <c r="AG21" i="10"/>
  <c r="AF21" i="10"/>
  <c r="AE21"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B21" i="10"/>
  <c r="CM20" i="10"/>
  <c r="CL20" i="10"/>
  <c r="CK20" i="10"/>
  <c r="CJ20" i="10"/>
  <c r="CI20" i="10"/>
  <c r="CH20" i="10"/>
  <c r="CG20" i="10"/>
  <c r="CF20" i="10"/>
  <c r="CE20" i="10"/>
  <c r="CD20" i="10"/>
  <c r="CC20" i="10"/>
  <c r="CB20" i="10"/>
  <c r="CA20" i="10"/>
  <c r="BZ20" i="10"/>
  <c r="BY20" i="10"/>
  <c r="BX20" i="10"/>
  <c r="BW20" i="10"/>
  <c r="BV20" i="10"/>
  <c r="BU20" i="10"/>
  <c r="BT20" i="10"/>
  <c r="BS20" i="10"/>
  <c r="BR20" i="10"/>
  <c r="BQ20" i="10"/>
  <c r="BP20" i="10"/>
  <c r="BO20" i="10"/>
  <c r="BN20" i="10"/>
  <c r="BM20" i="10"/>
  <c r="BL20" i="10"/>
  <c r="BK20" i="10"/>
  <c r="BJ20" i="10"/>
  <c r="BI20" i="10"/>
  <c r="BH20" i="10"/>
  <c r="BG20" i="10"/>
  <c r="BF20" i="10"/>
  <c r="BE20" i="10"/>
  <c r="BD20" i="10"/>
  <c r="BC20" i="10"/>
  <c r="BB20" i="10"/>
  <c r="BA20" i="10"/>
  <c r="AZ20" i="10"/>
  <c r="AY20" i="10"/>
  <c r="AX20" i="10"/>
  <c r="AW20" i="10"/>
  <c r="AV20" i="10"/>
  <c r="AU20" i="10"/>
  <c r="AT20" i="10"/>
  <c r="AS20" i="10"/>
  <c r="AR20" i="10"/>
  <c r="AQ20" i="10"/>
  <c r="AP20" i="10"/>
  <c r="AO20" i="10"/>
  <c r="AN20" i="10"/>
  <c r="AM20" i="10"/>
  <c r="AL20" i="10"/>
  <c r="AK20" i="10"/>
  <c r="AJ20" i="10"/>
  <c r="AI20" i="10"/>
  <c r="AH20" i="10"/>
  <c r="AG20" i="10"/>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G20" i="10"/>
  <c r="F20" i="10"/>
  <c r="E20" i="10"/>
  <c r="D20" i="10"/>
  <c r="C20" i="10"/>
  <c r="B20" i="10"/>
  <c r="CM19" i="10"/>
  <c r="CL19" i="10"/>
  <c r="CK19" i="10"/>
  <c r="CJ19" i="10"/>
  <c r="CI19" i="10"/>
  <c r="CH19" i="10"/>
  <c r="CG19" i="10"/>
  <c r="CF19" i="10"/>
  <c r="CE19" i="10"/>
  <c r="CD19" i="10"/>
  <c r="CC19" i="10"/>
  <c r="CB19" i="10"/>
  <c r="CA19" i="10"/>
  <c r="BZ19" i="10"/>
  <c r="BY19" i="10"/>
  <c r="BX19" i="10"/>
  <c r="BW19" i="10"/>
  <c r="BV19" i="10"/>
  <c r="BU19" i="10"/>
  <c r="BT19" i="10"/>
  <c r="BS19" i="10"/>
  <c r="BR19" i="10"/>
  <c r="BQ19" i="10"/>
  <c r="BP19" i="10"/>
  <c r="BO19" i="10"/>
  <c r="BN19" i="10"/>
  <c r="BM19" i="10"/>
  <c r="BL19" i="10"/>
  <c r="BK19" i="10"/>
  <c r="BJ19" i="10"/>
  <c r="BI19" i="10"/>
  <c r="BH19" i="10"/>
  <c r="BG19" i="10"/>
  <c r="BF19" i="10"/>
  <c r="BE19" i="10"/>
  <c r="BD19" i="10"/>
  <c r="BC19" i="10"/>
  <c r="BB19" i="10"/>
  <c r="BA19" i="10"/>
  <c r="AZ19" i="10"/>
  <c r="AY19" i="10"/>
  <c r="AX19" i="10"/>
  <c r="AW19" i="10"/>
  <c r="AV19" i="10"/>
  <c r="AU19" i="10"/>
  <c r="AT19" i="10"/>
  <c r="AS19" i="10"/>
  <c r="AR19" i="10"/>
  <c r="AQ19" i="10"/>
  <c r="AP19" i="10"/>
  <c r="AO19" i="10"/>
  <c r="AN19" i="10"/>
  <c r="AM19" i="10"/>
  <c r="AL19" i="10"/>
  <c r="AK19" i="10"/>
  <c r="AJ19" i="10"/>
  <c r="AI19" i="10"/>
  <c r="AH19" i="10"/>
  <c r="AG19" i="10"/>
  <c r="AF19" i="10"/>
  <c r="AE19" i="10"/>
  <c r="AD19" i="10"/>
  <c r="AC19" i="10"/>
  <c r="AB19" i="10"/>
  <c r="AA19" i="10"/>
  <c r="Z19" i="10"/>
  <c r="Y19" i="10"/>
  <c r="X19" i="10"/>
  <c r="W19" i="10"/>
  <c r="V19" i="10"/>
  <c r="U19" i="10"/>
  <c r="T19" i="10"/>
  <c r="S19" i="10"/>
  <c r="R19" i="10"/>
  <c r="Q19" i="10"/>
  <c r="P19" i="10"/>
  <c r="O19" i="10"/>
  <c r="N19" i="10"/>
  <c r="M19" i="10"/>
  <c r="L19" i="10"/>
  <c r="K19" i="10"/>
  <c r="J19" i="10"/>
  <c r="I19" i="10"/>
  <c r="H19" i="10"/>
  <c r="G19" i="10"/>
  <c r="F19" i="10"/>
  <c r="E19" i="10"/>
  <c r="D19" i="10"/>
  <c r="C19" i="10"/>
  <c r="B19" i="10"/>
  <c r="CM18" i="10"/>
  <c r="CL18" i="10"/>
  <c r="CK18" i="10"/>
  <c r="CJ18" i="10"/>
  <c r="CI18" i="10"/>
  <c r="CH18" i="10"/>
  <c r="CG18" i="10"/>
  <c r="CF18" i="10"/>
  <c r="CE18" i="10"/>
  <c r="CD18" i="10"/>
  <c r="CC18" i="10"/>
  <c r="CB18" i="10"/>
  <c r="CA18" i="10"/>
  <c r="BZ18" i="10"/>
  <c r="BY18" i="10"/>
  <c r="BX18" i="10"/>
  <c r="BW18" i="10"/>
  <c r="BV18" i="10"/>
  <c r="BU18" i="10"/>
  <c r="BT18" i="10"/>
  <c r="BS18" i="10"/>
  <c r="BR18" i="10"/>
  <c r="BQ18" i="10"/>
  <c r="BP18" i="10"/>
  <c r="BO18" i="10"/>
  <c r="BN18" i="10"/>
  <c r="BM18" i="10"/>
  <c r="BL18" i="10"/>
  <c r="BK18" i="10"/>
  <c r="BJ18" i="10"/>
  <c r="BI18" i="10"/>
  <c r="BH18" i="10"/>
  <c r="BG18" i="10"/>
  <c r="BF18" i="10"/>
  <c r="BE18" i="10"/>
  <c r="BD18" i="10"/>
  <c r="BC18" i="10"/>
  <c r="BB18" i="10"/>
  <c r="BA18" i="10"/>
  <c r="AZ18" i="10"/>
  <c r="AY18" i="10"/>
  <c r="AX18" i="10"/>
  <c r="AW18" i="10"/>
  <c r="AV18" i="10"/>
  <c r="AU18" i="10"/>
  <c r="AT18" i="10"/>
  <c r="AS18" i="10"/>
  <c r="AR18" i="10"/>
  <c r="AQ18" i="10"/>
  <c r="AP18" i="10"/>
  <c r="AO18" i="10"/>
  <c r="AN18" i="10"/>
  <c r="AM18" i="10"/>
  <c r="AL18" i="10"/>
  <c r="AK18" i="10"/>
  <c r="AJ18" i="10"/>
  <c r="AI18" i="10"/>
  <c r="AH18" i="10"/>
  <c r="AG18"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C18" i="10"/>
  <c r="B18" i="10"/>
  <c r="CM17" i="10"/>
  <c r="CL17" i="10"/>
  <c r="CK17" i="10"/>
  <c r="CJ17" i="10"/>
  <c r="CI17" i="10"/>
  <c r="CH17" i="10"/>
  <c r="CG17" i="10"/>
  <c r="CF17" i="10"/>
  <c r="CE17" i="10"/>
  <c r="CD17" i="10"/>
  <c r="CC17" i="10"/>
  <c r="CB17" i="10"/>
  <c r="CA17" i="10"/>
  <c r="BZ17" i="10"/>
  <c r="BY17" i="10"/>
  <c r="BX17" i="10"/>
  <c r="BW17" i="10"/>
  <c r="BV17" i="10"/>
  <c r="BU17" i="10"/>
  <c r="BT17" i="10"/>
  <c r="BS17" i="10"/>
  <c r="BR17" i="10"/>
  <c r="BQ17" i="10"/>
  <c r="BP17" i="10"/>
  <c r="BO17" i="10"/>
  <c r="BN17" i="10"/>
  <c r="BM17" i="10"/>
  <c r="BL17" i="10"/>
  <c r="BK17" i="10"/>
  <c r="BJ17" i="10"/>
  <c r="BI17" i="10"/>
  <c r="BH17" i="10"/>
  <c r="BG17" i="10"/>
  <c r="BF17" i="10"/>
  <c r="BE17" i="10"/>
  <c r="BD17" i="10"/>
  <c r="BC17" i="10"/>
  <c r="BB17" i="10"/>
  <c r="BA17" i="10"/>
  <c r="AZ17" i="10"/>
  <c r="AY17" i="10"/>
  <c r="AX17" i="10"/>
  <c r="AW17" i="10"/>
  <c r="AV17" i="10"/>
  <c r="AU17" i="10"/>
  <c r="AT17" i="10"/>
  <c r="AS17" i="10"/>
  <c r="AR17" i="10"/>
  <c r="AQ17" i="10"/>
  <c r="AP17" i="10"/>
  <c r="AO17" i="10"/>
  <c r="AN17" i="10"/>
  <c r="AM17" i="10"/>
  <c r="AL17" i="10"/>
  <c r="AK17" i="10"/>
  <c r="AJ17" i="10"/>
  <c r="AI17" i="10"/>
  <c r="AH17" i="10"/>
  <c r="AG17" i="10"/>
  <c r="AF17" i="10"/>
  <c r="AE17" i="10"/>
  <c r="AE28" i="10" s="1"/>
  <c r="AE54" i="6" s="1"/>
  <c r="AD17" i="10"/>
  <c r="AD28" i="10" s="1"/>
  <c r="AD54" i="6" s="1"/>
  <c r="AC17" i="10"/>
  <c r="AB17" i="10"/>
  <c r="AA17" i="10"/>
  <c r="AA28" i="10" s="1"/>
  <c r="AA54" i="6" s="1"/>
  <c r="Z17" i="10"/>
  <c r="Y17" i="10"/>
  <c r="X17" i="10"/>
  <c r="W17" i="10"/>
  <c r="W28" i="10" s="1"/>
  <c r="W54" i="6" s="1"/>
  <c r="V17" i="10"/>
  <c r="V28" i="10" s="1"/>
  <c r="V54" i="6" s="1"/>
  <c r="U17" i="10"/>
  <c r="T17" i="10"/>
  <c r="S17" i="10"/>
  <c r="S28" i="10" s="1"/>
  <c r="S54" i="6" s="1"/>
  <c r="R17" i="10"/>
  <c r="R28" i="10" s="1"/>
  <c r="R54" i="6" s="1"/>
  <c r="Q17" i="10"/>
  <c r="P17" i="10"/>
  <c r="O17" i="10"/>
  <c r="O28" i="10" s="1"/>
  <c r="O54" i="6" s="1"/>
  <c r="N17" i="10"/>
  <c r="N28" i="10" s="1"/>
  <c r="N54" i="6" s="1"/>
  <c r="M17" i="10"/>
  <c r="L17" i="10"/>
  <c r="K17" i="10"/>
  <c r="K28" i="10" s="1"/>
  <c r="K54" i="6" s="1"/>
  <c r="J17" i="10"/>
  <c r="J28" i="10" s="1"/>
  <c r="J54" i="6" s="1"/>
  <c r="I17" i="10"/>
  <c r="H17" i="10"/>
  <c r="G17" i="10"/>
  <c r="G28" i="10" s="1"/>
  <c r="G54" i="6" s="1"/>
  <c r="F17" i="10"/>
  <c r="F28" i="10" s="1"/>
  <c r="F54" i="6" s="1"/>
  <c r="E17" i="10"/>
  <c r="D17" i="10"/>
  <c r="C17" i="10"/>
  <c r="C28" i="10" s="1"/>
  <c r="C54" i="6" s="1"/>
  <c r="B17" i="10"/>
  <c r="B28" i="10" s="1"/>
  <c r="B54" i="6" s="1"/>
  <c r="CM16" i="10"/>
  <c r="CL16" i="10"/>
  <c r="CK16" i="10"/>
  <c r="CJ16" i="10"/>
  <c r="CI16" i="10"/>
  <c r="CH16" i="10"/>
  <c r="CG16" i="10"/>
  <c r="CF16" i="10"/>
  <c r="CE16" i="10"/>
  <c r="CD16" i="10"/>
  <c r="CC16" i="10"/>
  <c r="CB16" i="10"/>
  <c r="CA16" i="10"/>
  <c r="BZ16" i="10"/>
  <c r="BY16" i="10"/>
  <c r="BX16" i="10"/>
  <c r="BW16" i="10"/>
  <c r="BV16" i="10"/>
  <c r="BU16" i="10"/>
  <c r="BT16" i="10"/>
  <c r="BS16" i="10"/>
  <c r="BR16" i="10"/>
  <c r="BQ16" i="10"/>
  <c r="BP16" i="10"/>
  <c r="BO16" i="10"/>
  <c r="BN16" i="10"/>
  <c r="BM16" i="10"/>
  <c r="BL16" i="10"/>
  <c r="BK16" i="10"/>
  <c r="BJ16" i="10"/>
  <c r="BI16" i="10"/>
  <c r="BH16" i="10"/>
  <c r="BG16" i="10"/>
  <c r="BF16" i="10"/>
  <c r="BE16" i="10"/>
  <c r="BD16" i="10"/>
  <c r="BC16" i="10"/>
  <c r="BB16" i="10"/>
  <c r="BA16" i="10"/>
  <c r="AZ16" i="10"/>
  <c r="AY16" i="10"/>
  <c r="AX16" i="10"/>
  <c r="AW16" i="10"/>
  <c r="AV16" i="10"/>
  <c r="AU16" i="10"/>
  <c r="AT16" i="10"/>
  <c r="AS16" i="10"/>
  <c r="AR16" i="10"/>
  <c r="AQ16" i="10"/>
  <c r="AP16" i="10"/>
  <c r="AO16" i="10"/>
  <c r="AN16" i="10"/>
  <c r="AM16" i="10"/>
  <c r="AL16" i="10"/>
  <c r="AK16" i="10"/>
  <c r="AJ16" i="10"/>
  <c r="AI16" i="10"/>
  <c r="AH16" i="10"/>
  <c r="AG16" i="10"/>
  <c r="AF16" i="10"/>
  <c r="AE16" i="10"/>
  <c r="AD16" i="10"/>
  <c r="AC16" i="10"/>
  <c r="AB16" i="10"/>
  <c r="AA16" i="10"/>
  <c r="Z16" i="10"/>
  <c r="Y16" i="10"/>
  <c r="X16" i="10"/>
  <c r="W16" i="10"/>
  <c r="V16" i="10"/>
  <c r="U16" i="10"/>
  <c r="T16" i="10"/>
  <c r="S16" i="10"/>
  <c r="R16" i="10"/>
  <c r="Q16" i="10"/>
  <c r="P16" i="10"/>
  <c r="O16" i="10"/>
  <c r="N16" i="10"/>
  <c r="M16" i="10"/>
  <c r="L16" i="10"/>
  <c r="K16" i="10"/>
  <c r="J16" i="10"/>
  <c r="I16" i="10"/>
  <c r="H16" i="10"/>
  <c r="G16" i="10"/>
  <c r="F16" i="10"/>
  <c r="E16" i="10"/>
  <c r="D16" i="10"/>
  <c r="C16" i="10"/>
  <c r="B16" i="10"/>
  <c r="CM15" i="10"/>
  <c r="CL15" i="10"/>
  <c r="CK15" i="10"/>
  <c r="CJ15" i="10"/>
  <c r="CI15" i="10"/>
  <c r="CH15" i="10"/>
  <c r="CG15" i="10"/>
  <c r="CF15" i="10"/>
  <c r="CE15" i="10"/>
  <c r="CD15" i="10"/>
  <c r="CC15" i="10"/>
  <c r="CB15" i="10"/>
  <c r="CA15" i="10"/>
  <c r="BZ15" i="10"/>
  <c r="BY15" i="10"/>
  <c r="BX15" i="10"/>
  <c r="BW15" i="10"/>
  <c r="BV15" i="10"/>
  <c r="BU15" i="10"/>
  <c r="BT15" i="10"/>
  <c r="BS15" i="10"/>
  <c r="BR15" i="10"/>
  <c r="BQ15" i="10"/>
  <c r="BP15" i="10"/>
  <c r="BO15" i="10"/>
  <c r="BN15" i="10"/>
  <c r="BM15" i="10"/>
  <c r="BL15" i="10"/>
  <c r="BK15" i="10"/>
  <c r="BJ15" i="10"/>
  <c r="BI15" i="10"/>
  <c r="BH15" i="10"/>
  <c r="BG15" i="10"/>
  <c r="BF15" i="10"/>
  <c r="BE15" i="10"/>
  <c r="BD15" i="10"/>
  <c r="BC15" i="10"/>
  <c r="BB15" i="10"/>
  <c r="BA15" i="10"/>
  <c r="AZ15" i="10"/>
  <c r="AY15" i="10"/>
  <c r="AX15" i="10"/>
  <c r="AW15" i="10"/>
  <c r="AV15" i="10"/>
  <c r="AU15" i="10"/>
  <c r="AT15" i="10"/>
  <c r="AS15" i="10"/>
  <c r="AR15" i="10"/>
  <c r="AQ15" i="10"/>
  <c r="AP15" i="10"/>
  <c r="AO15" i="10"/>
  <c r="AN15" i="10"/>
  <c r="AM15" i="10"/>
  <c r="AL15" i="10"/>
  <c r="AK15" i="10"/>
  <c r="AJ15" i="10"/>
  <c r="AI15" i="10"/>
  <c r="AH15" i="10"/>
  <c r="AG15" i="10"/>
  <c r="AF15" i="10"/>
  <c r="AE15" i="10"/>
  <c r="AE27" i="10" s="1"/>
  <c r="AE52" i="5" s="1"/>
  <c r="AD15" i="10"/>
  <c r="AD27" i="10" s="1"/>
  <c r="AD52" i="6" s="1"/>
  <c r="AC15" i="10"/>
  <c r="AB15" i="10"/>
  <c r="AA15" i="10"/>
  <c r="AA27" i="10" s="1"/>
  <c r="AA52" i="5" s="1"/>
  <c r="Z15" i="10"/>
  <c r="Z27" i="10" s="1"/>
  <c r="Z52" i="6" s="1"/>
  <c r="Y15" i="10"/>
  <c r="X15" i="10"/>
  <c r="W15" i="10"/>
  <c r="W27" i="10" s="1"/>
  <c r="W52" i="5" s="1"/>
  <c r="V15" i="10"/>
  <c r="V27" i="10" s="1"/>
  <c r="V52" i="6" s="1"/>
  <c r="U15" i="10"/>
  <c r="T15" i="10"/>
  <c r="S15" i="10"/>
  <c r="S27" i="10" s="1"/>
  <c r="S52" i="5" s="1"/>
  <c r="R15" i="10"/>
  <c r="R27" i="10" s="1"/>
  <c r="R52" i="6" s="1"/>
  <c r="Q15" i="10"/>
  <c r="P15" i="10"/>
  <c r="O15" i="10"/>
  <c r="O27" i="10" s="1"/>
  <c r="O52" i="5" s="1"/>
  <c r="N15" i="10"/>
  <c r="N27" i="10" s="1"/>
  <c r="N52" i="6" s="1"/>
  <c r="M15" i="10"/>
  <c r="L15" i="10"/>
  <c r="K15" i="10"/>
  <c r="K27" i="10" s="1"/>
  <c r="K52" i="5" s="1"/>
  <c r="J15" i="10"/>
  <c r="J27" i="10" s="1"/>
  <c r="J52" i="6" s="1"/>
  <c r="I15" i="10"/>
  <c r="H15" i="10"/>
  <c r="G15" i="10"/>
  <c r="G27" i="10" s="1"/>
  <c r="G52" i="5" s="1"/>
  <c r="F15" i="10"/>
  <c r="F27" i="10" s="1"/>
  <c r="F52" i="6" s="1"/>
  <c r="E15" i="10"/>
  <c r="D15" i="10"/>
  <c r="C15" i="10"/>
  <c r="C27" i="10" s="1"/>
  <c r="C52" i="5" s="1"/>
  <c r="B15" i="10"/>
  <c r="B27" i="10" s="1"/>
  <c r="B52" i="6" s="1"/>
  <c r="BK40" i="9"/>
  <c r="BU39" i="9" s="1"/>
  <c r="BJ40" i="9"/>
  <c r="BI40" i="9"/>
  <c r="BH40" i="9"/>
  <c r="BG40" i="9"/>
  <c r="BF40" i="9"/>
  <c r="BE40" i="9"/>
  <c r="BD40" i="9"/>
  <c r="BC40" i="9"/>
  <c r="BB40" i="9"/>
  <c r="BA40" i="9"/>
  <c r="BT39" i="9" s="1"/>
  <c r="AZ40" i="9"/>
  <c r="AY40" i="9"/>
  <c r="AX40" i="9"/>
  <c r="AW40" i="9"/>
  <c r="AV40" i="9"/>
  <c r="AU40" i="9"/>
  <c r="AT40" i="9"/>
  <c r="AS40" i="9"/>
  <c r="AR40" i="9"/>
  <c r="AQ40" i="9"/>
  <c r="BS39" i="9" s="1"/>
  <c r="AP40" i="9"/>
  <c r="AO40" i="9"/>
  <c r="AN40" i="9"/>
  <c r="AM40" i="9"/>
  <c r="AL40" i="9"/>
  <c r="AK40" i="9"/>
  <c r="AJ40" i="9"/>
  <c r="AI40" i="9"/>
  <c r="AH40" i="9"/>
  <c r="AG40" i="9"/>
  <c r="BR39" i="9" s="1"/>
  <c r="AF40" i="9"/>
  <c r="AE40" i="9"/>
  <c r="AD40" i="9"/>
  <c r="AC40" i="9"/>
  <c r="AB40" i="9"/>
  <c r="AA40" i="9"/>
  <c r="Z40" i="9"/>
  <c r="Y40" i="9"/>
  <c r="X40" i="9"/>
  <c r="W40" i="9"/>
  <c r="BQ39" i="9" s="1"/>
  <c r="V40" i="9"/>
  <c r="U40" i="9"/>
  <c r="T40" i="9"/>
  <c r="S40" i="9"/>
  <c r="R40" i="9"/>
  <c r="Q40" i="9"/>
  <c r="P40" i="9"/>
  <c r="O40" i="9"/>
  <c r="N40" i="9"/>
  <c r="M40" i="9"/>
  <c r="BP39" i="9" s="1"/>
  <c r="L40" i="9"/>
  <c r="K40" i="9"/>
  <c r="J40" i="9"/>
  <c r="I40" i="9"/>
  <c r="H40" i="9"/>
  <c r="G40" i="9"/>
  <c r="F40" i="9"/>
  <c r="E40" i="9"/>
  <c r="D40" i="9"/>
  <c r="BO39" i="9" s="1"/>
  <c r="BK39" i="9"/>
  <c r="BU38" i="9" s="1"/>
  <c r="BJ39" i="9"/>
  <c r="BI39" i="9"/>
  <c r="BH39" i="9"/>
  <c r="BG39" i="9"/>
  <c r="BF39" i="9"/>
  <c r="BE39" i="9"/>
  <c r="BD39" i="9"/>
  <c r="BC39" i="9"/>
  <c r="BB39" i="9"/>
  <c r="BA39" i="9"/>
  <c r="BT38" i="9" s="1"/>
  <c r="AZ39" i="9"/>
  <c r="AY39" i="9"/>
  <c r="AX39" i="9"/>
  <c r="AW39" i="9"/>
  <c r="AV39" i="9"/>
  <c r="AU39" i="9"/>
  <c r="AT39" i="9"/>
  <c r="AS39" i="9"/>
  <c r="AR39" i="9"/>
  <c r="AQ39" i="9"/>
  <c r="BS38" i="9" s="1"/>
  <c r="AP39" i="9"/>
  <c r="AO39" i="9"/>
  <c r="AN39" i="9"/>
  <c r="AM39" i="9"/>
  <c r="AL39" i="9"/>
  <c r="AK39" i="9"/>
  <c r="AJ39" i="9"/>
  <c r="AI39" i="9"/>
  <c r="AH39" i="9"/>
  <c r="AG39" i="9"/>
  <c r="BR38" i="9" s="1"/>
  <c r="AF39" i="9"/>
  <c r="AE39" i="9"/>
  <c r="AD39" i="9"/>
  <c r="AC39" i="9"/>
  <c r="AB39" i="9"/>
  <c r="AA39" i="9"/>
  <c r="Z39" i="9"/>
  <c r="Y39" i="9"/>
  <c r="X39" i="9"/>
  <c r="W39" i="9"/>
  <c r="BQ38" i="9" s="1"/>
  <c r="V39" i="9"/>
  <c r="U39" i="9"/>
  <c r="T39" i="9"/>
  <c r="S39" i="9"/>
  <c r="R39" i="9"/>
  <c r="Q39" i="9"/>
  <c r="P39" i="9"/>
  <c r="O39" i="9"/>
  <c r="N39" i="9"/>
  <c r="M39" i="9"/>
  <c r="BP38" i="9" s="1"/>
  <c r="L39" i="9"/>
  <c r="K39" i="9"/>
  <c r="J39" i="9"/>
  <c r="I39" i="9"/>
  <c r="H39" i="9"/>
  <c r="G39" i="9"/>
  <c r="F39" i="9"/>
  <c r="E39" i="9"/>
  <c r="D39" i="9"/>
  <c r="BO38" i="9" s="1"/>
  <c r="BK38" i="9"/>
  <c r="BU37" i="9" s="1"/>
  <c r="BJ38" i="9"/>
  <c r="BI38" i="9"/>
  <c r="BH38" i="9"/>
  <c r="BG38" i="9"/>
  <c r="BF38" i="9"/>
  <c r="BE38" i="9"/>
  <c r="BD38" i="9"/>
  <c r="BC38" i="9"/>
  <c r="BB38" i="9"/>
  <c r="BA38" i="9"/>
  <c r="BT37" i="9" s="1"/>
  <c r="AZ38" i="9"/>
  <c r="AY38" i="9"/>
  <c r="AX38" i="9"/>
  <c r="AW38" i="9"/>
  <c r="AV38" i="9"/>
  <c r="AU38" i="9"/>
  <c r="AT38" i="9"/>
  <c r="AS38" i="9"/>
  <c r="AR38" i="9"/>
  <c r="AQ38" i="9"/>
  <c r="BS37" i="9" s="1"/>
  <c r="AP38" i="9"/>
  <c r="AO38" i="9"/>
  <c r="AN38" i="9"/>
  <c r="AM38" i="9"/>
  <c r="AL38" i="9"/>
  <c r="AK38" i="9"/>
  <c r="AJ38" i="9"/>
  <c r="AI38" i="9"/>
  <c r="AH38" i="9"/>
  <c r="AG38" i="9"/>
  <c r="BR37" i="9" s="1"/>
  <c r="AF38" i="9"/>
  <c r="AE38" i="9"/>
  <c r="AD38" i="9"/>
  <c r="AC38" i="9"/>
  <c r="AB38" i="9"/>
  <c r="AA38" i="9"/>
  <c r="Z38" i="9"/>
  <c r="Y38" i="9"/>
  <c r="X38" i="9"/>
  <c r="W38" i="9"/>
  <c r="BQ37" i="9" s="1"/>
  <c r="V38" i="9"/>
  <c r="U38" i="9"/>
  <c r="T38" i="9"/>
  <c r="S38" i="9"/>
  <c r="R38" i="9"/>
  <c r="Q38" i="9"/>
  <c r="P38" i="9"/>
  <c r="O38" i="9"/>
  <c r="N38" i="9"/>
  <c r="M38" i="9"/>
  <c r="BP37" i="9" s="1"/>
  <c r="L38" i="9"/>
  <c r="K38" i="9"/>
  <c r="J38" i="9"/>
  <c r="I38" i="9"/>
  <c r="H38" i="9"/>
  <c r="G38" i="9"/>
  <c r="F38" i="9"/>
  <c r="E38" i="9"/>
  <c r="D38" i="9"/>
  <c r="BO37" i="9" s="1"/>
  <c r="BK37" i="9"/>
  <c r="BU36" i="9" s="1"/>
  <c r="BJ37" i="9"/>
  <c r="BI37" i="9"/>
  <c r="BH37" i="9"/>
  <c r="BG37" i="9"/>
  <c r="BF37" i="9"/>
  <c r="BE37" i="9"/>
  <c r="BD37" i="9"/>
  <c r="BC37" i="9"/>
  <c r="BB37" i="9"/>
  <c r="BA37" i="9"/>
  <c r="BT36" i="9" s="1"/>
  <c r="AZ37" i="9"/>
  <c r="AY37" i="9"/>
  <c r="AX37" i="9"/>
  <c r="AW37" i="9"/>
  <c r="AV37" i="9"/>
  <c r="AU37" i="9"/>
  <c r="AT37" i="9"/>
  <c r="AS37" i="9"/>
  <c r="AR37" i="9"/>
  <c r="AQ37" i="9"/>
  <c r="BS36" i="9" s="1"/>
  <c r="AP37" i="9"/>
  <c r="AO37" i="9"/>
  <c r="AN37" i="9"/>
  <c r="AM37" i="9"/>
  <c r="AL37" i="9"/>
  <c r="AK37" i="9"/>
  <c r="AJ37" i="9"/>
  <c r="AI37" i="9"/>
  <c r="AH37" i="9"/>
  <c r="AG37" i="9"/>
  <c r="BR36" i="9" s="1"/>
  <c r="AF37" i="9"/>
  <c r="AE37" i="9"/>
  <c r="AD37" i="9"/>
  <c r="AC37" i="9"/>
  <c r="AB37" i="9"/>
  <c r="AA37" i="9"/>
  <c r="Z37" i="9"/>
  <c r="Y37" i="9"/>
  <c r="X37" i="9"/>
  <c r="W37" i="9"/>
  <c r="BQ36" i="9" s="1"/>
  <c r="V37" i="9"/>
  <c r="U37" i="9"/>
  <c r="T37" i="9"/>
  <c r="S37" i="9"/>
  <c r="R37" i="9"/>
  <c r="Q37" i="9"/>
  <c r="P37" i="9"/>
  <c r="O37" i="9"/>
  <c r="N37" i="9"/>
  <c r="M37" i="9"/>
  <c r="BP36" i="9" s="1"/>
  <c r="L37" i="9"/>
  <c r="K37" i="9"/>
  <c r="J37" i="9"/>
  <c r="I37" i="9"/>
  <c r="H37" i="9"/>
  <c r="G37" i="9"/>
  <c r="F37" i="9"/>
  <c r="E37" i="9"/>
  <c r="D37" i="9"/>
  <c r="BO36" i="9" s="1"/>
  <c r="BK36" i="9"/>
  <c r="BU35" i="9" s="1"/>
  <c r="BJ36" i="9"/>
  <c r="BI36" i="9"/>
  <c r="BH36" i="9"/>
  <c r="BG36" i="9"/>
  <c r="BF36" i="9"/>
  <c r="BE36" i="9"/>
  <c r="BD36" i="9"/>
  <c r="BC36" i="9"/>
  <c r="BB36" i="9"/>
  <c r="BA36" i="9"/>
  <c r="BT35" i="9" s="1"/>
  <c r="AZ36" i="9"/>
  <c r="AY36" i="9"/>
  <c r="AX36" i="9"/>
  <c r="AW36" i="9"/>
  <c r="AV36" i="9"/>
  <c r="AU36" i="9"/>
  <c r="AT36" i="9"/>
  <c r="AS36" i="9"/>
  <c r="AR36" i="9"/>
  <c r="AQ36" i="9"/>
  <c r="BS35" i="9" s="1"/>
  <c r="AP36" i="9"/>
  <c r="AO36" i="9"/>
  <c r="AN36" i="9"/>
  <c r="AM36" i="9"/>
  <c r="AL36" i="9"/>
  <c r="AK36" i="9"/>
  <c r="AJ36" i="9"/>
  <c r="AI36" i="9"/>
  <c r="AH36" i="9"/>
  <c r="AG36" i="9"/>
  <c r="BR35" i="9" s="1"/>
  <c r="AF36" i="9"/>
  <c r="AE36" i="9"/>
  <c r="AD36" i="9"/>
  <c r="AC36" i="9"/>
  <c r="AB36" i="9"/>
  <c r="AA36" i="9"/>
  <c r="Z36" i="9"/>
  <c r="Y36" i="9"/>
  <c r="X36" i="9"/>
  <c r="W36" i="9"/>
  <c r="BQ35" i="9" s="1"/>
  <c r="V36" i="9"/>
  <c r="U36" i="9"/>
  <c r="T36" i="9"/>
  <c r="S36" i="9"/>
  <c r="R36" i="9"/>
  <c r="Q36" i="9"/>
  <c r="P36" i="9"/>
  <c r="O36" i="9"/>
  <c r="N36" i="9"/>
  <c r="M36" i="9"/>
  <c r="BP35" i="9" s="1"/>
  <c r="L36" i="9"/>
  <c r="K36" i="9"/>
  <c r="J36" i="9"/>
  <c r="I36" i="9"/>
  <c r="H36" i="9"/>
  <c r="G36" i="9"/>
  <c r="F36" i="9"/>
  <c r="E36" i="9"/>
  <c r="D36" i="9"/>
  <c r="BO35" i="9" s="1"/>
  <c r="BK35" i="9"/>
  <c r="BU34" i="9" s="1"/>
  <c r="BJ35" i="9"/>
  <c r="BI35" i="9"/>
  <c r="BH35" i="9"/>
  <c r="BG35" i="9"/>
  <c r="BF35" i="9"/>
  <c r="BE35" i="9"/>
  <c r="BD35" i="9"/>
  <c r="BC35" i="9"/>
  <c r="BB35" i="9"/>
  <c r="BA35" i="9"/>
  <c r="BT34" i="9" s="1"/>
  <c r="AZ35" i="9"/>
  <c r="AY35" i="9"/>
  <c r="AX35" i="9"/>
  <c r="AW35" i="9"/>
  <c r="AV35" i="9"/>
  <c r="AU35" i="9"/>
  <c r="AT35" i="9"/>
  <c r="AS35" i="9"/>
  <c r="AR35" i="9"/>
  <c r="AQ35" i="9"/>
  <c r="BS34" i="9" s="1"/>
  <c r="AP35" i="9"/>
  <c r="AO35" i="9"/>
  <c r="AN35" i="9"/>
  <c r="AM35" i="9"/>
  <c r="AL35" i="9"/>
  <c r="AK35" i="9"/>
  <c r="AJ35" i="9"/>
  <c r="AI35" i="9"/>
  <c r="AH35" i="9"/>
  <c r="AG35" i="9"/>
  <c r="BR34" i="9" s="1"/>
  <c r="AF35" i="9"/>
  <c r="AE35" i="9"/>
  <c r="AD35" i="9"/>
  <c r="AC35" i="9"/>
  <c r="AB35" i="9"/>
  <c r="AA35" i="9"/>
  <c r="Z35" i="9"/>
  <c r="Y35" i="9"/>
  <c r="X35" i="9"/>
  <c r="W35" i="9"/>
  <c r="BQ34" i="9" s="1"/>
  <c r="V35" i="9"/>
  <c r="U35" i="9"/>
  <c r="T35" i="9"/>
  <c r="S35" i="9"/>
  <c r="R35" i="9"/>
  <c r="Q35" i="9"/>
  <c r="P35" i="9"/>
  <c r="O35" i="9"/>
  <c r="N35" i="9"/>
  <c r="M35" i="9"/>
  <c r="BP34" i="9" s="1"/>
  <c r="L35" i="9"/>
  <c r="K35" i="9"/>
  <c r="J35" i="9"/>
  <c r="I35" i="9"/>
  <c r="H35" i="9"/>
  <c r="G35" i="9"/>
  <c r="F35" i="9"/>
  <c r="E35" i="9"/>
  <c r="D35" i="9"/>
  <c r="BO34" i="9" s="1"/>
  <c r="BK34" i="9"/>
  <c r="BU33" i="9" s="1"/>
  <c r="BJ34" i="9"/>
  <c r="BI34" i="9"/>
  <c r="BH34" i="9"/>
  <c r="BG34" i="9"/>
  <c r="BF34" i="9"/>
  <c r="BE34" i="9"/>
  <c r="BD34" i="9"/>
  <c r="BC34" i="9"/>
  <c r="BB34" i="9"/>
  <c r="BA34" i="9"/>
  <c r="BT33" i="9" s="1"/>
  <c r="AZ34" i="9"/>
  <c r="AY34" i="9"/>
  <c r="AX34" i="9"/>
  <c r="AW34" i="9"/>
  <c r="AV34" i="9"/>
  <c r="AU34" i="9"/>
  <c r="AT34" i="9"/>
  <c r="AS34" i="9"/>
  <c r="AR34" i="9"/>
  <c r="AQ34" i="9"/>
  <c r="BS33" i="9" s="1"/>
  <c r="AP34" i="9"/>
  <c r="AO34" i="9"/>
  <c r="AN34" i="9"/>
  <c r="AM34" i="9"/>
  <c r="AL34" i="9"/>
  <c r="AK34" i="9"/>
  <c r="AJ34" i="9"/>
  <c r="AI34" i="9"/>
  <c r="AH34" i="9"/>
  <c r="AG34" i="9"/>
  <c r="BR33" i="9" s="1"/>
  <c r="AF34" i="9"/>
  <c r="AE34" i="9"/>
  <c r="AD34" i="9"/>
  <c r="AC34" i="9"/>
  <c r="AB34" i="9"/>
  <c r="AA34" i="9"/>
  <c r="Z34" i="9"/>
  <c r="Y34" i="9"/>
  <c r="X34" i="9"/>
  <c r="W34" i="9"/>
  <c r="BQ33" i="9" s="1"/>
  <c r="V34" i="9"/>
  <c r="U34" i="9"/>
  <c r="T34" i="9"/>
  <c r="S34" i="9"/>
  <c r="R34" i="9"/>
  <c r="Q34" i="9"/>
  <c r="P34" i="9"/>
  <c r="O34" i="9"/>
  <c r="N34" i="9"/>
  <c r="M34" i="9"/>
  <c r="BP33" i="9" s="1"/>
  <c r="L34" i="9"/>
  <c r="K34" i="9"/>
  <c r="J34" i="9"/>
  <c r="I34" i="9"/>
  <c r="H34" i="9"/>
  <c r="G34" i="9"/>
  <c r="F34" i="9"/>
  <c r="E34" i="9"/>
  <c r="D34" i="9"/>
  <c r="BO33" i="9" s="1"/>
  <c r="BK32" i="9"/>
  <c r="BU32" i="9" s="1"/>
  <c r="BJ32" i="9"/>
  <c r="BI32" i="9"/>
  <c r="BH32" i="9"/>
  <c r="BG32" i="9"/>
  <c r="BF32" i="9"/>
  <c r="BE32" i="9"/>
  <c r="BD32" i="9"/>
  <c r="BC32" i="9"/>
  <c r="BB32" i="9"/>
  <c r="BA32" i="9"/>
  <c r="BT32" i="9" s="1"/>
  <c r="AZ32" i="9"/>
  <c r="AY32" i="9"/>
  <c r="AX32" i="9"/>
  <c r="AW32" i="9"/>
  <c r="AV32" i="9"/>
  <c r="AU32" i="9"/>
  <c r="AT32" i="9"/>
  <c r="AS32" i="9"/>
  <c r="AR32" i="9"/>
  <c r="AQ32" i="9"/>
  <c r="BS32" i="9" s="1"/>
  <c r="AP32" i="9"/>
  <c r="AO32" i="9"/>
  <c r="AN32" i="9"/>
  <c r="AM32" i="9"/>
  <c r="AL32" i="9"/>
  <c r="AK32" i="9"/>
  <c r="AJ32" i="9"/>
  <c r="AI32" i="9"/>
  <c r="AH32" i="9"/>
  <c r="AG32" i="9"/>
  <c r="BR32" i="9" s="1"/>
  <c r="AF32" i="9"/>
  <c r="AE32" i="9"/>
  <c r="AD32" i="9"/>
  <c r="AC32" i="9"/>
  <c r="AB32" i="9"/>
  <c r="AA32" i="9"/>
  <c r="Z32" i="9"/>
  <c r="Y32" i="9"/>
  <c r="X32" i="9"/>
  <c r="W32" i="9"/>
  <c r="BQ32" i="9" s="1"/>
  <c r="V32" i="9"/>
  <c r="U32" i="9"/>
  <c r="T32" i="9"/>
  <c r="S32" i="9"/>
  <c r="R32" i="9"/>
  <c r="Q32" i="9"/>
  <c r="P32" i="9"/>
  <c r="O32" i="9"/>
  <c r="N32" i="9"/>
  <c r="M32" i="9"/>
  <c r="BP32" i="9" s="1"/>
  <c r="L32" i="9"/>
  <c r="K32" i="9"/>
  <c r="J32" i="9"/>
  <c r="I32" i="9"/>
  <c r="H32" i="9"/>
  <c r="G32" i="9"/>
  <c r="F32" i="9"/>
  <c r="E32" i="9"/>
  <c r="D32" i="9"/>
  <c r="BO32" i="9" s="1"/>
  <c r="BK31" i="9"/>
  <c r="BU31" i="9" s="1"/>
  <c r="BJ31" i="9"/>
  <c r="BI31" i="9"/>
  <c r="BH31" i="9"/>
  <c r="BG31" i="9"/>
  <c r="BF31" i="9"/>
  <c r="BE31" i="9"/>
  <c r="BD31" i="9"/>
  <c r="BC31" i="9"/>
  <c r="BB31" i="9"/>
  <c r="BA31" i="9"/>
  <c r="BT31" i="9" s="1"/>
  <c r="AZ31" i="9"/>
  <c r="AY31" i="9"/>
  <c r="AX31" i="9"/>
  <c r="AW31" i="9"/>
  <c r="AV31" i="9"/>
  <c r="AU31" i="9"/>
  <c r="AT31" i="9"/>
  <c r="AS31" i="9"/>
  <c r="AR31" i="9"/>
  <c r="AQ31" i="9"/>
  <c r="BS31" i="9" s="1"/>
  <c r="AP31" i="9"/>
  <c r="AO31" i="9"/>
  <c r="AN31" i="9"/>
  <c r="AM31" i="9"/>
  <c r="AL31" i="9"/>
  <c r="AK31" i="9"/>
  <c r="AJ31" i="9"/>
  <c r="AI31" i="9"/>
  <c r="AH31" i="9"/>
  <c r="AG31" i="9"/>
  <c r="BR31" i="9" s="1"/>
  <c r="AF31" i="9"/>
  <c r="AE31" i="9"/>
  <c r="AD31" i="9"/>
  <c r="AC31" i="9"/>
  <c r="AB31" i="9"/>
  <c r="AA31" i="9"/>
  <c r="Z31" i="9"/>
  <c r="Y31" i="9"/>
  <c r="X31" i="9"/>
  <c r="W31" i="9"/>
  <c r="BQ31" i="9" s="1"/>
  <c r="V31" i="9"/>
  <c r="U31" i="9"/>
  <c r="T31" i="9"/>
  <c r="S31" i="9"/>
  <c r="R31" i="9"/>
  <c r="Q31" i="9"/>
  <c r="P31" i="9"/>
  <c r="O31" i="9"/>
  <c r="N31" i="9"/>
  <c r="M31" i="9"/>
  <c r="BP31" i="9" s="1"/>
  <c r="L31" i="9"/>
  <c r="K31" i="9"/>
  <c r="J31" i="9"/>
  <c r="I31" i="9"/>
  <c r="H31" i="9"/>
  <c r="G31" i="9"/>
  <c r="F31" i="9"/>
  <c r="E31" i="9"/>
  <c r="D31" i="9"/>
  <c r="BO31" i="9" s="1"/>
  <c r="BK30" i="9"/>
  <c r="BU30" i="9" s="1"/>
  <c r="BJ30" i="9"/>
  <c r="BI30" i="9"/>
  <c r="BH30" i="9"/>
  <c r="BG30" i="9"/>
  <c r="BF30" i="9"/>
  <c r="BE30" i="9"/>
  <c r="BD30" i="9"/>
  <c r="BC30" i="9"/>
  <c r="BB30" i="9"/>
  <c r="BA30" i="9"/>
  <c r="BT30" i="9" s="1"/>
  <c r="AZ30" i="9"/>
  <c r="AY30" i="9"/>
  <c r="AX30" i="9"/>
  <c r="AW30" i="9"/>
  <c r="AV30" i="9"/>
  <c r="AU30" i="9"/>
  <c r="AT30" i="9"/>
  <c r="AS30" i="9"/>
  <c r="AR30" i="9"/>
  <c r="AQ30" i="9"/>
  <c r="BS30" i="9" s="1"/>
  <c r="AP30" i="9"/>
  <c r="AO30" i="9"/>
  <c r="AN30" i="9"/>
  <c r="AM30" i="9"/>
  <c r="AL30" i="9"/>
  <c r="AK30" i="9"/>
  <c r="AJ30" i="9"/>
  <c r="AI30" i="9"/>
  <c r="AH30" i="9"/>
  <c r="AG30" i="9"/>
  <c r="BR30" i="9" s="1"/>
  <c r="AF30" i="9"/>
  <c r="AE30" i="9"/>
  <c r="AD30" i="9"/>
  <c r="AC30" i="9"/>
  <c r="AB30" i="9"/>
  <c r="AA30" i="9"/>
  <c r="Z30" i="9"/>
  <c r="Y30" i="9"/>
  <c r="X30" i="9"/>
  <c r="W30" i="9"/>
  <c r="BQ30" i="9" s="1"/>
  <c r="V30" i="9"/>
  <c r="U30" i="9"/>
  <c r="T30" i="9"/>
  <c r="S30" i="9"/>
  <c r="R30" i="9"/>
  <c r="Q30" i="9"/>
  <c r="P30" i="9"/>
  <c r="O30" i="9"/>
  <c r="N30" i="9"/>
  <c r="M30" i="9"/>
  <c r="BP30" i="9" s="1"/>
  <c r="L30" i="9"/>
  <c r="K30" i="9"/>
  <c r="J30" i="9"/>
  <c r="I30" i="9"/>
  <c r="H30" i="9"/>
  <c r="G30" i="9"/>
  <c r="F30" i="9"/>
  <c r="E30" i="9"/>
  <c r="D30" i="9"/>
  <c r="BO30" i="9" s="1"/>
  <c r="BK29" i="9"/>
  <c r="BU29" i="9" s="1"/>
  <c r="BJ29" i="9"/>
  <c r="BI29" i="9"/>
  <c r="BH29" i="9"/>
  <c r="BG29" i="9"/>
  <c r="BF29" i="9"/>
  <c r="BE29" i="9"/>
  <c r="BD29" i="9"/>
  <c r="BC29" i="9"/>
  <c r="BB29" i="9"/>
  <c r="BA29" i="9"/>
  <c r="BT29" i="9" s="1"/>
  <c r="AZ29" i="9"/>
  <c r="AY29" i="9"/>
  <c r="AX29" i="9"/>
  <c r="AW29" i="9"/>
  <c r="AV29" i="9"/>
  <c r="AU29" i="9"/>
  <c r="AT29" i="9"/>
  <c r="AS29" i="9"/>
  <c r="AR29" i="9"/>
  <c r="AQ29" i="9"/>
  <c r="BS29" i="9" s="1"/>
  <c r="AP29" i="9"/>
  <c r="AO29" i="9"/>
  <c r="AN29" i="9"/>
  <c r="AM29" i="9"/>
  <c r="AL29" i="9"/>
  <c r="AK29" i="9"/>
  <c r="AJ29" i="9"/>
  <c r="AI29" i="9"/>
  <c r="AH29" i="9"/>
  <c r="AG29" i="9"/>
  <c r="BR29" i="9" s="1"/>
  <c r="AF29" i="9"/>
  <c r="AE29" i="9"/>
  <c r="AD29" i="9"/>
  <c r="AC29" i="9"/>
  <c r="AB29" i="9"/>
  <c r="AA29" i="9"/>
  <c r="Z29" i="9"/>
  <c r="Y29" i="9"/>
  <c r="X29" i="9"/>
  <c r="W29" i="9"/>
  <c r="BQ29" i="9" s="1"/>
  <c r="V29" i="9"/>
  <c r="U29" i="9"/>
  <c r="T29" i="9"/>
  <c r="S29" i="9"/>
  <c r="R29" i="9"/>
  <c r="Q29" i="9"/>
  <c r="P29" i="9"/>
  <c r="O29" i="9"/>
  <c r="N29" i="9"/>
  <c r="M29" i="9"/>
  <c r="BP29" i="9" s="1"/>
  <c r="L29" i="9"/>
  <c r="K29" i="9"/>
  <c r="J29" i="9"/>
  <c r="I29" i="9"/>
  <c r="H29" i="9"/>
  <c r="G29" i="9"/>
  <c r="F29" i="9"/>
  <c r="E29" i="9"/>
  <c r="D29" i="9"/>
  <c r="BO29" i="9" s="1"/>
  <c r="BK28" i="9"/>
  <c r="BU28" i="9" s="1"/>
  <c r="BJ28" i="9"/>
  <c r="BI28" i="9"/>
  <c r="BH28" i="9"/>
  <c r="BG28" i="9"/>
  <c r="BF28" i="9"/>
  <c r="BE28" i="9"/>
  <c r="BD28" i="9"/>
  <c r="BC28" i="9"/>
  <c r="BB28" i="9"/>
  <c r="BA28" i="9"/>
  <c r="BT28" i="9" s="1"/>
  <c r="AZ28" i="9"/>
  <c r="AY28" i="9"/>
  <c r="AX28" i="9"/>
  <c r="AW28" i="9"/>
  <c r="AV28" i="9"/>
  <c r="AU28" i="9"/>
  <c r="AT28" i="9"/>
  <c r="AS28" i="9"/>
  <c r="AR28" i="9"/>
  <c r="AQ28" i="9"/>
  <c r="BS28" i="9" s="1"/>
  <c r="AP28" i="9"/>
  <c r="AO28" i="9"/>
  <c r="AN28" i="9"/>
  <c r="AM28" i="9"/>
  <c r="AL28" i="9"/>
  <c r="AK28" i="9"/>
  <c r="AJ28" i="9"/>
  <c r="AI28" i="9"/>
  <c r="AH28" i="9"/>
  <c r="AG28" i="9"/>
  <c r="BR28" i="9" s="1"/>
  <c r="AF28" i="9"/>
  <c r="AE28" i="9"/>
  <c r="AD28" i="9"/>
  <c r="AC28" i="9"/>
  <c r="AB28" i="9"/>
  <c r="AA28" i="9"/>
  <c r="Z28" i="9"/>
  <c r="Y28" i="9"/>
  <c r="X28" i="9"/>
  <c r="W28" i="9"/>
  <c r="BQ28" i="9" s="1"/>
  <c r="V28" i="9"/>
  <c r="U28" i="9"/>
  <c r="T28" i="9"/>
  <c r="S28" i="9"/>
  <c r="R28" i="9"/>
  <c r="Q28" i="9"/>
  <c r="P28" i="9"/>
  <c r="O28" i="9"/>
  <c r="N28" i="9"/>
  <c r="M28" i="9"/>
  <c r="BP28" i="9" s="1"/>
  <c r="L28" i="9"/>
  <c r="K28" i="9"/>
  <c r="J28" i="9"/>
  <c r="I28" i="9"/>
  <c r="H28" i="9"/>
  <c r="G28" i="9"/>
  <c r="F28" i="9"/>
  <c r="E28" i="9"/>
  <c r="D28" i="9"/>
  <c r="BO28" i="9" s="1"/>
  <c r="BK27" i="9"/>
  <c r="BU27" i="9" s="1"/>
  <c r="BJ27" i="9"/>
  <c r="BI27" i="9"/>
  <c r="BH27" i="9"/>
  <c r="BG27" i="9"/>
  <c r="BF27" i="9"/>
  <c r="BE27" i="9"/>
  <c r="BD27" i="9"/>
  <c r="BC27" i="9"/>
  <c r="BB27" i="9"/>
  <c r="BA27" i="9"/>
  <c r="BT27" i="9" s="1"/>
  <c r="AZ27" i="9"/>
  <c r="AY27" i="9"/>
  <c r="AX27" i="9"/>
  <c r="AW27" i="9"/>
  <c r="AV27" i="9"/>
  <c r="AU27" i="9"/>
  <c r="AT27" i="9"/>
  <c r="AS27" i="9"/>
  <c r="AR27" i="9"/>
  <c r="AQ27" i="9"/>
  <c r="BS27" i="9" s="1"/>
  <c r="AP27" i="9"/>
  <c r="AO27" i="9"/>
  <c r="AN27" i="9"/>
  <c r="AM27" i="9"/>
  <c r="AL27" i="9"/>
  <c r="AK27" i="9"/>
  <c r="AJ27" i="9"/>
  <c r="AI27" i="9"/>
  <c r="AH27" i="9"/>
  <c r="AG27" i="9"/>
  <c r="BR27" i="9" s="1"/>
  <c r="AF27" i="9"/>
  <c r="AE27" i="9"/>
  <c r="AD27" i="9"/>
  <c r="AC27" i="9"/>
  <c r="AB27" i="9"/>
  <c r="AA27" i="9"/>
  <c r="Z27" i="9"/>
  <c r="Y27" i="9"/>
  <c r="X27" i="9"/>
  <c r="W27" i="9"/>
  <c r="BQ27" i="9" s="1"/>
  <c r="V27" i="9"/>
  <c r="U27" i="9"/>
  <c r="T27" i="9"/>
  <c r="S27" i="9"/>
  <c r="R27" i="9"/>
  <c r="Q27" i="9"/>
  <c r="P27" i="9"/>
  <c r="O27" i="9"/>
  <c r="N27" i="9"/>
  <c r="M27" i="9"/>
  <c r="BP27" i="9" s="1"/>
  <c r="L27" i="9"/>
  <c r="K27" i="9"/>
  <c r="J27" i="9"/>
  <c r="I27" i="9"/>
  <c r="H27" i="9"/>
  <c r="G27" i="9"/>
  <c r="F27" i="9"/>
  <c r="E27" i="9"/>
  <c r="D27" i="9"/>
  <c r="BO27" i="9" s="1"/>
  <c r="BK26" i="9"/>
  <c r="BU26" i="9" s="1"/>
  <c r="BJ26" i="9"/>
  <c r="BI26" i="9"/>
  <c r="BH26" i="9"/>
  <c r="BG26" i="9"/>
  <c r="BF26" i="9"/>
  <c r="BE26" i="9"/>
  <c r="BD26" i="9"/>
  <c r="BC26" i="9"/>
  <c r="BB26" i="9"/>
  <c r="BA26" i="9"/>
  <c r="BT26" i="9" s="1"/>
  <c r="AZ26" i="9"/>
  <c r="AY26" i="9"/>
  <c r="AX26" i="9"/>
  <c r="AW26" i="9"/>
  <c r="AV26" i="9"/>
  <c r="AU26" i="9"/>
  <c r="AT26" i="9"/>
  <c r="AS26" i="9"/>
  <c r="AR26" i="9"/>
  <c r="AQ26" i="9"/>
  <c r="BS26" i="9" s="1"/>
  <c r="AP26" i="9"/>
  <c r="AO26" i="9"/>
  <c r="AN26" i="9"/>
  <c r="AM26" i="9"/>
  <c r="AL26" i="9"/>
  <c r="AK26" i="9"/>
  <c r="AJ26" i="9"/>
  <c r="AI26" i="9"/>
  <c r="AH26" i="9"/>
  <c r="AG26" i="9"/>
  <c r="BR26" i="9" s="1"/>
  <c r="AF26" i="9"/>
  <c r="AE26" i="9"/>
  <c r="AD26" i="9"/>
  <c r="AC26" i="9"/>
  <c r="AB26" i="9"/>
  <c r="AA26" i="9"/>
  <c r="Z26" i="9"/>
  <c r="Y26" i="9"/>
  <c r="X26" i="9"/>
  <c r="W26" i="9"/>
  <c r="BQ26" i="9" s="1"/>
  <c r="V26" i="9"/>
  <c r="U26" i="9"/>
  <c r="T26" i="9"/>
  <c r="S26" i="9"/>
  <c r="R26" i="9"/>
  <c r="Q26" i="9"/>
  <c r="P26" i="9"/>
  <c r="O26" i="9"/>
  <c r="N26" i="9"/>
  <c r="M26" i="9"/>
  <c r="BP26" i="9" s="1"/>
  <c r="L26" i="9"/>
  <c r="K26" i="9"/>
  <c r="J26" i="9"/>
  <c r="I26" i="9"/>
  <c r="H26" i="9"/>
  <c r="G26" i="9"/>
  <c r="F26" i="9"/>
  <c r="E26" i="9"/>
  <c r="D26" i="9"/>
  <c r="BO26" i="9" s="1"/>
  <c r="BK24" i="9"/>
  <c r="BJ24" i="9"/>
  <c r="BI24" i="9"/>
  <c r="BH24" i="9"/>
  <c r="BG24" i="9"/>
  <c r="BF24" i="9"/>
  <c r="BE24" i="9"/>
  <c r="BD24" i="9"/>
  <c r="BC24" i="9"/>
  <c r="BB24" i="9"/>
  <c r="BA24" i="9"/>
  <c r="BT23" i="9" s="1"/>
  <c r="AZ24" i="9"/>
  <c r="AY24" i="9"/>
  <c r="AX24" i="9"/>
  <c r="AW24" i="9"/>
  <c r="AV24" i="9"/>
  <c r="AU24" i="9"/>
  <c r="AT24" i="9"/>
  <c r="AS24" i="9"/>
  <c r="AR24" i="9"/>
  <c r="AQ24" i="9"/>
  <c r="BS23" i="9" s="1"/>
  <c r="AP24" i="9"/>
  <c r="AO24" i="9"/>
  <c r="AN24" i="9"/>
  <c r="AM24" i="9"/>
  <c r="AL24" i="9"/>
  <c r="AK24" i="9"/>
  <c r="AJ24" i="9"/>
  <c r="AI24" i="9"/>
  <c r="AH24" i="9"/>
  <c r="AG24" i="9"/>
  <c r="BR23" i="9" s="1"/>
  <c r="AF24" i="9"/>
  <c r="AE24" i="9"/>
  <c r="AD24" i="9"/>
  <c r="AC24" i="9"/>
  <c r="AB24" i="9"/>
  <c r="AA24" i="9"/>
  <c r="Z24" i="9"/>
  <c r="Y24" i="9"/>
  <c r="X24" i="9"/>
  <c r="W24" i="9"/>
  <c r="BQ23" i="9" s="1"/>
  <c r="V24" i="9"/>
  <c r="U24" i="9"/>
  <c r="T24" i="9"/>
  <c r="S24" i="9"/>
  <c r="R24" i="9"/>
  <c r="Q24" i="9"/>
  <c r="P24" i="9"/>
  <c r="O24" i="9"/>
  <c r="N24" i="9"/>
  <c r="M24" i="9"/>
  <c r="BP23" i="9" s="1"/>
  <c r="L24" i="9"/>
  <c r="K24" i="9"/>
  <c r="J24" i="9"/>
  <c r="I24" i="9"/>
  <c r="H24" i="9"/>
  <c r="G24" i="9"/>
  <c r="F24" i="9"/>
  <c r="E24" i="9"/>
  <c r="D24" i="9"/>
  <c r="BO23" i="9" s="1"/>
  <c r="BK23" i="9"/>
  <c r="BJ23" i="9"/>
  <c r="BI23" i="9"/>
  <c r="BH23" i="9"/>
  <c r="BG23" i="9"/>
  <c r="BF23" i="9"/>
  <c r="BE23" i="9"/>
  <c r="BD23" i="9"/>
  <c r="BC23" i="9"/>
  <c r="BB23" i="9"/>
  <c r="BA23" i="9"/>
  <c r="BT22" i="9" s="1"/>
  <c r="AZ23" i="9"/>
  <c r="AY23" i="9"/>
  <c r="AX23" i="9"/>
  <c r="AW23" i="9"/>
  <c r="AV23" i="9"/>
  <c r="AU23" i="9"/>
  <c r="AT23" i="9"/>
  <c r="AS23" i="9"/>
  <c r="AR23" i="9"/>
  <c r="AQ23" i="9"/>
  <c r="BS22" i="9" s="1"/>
  <c r="AP23" i="9"/>
  <c r="AO23" i="9"/>
  <c r="AN23" i="9"/>
  <c r="AM23" i="9"/>
  <c r="AL23" i="9"/>
  <c r="AK23" i="9"/>
  <c r="AJ23" i="9"/>
  <c r="AI23" i="9"/>
  <c r="AH23" i="9"/>
  <c r="AG23" i="9"/>
  <c r="BR22" i="9" s="1"/>
  <c r="AF23" i="9"/>
  <c r="AE23" i="9"/>
  <c r="AD23" i="9"/>
  <c r="AC23" i="9"/>
  <c r="AB23" i="9"/>
  <c r="AA23" i="9"/>
  <c r="Z23" i="9"/>
  <c r="Y23" i="9"/>
  <c r="X23" i="9"/>
  <c r="W23" i="9"/>
  <c r="BQ22" i="9" s="1"/>
  <c r="V23" i="9"/>
  <c r="U23" i="9"/>
  <c r="T23" i="9"/>
  <c r="S23" i="9"/>
  <c r="R23" i="9"/>
  <c r="Q23" i="9"/>
  <c r="P23" i="9"/>
  <c r="O23" i="9"/>
  <c r="N23" i="9"/>
  <c r="M23" i="9"/>
  <c r="BP22" i="9" s="1"/>
  <c r="L23" i="9"/>
  <c r="K23" i="9"/>
  <c r="J23" i="9"/>
  <c r="I23" i="9"/>
  <c r="H23" i="9"/>
  <c r="G23" i="9"/>
  <c r="F23" i="9"/>
  <c r="E23" i="9"/>
  <c r="D23" i="9"/>
  <c r="BO22" i="9" s="1"/>
  <c r="BK22" i="9"/>
  <c r="BJ22" i="9"/>
  <c r="BI22" i="9"/>
  <c r="BH22" i="9"/>
  <c r="BG22" i="9"/>
  <c r="BF22" i="9"/>
  <c r="BE22" i="9"/>
  <c r="BD22" i="9"/>
  <c r="BC22" i="9"/>
  <c r="BB22" i="9"/>
  <c r="BA22" i="9"/>
  <c r="BT21" i="9" s="1"/>
  <c r="AZ22" i="9"/>
  <c r="AY22" i="9"/>
  <c r="AX22" i="9"/>
  <c r="AW22" i="9"/>
  <c r="AV22" i="9"/>
  <c r="AU22" i="9"/>
  <c r="AT22" i="9"/>
  <c r="AS22" i="9"/>
  <c r="AR22" i="9"/>
  <c r="AQ22" i="9"/>
  <c r="BS21" i="9" s="1"/>
  <c r="AP22" i="9"/>
  <c r="AO22" i="9"/>
  <c r="AN22" i="9"/>
  <c r="AM22" i="9"/>
  <c r="AL22" i="9"/>
  <c r="AK22" i="9"/>
  <c r="AJ22" i="9"/>
  <c r="AI22" i="9"/>
  <c r="AH22" i="9"/>
  <c r="AG22" i="9"/>
  <c r="BR21" i="9" s="1"/>
  <c r="AF22" i="9"/>
  <c r="AE22" i="9"/>
  <c r="AD22" i="9"/>
  <c r="AC22" i="9"/>
  <c r="AB22" i="9"/>
  <c r="AA22" i="9"/>
  <c r="Z22" i="9"/>
  <c r="Y22" i="9"/>
  <c r="X22" i="9"/>
  <c r="W22" i="9"/>
  <c r="BQ21" i="9" s="1"/>
  <c r="V22" i="9"/>
  <c r="U22" i="9"/>
  <c r="T22" i="9"/>
  <c r="S22" i="9"/>
  <c r="R22" i="9"/>
  <c r="Q22" i="9"/>
  <c r="P22" i="9"/>
  <c r="O22" i="9"/>
  <c r="N22" i="9"/>
  <c r="M22" i="9"/>
  <c r="BP21" i="9" s="1"/>
  <c r="L22" i="9"/>
  <c r="K22" i="9"/>
  <c r="J22" i="9"/>
  <c r="I22" i="9"/>
  <c r="H22" i="9"/>
  <c r="G22" i="9"/>
  <c r="F22" i="9"/>
  <c r="E22" i="9"/>
  <c r="D22" i="9"/>
  <c r="BO21" i="9" s="1"/>
  <c r="BK21" i="9"/>
  <c r="BJ21" i="9"/>
  <c r="BI21" i="9"/>
  <c r="BH21" i="9"/>
  <c r="BG21" i="9"/>
  <c r="BF21" i="9"/>
  <c r="BE21" i="9"/>
  <c r="BD21" i="9"/>
  <c r="BC21" i="9"/>
  <c r="BB21" i="9"/>
  <c r="BA21" i="9"/>
  <c r="BT20" i="9" s="1"/>
  <c r="AZ21" i="9"/>
  <c r="AY21" i="9"/>
  <c r="AX21" i="9"/>
  <c r="AW21" i="9"/>
  <c r="AV21" i="9"/>
  <c r="AU21" i="9"/>
  <c r="AT21" i="9"/>
  <c r="AS21" i="9"/>
  <c r="AR21" i="9"/>
  <c r="AQ21" i="9"/>
  <c r="BS20" i="9" s="1"/>
  <c r="AP21" i="9"/>
  <c r="AO21" i="9"/>
  <c r="AN21" i="9"/>
  <c r="AM21" i="9"/>
  <c r="AL21" i="9"/>
  <c r="AK21" i="9"/>
  <c r="AJ21" i="9"/>
  <c r="AI21" i="9"/>
  <c r="AH21" i="9"/>
  <c r="AG21" i="9"/>
  <c r="BR20" i="9" s="1"/>
  <c r="AF21" i="9"/>
  <c r="AE21" i="9"/>
  <c r="AD21" i="9"/>
  <c r="AC21" i="9"/>
  <c r="AB21" i="9"/>
  <c r="AA21" i="9"/>
  <c r="Z21" i="9"/>
  <c r="Y21" i="9"/>
  <c r="X21" i="9"/>
  <c r="W21" i="9"/>
  <c r="BQ20" i="9" s="1"/>
  <c r="V21" i="9"/>
  <c r="U21" i="9"/>
  <c r="T21" i="9"/>
  <c r="S21" i="9"/>
  <c r="R21" i="9"/>
  <c r="Q21" i="9"/>
  <c r="P21" i="9"/>
  <c r="O21" i="9"/>
  <c r="N21" i="9"/>
  <c r="M21" i="9"/>
  <c r="BP20" i="9" s="1"/>
  <c r="L21" i="9"/>
  <c r="K21" i="9"/>
  <c r="J21" i="9"/>
  <c r="I21" i="9"/>
  <c r="H21" i="9"/>
  <c r="G21" i="9"/>
  <c r="F21" i="9"/>
  <c r="E21" i="9"/>
  <c r="D21" i="9"/>
  <c r="BO20" i="9" s="1"/>
  <c r="BK20" i="9"/>
  <c r="BJ20" i="9"/>
  <c r="BI20" i="9"/>
  <c r="BH20" i="9"/>
  <c r="BG20" i="9"/>
  <c r="BF20" i="9"/>
  <c r="BE20" i="9"/>
  <c r="BD20" i="9"/>
  <c r="BC20" i="9"/>
  <c r="BB20" i="9"/>
  <c r="BA20" i="9"/>
  <c r="BT19" i="9" s="1"/>
  <c r="AZ20" i="9"/>
  <c r="AY20" i="9"/>
  <c r="AX20" i="9"/>
  <c r="AW20" i="9"/>
  <c r="AV20" i="9"/>
  <c r="AU20" i="9"/>
  <c r="AT20" i="9"/>
  <c r="AS20" i="9"/>
  <c r="AR20" i="9"/>
  <c r="AQ20" i="9"/>
  <c r="BS19" i="9" s="1"/>
  <c r="AP20" i="9"/>
  <c r="AO20" i="9"/>
  <c r="AN20" i="9"/>
  <c r="AM20" i="9"/>
  <c r="AL20" i="9"/>
  <c r="AK20" i="9"/>
  <c r="AJ20" i="9"/>
  <c r="AI20" i="9"/>
  <c r="AH20" i="9"/>
  <c r="AG20" i="9"/>
  <c r="BR19" i="9" s="1"/>
  <c r="AF20" i="9"/>
  <c r="AE20" i="9"/>
  <c r="AD20" i="9"/>
  <c r="AC20" i="9"/>
  <c r="AB20" i="9"/>
  <c r="AA20" i="9"/>
  <c r="Z20" i="9"/>
  <c r="Y20" i="9"/>
  <c r="X20" i="9"/>
  <c r="W20" i="9"/>
  <c r="BQ19" i="9" s="1"/>
  <c r="V20" i="9"/>
  <c r="U20" i="9"/>
  <c r="T20" i="9"/>
  <c r="S20" i="9"/>
  <c r="R20" i="9"/>
  <c r="Q20" i="9"/>
  <c r="P20" i="9"/>
  <c r="O20" i="9"/>
  <c r="N20" i="9"/>
  <c r="M20" i="9"/>
  <c r="BP19" i="9" s="1"/>
  <c r="L20" i="9"/>
  <c r="K20" i="9"/>
  <c r="J20" i="9"/>
  <c r="I20" i="9"/>
  <c r="H20" i="9"/>
  <c r="G20" i="9"/>
  <c r="F20" i="9"/>
  <c r="E20" i="9"/>
  <c r="D20" i="9"/>
  <c r="BO19" i="9" s="1"/>
  <c r="BK19" i="9"/>
  <c r="BJ19" i="9"/>
  <c r="BI19" i="9"/>
  <c r="BH19" i="9"/>
  <c r="BG19" i="9"/>
  <c r="BF19" i="9"/>
  <c r="BE19" i="9"/>
  <c r="BD19" i="9"/>
  <c r="BC19" i="9"/>
  <c r="BB19" i="9"/>
  <c r="BA19" i="9"/>
  <c r="BT18" i="9" s="1"/>
  <c r="AZ19" i="9"/>
  <c r="AY19" i="9"/>
  <c r="AX19" i="9"/>
  <c r="AW19" i="9"/>
  <c r="AV19" i="9"/>
  <c r="AU19" i="9"/>
  <c r="AT19" i="9"/>
  <c r="AS19" i="9"/>
  <c r="AR19" i="9"/>
  <c r="AQ19" i="9"/>
  <c r="BS18" i="9" s="1"/>
  <c r="AP19" i="9"/>
  <c r="AO19" i="9"/>
  <c r="AN19" i="9"/>
  <c r="AM19" i="9"/>
  <c r="AL19" i="9"/>
  <c r="AK19" i="9"/>
  <c r="AJ19" i="9"/>
  <c r="AI19" i="9"/>
  <c r="AH19" i="9"/>
  <c r="AG19" i="9"/>
  <c r="BR18" i="9" s="1"/>
  <c r="AF19" i="9"/>
  <c r="AE19" i="9"/>
  <c r="AD19" i="9"/>
  <c r="AC19" i="9"/>
  <c r="AB19" i="9"/>
  <c r="AA19" i="9"/>
  <c r="Z19" i="9"/>
  <c r="Y19" i="9"/>
  <c r="X19" i="9"/>
  <c r="W19" i="9"/>
  <c r="BQ18" i="9" s="1"/>
  <c r="V19" i="9"/>
  <c r="U19" i="9"/>
  <c r="T19" i="9"/>
  <c r="S19" i="9"/>
  <c r="R19" i="9"/>
  <c r="Q19" i="9"/>
  <c r="P19" i="9"/>
  <c r="O19" i="9"/>
  <c r="N19" i="9"/>
  <c r="M19" i="9"/>
  <c r="BP18" i="9" s="1"/>
  <c r="L19" i="9"/>
  <c r="K19" i="9"/>
  <c r="J19" i="9"/>
  <c r="I19" i="9"/>
  <c r="H19" i="9"/>
  <c r="G19" i="9"/>
  <c r="F19" i="9"/>
  <c r="E19" i="9"/>
  <c r="D19" i="9"/>
  <c r="BO18" i="9" s="1"/>
  <c r="BK18" i="9"/>
  <c r="BJ18" i="9"/>
  <c r="BI18" i="9"/>
  <c r="BH18" i="9"/>
  <c r="BG18" i="9"/>
  <c r="BF18" i="9"/>
  <c r="BE18" i="9"/>
  <c r="BD18" i="9"/>
  <c r="BC18" i="9"/>
  <c r="BB18" i="9"/>
  <c r="BA18" i="9"/>
  <c r="BT17" i="9" s="1"/>
  <c r="AZ18" i="9"/>
  <c r="AY18" i="9"/>
  <c r="AX18" i="9"/>
  <c r="AW18" i="9"/>
  <c r="AV18" i="9"/>
  <c r="AU18" i="9"/>
  <c r="AT18" i="9"/>
  <c r="AS18" i="9"/>
  <c r="AR18" i="9"/>
  <c r="AQ18" i="9"/>
  <c r="BS17" i="9" s="1"/>
  <c r="AP18" i="9"/>
  <c r="AO18" i="9"/>
  <c r="AN18" i="9"/>
  <c r="AM18" i="9"/>
  <c r="AL18" i="9"/>
  <c r="AK18" i="9"/>
  <c r="AJ18" i="9"/>
  <c r="AI18" i="9"/>
  <c r="AH18" i="9"/>
  <c r="AG18" i="9"/>
  <c r="BR17" i="9" s="1"/>
  <c r="AF18" i="9"/>
  <c r="AE18" i="9"/>
  <c r="AD18" i="9"/>
  <c r="AC18" i="9"/>
  <c r="AB18" i="9"/>
  <c r="AA18" i="9"/>
  <c r="Z18" i="9"/>
  <c r="Y18" i="9"/>
  <c r="X18" i="9"/>
  <c r="W18" i="9"/>
  <c r="BQ17" i="9" s="1"/>
  <c r="V18" i="9"/>
  <c r="U18" i="9"/>
  <c r="T18" i="9"/>
  <c r="S18" i="9"/>
  <c r="R18" i="9"/>
  <c r="Q18" i="9"/>
  <c r="P18" i="9"/>
  <c r="O18" i="9"/>
  <c r="N18" i="9"/>
  <c r="M18" i="9"/>
  <c r="BV17" i="9" s="1"/>
  <c r="L18" i="9"/>
  <c r="K18" i="9"/>
  <c r="J18" i="9"/>
  <c r="I18" i="9"/>
  <c r="H18" i="9"/>
  <c r="G18" i="9"/>
  <c r="F18" i="9"/>
  <c r="E18" i="9"/>
  <c r="D18" i="9"/>
  <c r="BO17" i="9" s="1"/>
  <c r="BK17" i="9"/>
  <c r="BJ17" i="9"/>
  <c r="BI17" i="9"/>
  <c r="BH17" i="9"/>
  <c r="BG17" i="9"/>
  <c r="BF17" i="9"/>
  <c r="BE17" i="9"/>
  <c r="BD17" i="9"/>
  <c r="BC17" i="9"/>
  <c r="BB17" i="9"/>
  <c r="BA17" i="9"/>
  <c r="BT16" i="9" s="1"/>
  <c r="AZ17" i="9"/>
  <c r="AY17" i="9"/>
  <c r="AX17" i="9"/>
  <c r="AW17" i="9"/>
  <c r="AV17" i="9"/>
  <c r="AU17" i="9"/>
  <c r="AT17" i="9"/>
  <c r="AS17" i="9"/>
  <c r="AR17" i="9"/>
  <c r="AQ17" i="9"/>
  <c r="BS16" i="9" s="1"/>
  <c r="AP17" i="9"/>
  <c r="AO17" i="9"/>
  <c r="AN17" i="9"/>
  <c r="AM17" i="9"/>
  <c r="AL17" i="9"/>
  <c r="AK17" i="9"/>
  <c r="AJ17" i="9"/>
  <c r="AI17" i="9"/>
  <c r="AH17" i="9"/>
  <c r="AG17" i="9"/>
  <c r="BR16" i="9" s="1"/>
  <c r="AF17" i="9"/>
  <c r="AE17" i="9"/>
  <c r="AD17" i="9"/>
  <c r="AC17" i="9"/>
  <c r="AB17" i="9"/>
  <c r="AA17" i="9"/>
  <c r="Z17" i="9"/>
  <c r="Y17" i="9"/>
  <c r="X17" i="9"/>
  <c r="W17" i="9"/>
  <c r="BQ16" i="9" s="1"/>
  <c r="V17" i="9"/>
  <c r="U17" i="9"/>
  <c r="T17" i="9"/>
  <c r="S17" i="9"/>
  <c r="R17" i="9"/>
  <c r="Q17" i="9"/>
  <c r="P17" i="9"/>
  <c r="O17" i="9"/>
  <c r="N17" i="9"/>
  <c r="M17" i="9"/>
  <c r="BP16" i="9" s="1"/>
  <c r="L17" i="9"/>
  <c r="K17" i="9"/>
  <c r="J17" i="9"/>
  <c r="I17" i="9"/>
  <c r="H17" i="9"/>
  <c r="G17" i="9"/>
  <c r="F17" i="9"/>
  <c r="E17" i="9"/>
  <c r="D17" i="9"/>
  <c r="BO16" i="9" s="1"/>
  <c r="BK16" i="9"/>
  <c r="BJ16" i="9"/>
  <c r="BI16" i="9"/>
  <c r="BH16" i="9"/>
  <c r="BG16" i="9"/>
  <c r="BF16" i="9"/>
  <c r="BE16" i="9"/>
  <c r="BD16" i="9"/>
  <c r="BC16" i="9"/>
  <c r="BB16" i="9"/>
  <c r="BA16" i="9"/>
  <c r="BT15" i="9" s="1"/>
  <c r="AZ16" i="9"/>
  <c r="AY16" i="9"/>
  <c r="AX16" i="9"/>
  <c r="AW16" i="9"/>
  <c r="AV16" i="9"/>
  <c r="AU16" i="9"/>
  <c r="AT16" i="9"/>
  <c r="AS16" i="9"/>
  <c r="AR16" i="9"/>
  <c r="AQ16" i="9"/>
  <c r="BS15" i="9" s="1"/>
  <c r="AP16" i="9"/>
  <c r="AO16" i="9"/>
  <c r="AN16" i="9"/>
  <c r="AM16" i="9"/>
  <c r="AL16" i="9"/>
  <c r="AK16" i="9"/>
  <c r="AJ16" i="9"/>
  <c r="AI16" i="9"/>
  <c r="AH16" i="9"/>
  <c r="AG16" i="9"/>
  <c r="BR15" i="9" s="1"/>
  <c r="AF16" i="9"/>
  <c r="AE16" i="9"/>
  <c r="AD16" i="9"/>
  <c r="AC16" i="9"/>
  <c r="AB16" i="9"/>
  <c r="AA16" i="9"/>
  <c r="Z16" i="9"/>
  <c r="Y16" i="9"/>
  <c r="X16" i="9"/>
  <c r="W16" i="9"/>
  <c r="BQ15" i="9" s="1"/>
  <c r="V16" i="9"/>
  <c r="U16" i="9"/>
  <c r="T16" i="9"/>
  <c r="S16" i="9"/>
  <c r="R16" i="9"/>
  <c r="Q16" i="9"/>
  <c r="P16" i="9"/>
  <c r="O16" i="9"/>
  <c r="N16" i="9"/>
  <c r="M16" i="9"/>
  <c r="BP15" i="9" s="1"/>
  <c r="L16" i="9"/>
  <c r="K16" i="9"/>
  <c r="J16" i="9"/>
  <c r="I16" i="9"/>
  <c r="H16" i="9"/>
  <c r="G16" i="9"/>
  <c r="F16" i="9"/>
  <c r="E16" i="9"/>
  <c r="D16" i="9"/>
  <c r="BO15" i="9" s="1"/>
  <c r="BK15" i="9"/>
  <c r="BJ15" i="9"/>
  <c r="BI15" i="9"/>
  <c r="BH15" i="9"/>
  <c r="BG15" i="9"/>
  <c r="BF15" i="9"/>
  <c r="BE15" i="9"/>
  <c r="BD15" i="9"/>
  <c r="BC15" i="9"/>
  <c r="BB15" i="9"/>
  <c r="BA15" i="9"/>
  <c r="BT14" i="9" s="1"/>
  <c r="AZ15" i="9"/>
  <c r="AY15" i="9"/>
  <c r="AX15" i="9"/>
  <c r="AW15" i="9"/>
  <c r="AV15" i="9"/>
  <c r="AU15" i="9"/>
  <c r="AT15" i="9"/>
  <c r="AS15" i="9"/>
  <c r="AR15" i="9"/>
  <c r="AQ15" i="9"/>
  <c r="BS14" i="9" s="1"/>
  <c r="AP15" i="9"/>
  <c r="AO15" i="9"/>
  <c r="AN15" i="9"/>
  <c r="AM15" i="9"/>
  <c r="AL15" i="9"/>
  <c r="AK15" i="9"/>
  <c r="AJ15" i="9"/>
  <c r="AI15" i="9"/>
  <c r="AH15" i="9"/>
  <c r="AG15" i="9"/>
  <c r="BR14" i="9" s="1"/>
  <c r="AF15" i="9"/>
  <c r="AE15" i="9"/>
  <c r="AD15" i="9"/>
  <c r="AC15" i="9"/>
  <c r="AB15" i="9"/>
  <c r="AA15" i="9"/>
  <c r="Z15" i="9"/>
  <c r="Y15" i="9"/>
  <c r="X15" i="9"/>
  <c r="W15" i="9"/>
  <c r="BQ14" i="9" s="1"/>
  <c r="V15" i="9"/>
  <c r="U15" i="9"/>
  <c r="T15" i="9"/>
  <c r="S15" i="9"/>
  <c r="R15" i="9"/>
  <c r="Q15" i="9"/>
  <c r="P15" i="9"/>
  <c r="O15" i="9"/>
  <c r="N15" i="9"/>
  <c r="M15" i="9"/>
  <c r="BP14" i="9" s="1"/>
  <c r="L15" i="9"/>
  <c r="K15" i="9"/>
  <c r="J15" i="9"/>
  <c r="I15" i="9"/>
  <c r="H15" i="9"/>
  <c r="G15" i="9"/>
  <c r="F15" i="9"/>
  <c r="E15" i="9"/>
  <c r="D15" i="9"/>
  <c r="BO14" i="9" s="1"/>
  <c r="BK14" i="9"/>
  <c r="BJ14" i="9"/>
  <c r="BI14" i="9"/>
  <c r="BH14" i="9"/>
  <c r="BG14" i="9"/>
  <c r="BF14" i="9"/>
  <c r="BE14" i="9"/>
  <c r="BD14" i="9"/>
  <c r="BC14" i="9"/>
  <c r="BB14" i="9"/>
  <c r="BA14" i="9"/>
  <c r="BT13" i="9" s="1"/>
  <c r="AZ14" i="9"/>
  <c r="AY14" i="9"/>
  <c r="AX14" i="9"/>
  <c r="AW14" i="9"/>
  <c r="AV14" i="9"/>
  <c r="AU14" i="9"/>
  <c r="AT14" i="9"/>
  <c r="AS14" i="9"/>
  <c r="AR14" i="9"/>
  <c r="AQ14" i="9"/>
  <c r="BS13" i="9" s="1"/>
  <c r="AP14" i="9"/>
  <c r="AO14" i="9"/>
  <c r="AN14" i="9"/>
  <c r="AM14" i="9"/>
  <c r="AL14" i="9"/>
  <c r="AK14" i="9"/>
  <c r="AJ14" i="9"/>
  <c r="AI14" i="9"/>
  <c r="AH14" i="9"/>
  <c r="AG14" i="9"/>
  <c r="BR13" i="9" s="1"/>
  <c r="AF14" i="9"/>
  <c r="AE14" i="9"/>
  <c r="AD14" i="9"/>
  <c r="AC14" i="9"/>
  <c r="AB14" i="9"/>
  <c r="AA14" i="9"/>
  <c r="Z14" i="9"/>
  <c r="Y14" i="9"/>
  <c r="X14" i="9"/>
  <c r="W14" i="9"/>
  <c r="BQ13" i="9" s="1"/>
  <c r="V14" i="9"/>
  <c r="U14" i="9"/>
  <c r="T14" i="9"/>
  <c r="S14" i="9"/>
  <c r="R14" i="9"/>
  <c r="Q14" i="9"/>
  <c r="P14" i="9"/>
  <c r="O14" i="9"/>
  <c r="N14" i="9"/>
  <c r="M14" i="9"/>
  <c r="BV13" i="9" s="1"/>
  <c r="L14" i="9"/>
  <c r="K14" i="9"/>
  <c r="J14" i="9"/>
  <c r="I14" i="9"/>
  <c r="H14" i="9"/>
  <c r="G14" i="9"/>
  <c r="F14" i="9"/>
  <c r="E14" i="9"/>
  <c r="D14" i="9"/>
  <c r="BO13" i="9" s="1"/>
  <c r="BK12" i="9"/>
  <c r="BJ12" i="9"/>
  <c r="BI12" i="9"/>
  <c r="BH12" i="9"/>
  <c r="BG12" i="9"/>
  <c r="BF12" i="9"/>
  <c r="BE12" i="9"/>
  <c r="BD12" i="9"/>
  <c r="BC12" i="9"/>
  <c r="BB12" i="9"/>
  <c r="BA12" i="9"/>
  <c r="BT12" i="9" s="1"/>
  <c r="AZ12" i="9"/>
  <c r="AY12" i="9"/>
  <c r="AX12" i="9"/>
  <c r="AW12" i="9"/>
  <c r="AV12" i="9"/>
  <c r="AU12" i="9"/>
  <c r="AT12" i="9"/>
  <c r="AS12" i="9"/>
  <c r="AR12" i="9"/>
  <c r="AQ12" i="9"/>
  <c r="BS12" i="9" s="1"/>
  <c r="AP12" i="9"/>
  <c r="AO12" i="9"/>
  <c r="AN12" i="9"/>
  <c r="AM12" i="9"/>
  <c r="AL12" i="9"/>
  <c r="AK12" i="9"/>
  <c r="AJ12" i="9"/>
  <c r="AI12" i="9"/>
  <c r="AH12" i="9"/>
  <c r="AG12" i="9"/>
  <c r="BR12" i="9" s="1"/>
  <c r="AF12" i="9"/>
  <c r="AE12" i="9"/>
  <c r="AD12" i="9"/>
  <c r="AC12" i="9"/>
  <c r="AB12" i="9"/>
  <c r="AA12" i="9"/>
  <c r="Z12" i="9"/>
  <c r="Y12" i="9"/>
  <c r="X12" i="9"/>
  <c r="W12" i="9"/>
  <c r="BQ12" i="9" s="1"/>
  <c r="V12" i="9"/>
  <c r="U12" i="9"/>
  <c r="T12" i="9"/>
  <c r="S12" i="9"/>
  <c r="R12" i="9"/>
  <c r="Q12" i="9"/>
  <c r="P12" i="9"/>
  <c r="O12" i="9"/>
  <c r="N12" i="9"/>
  <c r="M12" i="9"/>
  <c r="BP12" i="9" s="1"/>
  <c r="L12" i="9"/>
  <c r="K12" i="9"/>
  <c r="J12" i="9"/>
  <c r="I12" i="9"/>
  <c r="H12" i="9"/>
  <c r="G12" i="9"/>
  <c r="F12" i="9"/>
  <c r="E12" i="9"/>
  <c r="D12" i="9"/>
  <c r="BO12" i="9" s="1"/>
  <c r="BK11" i="9"/>
  <c r="BJ11" i="9"/>
  <c r="BI11" i="9"/>
  <c r="BH11" i="9"/>
  <c r="BG11" i="9"/>
  <c r="BF11" i="9"/>
  <c r="BE11" i="9"/>
  <c r="BD11" i="9"/>
  <c r="BC11" i="9"/>
  <c r="BB11" i="9"/>
  <c r="BA11" i="9"/>
  <c r="BT11" i="9" s="1"/>
  <c r="AZ11" i="9"/>
  <c r="AY11" i="9"/>
  <c r="AX11" i="9"/>
  <c r="AW11" i="9"/>
  <c r="AV11" i="9"/>
  <c r="AU11" i="9"/>
  <c r="AT11" i="9"/>
  <c r="AS11" i="9"/>
  <c r="AR11" i="9"/>
  <c r="AQ11" i="9"/>
  <c r="BS11" i="9" s="1"/>
  <c r="AP11" i="9"/>
  <c r="AO11" i="9"/>
  <c r="AN11" i="9"/>
  <c r="AM11" i="9"/>
  <c r="AL11" i="9"/>
  <c r="AK11" i="9"/>
  <c r="AJ11" i="9"/>
  <c r="AI11" i="9"/>
  <c r="AH11" i="9"/>
  <c r="AG11" i="9"/>
  <c r="BR11" i="9" s="1"/>
  <c r="AF11" i="9"/>
  <c r="AE11" i="9"/>
  <c r="AD11" i="9"/>
  <c r="AC11" i="9"/>
  <c r="AB11" i="9"/>
  <c r="AA11" i="9"/>
  <c r="Z11" i="9"/>
  <c r="Y11" i="9"/>
  <c r="X11" i="9"/>
  <c r="W11" i="9"/>
  <c r="BQ11" i="9" s="1"/>
  <c r="V11" i="9"/>
  <c r="U11" i="9"/>
  <c r="T11" i="9"/>
  <c r="S11" i="9"/>
  <c r="R11" i="9"/>
  <c r="Q11" i="9"/>
  <c r="P11" i="9"/>
  <c r="O11" i="9"/>
  <c r="N11" i="9"/>
  <c r="M11" i="9"/>
  <c r="BP11" i="9" s="1"/>
  <c r="L11" i="9"/>
  <c r="K11" i="9"/>
  <c r="J11" i="9"/>
  <c r="I11" i="9"/>
  <c r="H11" i="9"/>
  <c r="G11" i="9"/>
  <c r="F11" i="9"/>
  <c r="E11" i="9"/>
  <c r="D11" i="9"/>
  <c r="BO11" i="9" s="1"/>
  <c r="BK10" i="9"/>
  <c r="BJ10" i="9"/>
  <c r="BI10" i="9"/>
  <c r="BH10" i="9"/>
  <c r="BG10" i="9"/>
  <c r="BF10" i="9"/>
  <c r="BE10" i="9"/>
  <c r="BD10" i="9"/>
  <c r="BC10" i="9"/>
  <c r="BB10" i="9"/>
  <c r="BA10" i="9"/>
  <c r="BT10" i="9" s="1"/>
  <c r="AZ10" i="9"/>
  <c r="AY10" i="9"/>
  <c r="AX10" i="9"/>
  <c r="AW10" i="9"/>
  <c r="AV10" i="9"/>
  <c r="AU10" i="9"/>
  <c r="AT10" i="9"/>
  <c r="AS10" i="9"/>
  <c r="AR10" i="9"/>
  <c r="AQ10" i="9"/>
  <c r="BS10" i="9" s="1"/>
  <c r="AP10" i="9"/>
  <c r="AO10" i="9"/>
  <c r="AN10" i="9"/>
  <c r="AM10" i="9"/>
  <c r="AL10" i="9"/>
  <c r="AK10" i="9"/>
  <c r="AJ10" i="9"/>
  <c r="AI10" i="9"/>
  <c r="AH10" i="9"/>
  <c r="AG10" i="9"/>
  <c r="BR10" i="9" s="1"/>
  <c r="AF10" i="9"/>
  <c r="AE10" i="9"/>
  <c r="AD10" i="9"/>
  <c r="AC10" i="9"/>
  <c r="AB10" i="9"/>
  <c r="AA10" i="9"/>
  <c r="Z10" i="9"/>
  <c r="Y10" i="9"/>
  <c r="X10" i="9"/>
  <c r="W10" i="9"/>
  <c r="BQ10" i="9" s="1"/>
  <c r="V10" i="9"/>
  <c r="U10" i="9"/>
  <c r="T10" i="9"/>
  <c r="S10" i="9"/>
  <c r="R10" i="9"/>
  <c r="Q10" i="9"/>
  <c r="P10" i="9"/>
  <c r="O10" i="9"/>
  <c r="N10" i="9"/>
  <c r="M10" i="9"/>
  <c r="BP10" i="9" s="1"/>
  <c r="L10" i="9"/>
  <c r="K10" i="9"/>
  <c r="J10" i="9"/>
  <c r="I10" i="9"/>
  <c r="H10" i="9"/>
  <c r="G10" i="9"/>
  <c r="F10" i="9"/>
  <c r="E10" i="9"/>
  <c r="D10" i="9"/>
  <c r="BO10" i="9" s="1"/>
  <c r="BK9" i="9"/>
  <c r="BJ9" i="9"/>
  <c r="BI9" i="9"/>
  <c r="BH9" i="9"/>
  <c r="BG9" i="9"/>
  <c r="BF9" i="9"/>
  <c r="BE9" i="9"/>
  <c r="BD9" i="9"/>
  <c r="BC9" i="9"/>
  <c r="BB9" i="9"/>
  <c r="BA9" i="9"/>
  <c r="BT9" i="9" s="1"/>
  <c r="AZ9" i="9"/>
  <c r="AY9" i="9"/>
  <c r="AX9" i="9"/>
  <c r="AW9" i="9"/>
  <c r="AV9" i="9"/>
  <c r="AU9" i="9"/>
  <c r="AT9" i="9"/>
  <c r="AS9" i="9"/>
  <c r="AR9" i="9"/>
  <c r="AQ9" i="9"/>
  <c r="BS9" i="9" s="1"/>
  <c r="AP9" i="9"/>
  <c r="AO9" i="9"/>
  <c r="AN9" i="9"/>
  <c r="AM9" i="9"/>
  <c r="AL9" i="9"/>
  <c r="AK9" i="9"/>
  <c r="AJ9" i="9"/>
  <c r="AI9" i="9"/>
  <c r="AH9" i="9"/>
  <c r="AG9" i="9"/>
  <c r="BR9" i="9" s="1"/>
  <c r="AF9" i="9"/>
  <c r="AE9" i="9"/>
  <c r="AD9" i="9"/>
  <c r="AC9" i="9"/>
  <c r="AB9" i="9"/>
  <c r="AA9" i="9"/>
  <c r="Z9" i="9"/>
  <c r="Y9" i="9"/>
  <c r="X9" i="9"/>
  <c r="W9" i="9"/>
  <c r="BQ9" i="9" s="1"/>
  <c r="V9" i="9"/>
  <c r="U9" i="9"/>
  <c r="T9" i="9"/>
  <c r="S9" i="9"/>
  <c r="R9" i="9"/>
  <c r="Q9" i="9"/>
  <c r="P9" i="9"/>
  <c r="O9" i="9"/>
  <c r="N9" i="9"/>
  <c r="M9" i="9"/>
  <c r="BP9" i="9" s="1"/>
  <c r="L9" i="9"/>
  <c r="K9" i="9"/>
  <c r="J9" i="9"/>
  <c r="I9" i="9"/>
  <c r="H9" i="9"/>
  <c r="G9" i="9"/>
  <c r="F9" i="9"/>
  <c r="E9" i="9"/>
  <c r="D9" i="9"/>
  <c r="BO9" i="9" s="1"/>
  <c r="BK8" i="9"/>
  <c r="BJ8" i="9"/>
  <c r="BI8" i="9"/>
  <c r="BH8" i="9"/>
  <c r="BG8" i="9"/>
  <c r="BF8" i="9"/>
  <c r="BE8" i="9"/>
  <c r="BD8" i="9"/>
  <c r="BC8" i="9"/>
  <c r="BB8" i="9"/>
  <c r="BA8" i="9"/>
  <c r="BT8" i="9" s="1"/>
  <c r="AZ8" i="9"/>
  <c r="AY8" i="9"/>
  <c r="AX8" i="9"/>
  <c r="AW8" i="9"/>
  <c r="AV8" i="9"/>
  <c r="AU8" i="9"/>
  <c r="AT8" i="9"/>
  <c r="AS8" i="9"/>
  <c r="AR8" i="9"/>
  <c r="AQ8" i="9"/>
  <c r="BS8" i="9" s="1"/>
  <c r="AP8" i="9"/>
  <c r="AO8" i="9"/>
  <c r="AN8" i="9"/>
  <c r="AM8" i="9"/>
  <c r="AL8" i="9"/>
  <c r="AK8" i="9"/>
  <c r="AJ8" i="9"/>
  <c r="AI8" i="9"/>
  <c r="AH8" i="9"/>
  <c r="AG8" i="9"/>
  <c r="BR8" i="9" s="1"/>
  <c r="AF8" i="9"/>
  <c r="AE8" i="9"/>
  <c r="AD8" i="9"/>
  <c r="AC8" i="9"/>
  <c r="AB8" i="9"/>
  <c r="AA8" i="9"/>
  <c r="Z8" i="9"/>
  <c r="Y8" i="9"/>
  <c r="X8" i="9"/>
  <c r="W8" i="9"/>
  <c r="BQ8" i="9" s="1"/>
  <c r="V8" i="9"/>
  <c r="U8" i="9"/>
  <c r="T8" i="9"/>
  <c r="S8" i="9"/>
  <c r="R8" i="9"/>
  <c r="Q8" i="9"/>
  <c r="P8" i="9"/>
  <c r="O8" i="9"/>
  <c r="N8" i="9"/>
  <c r="M8" i="9"/>
  <c r="BP8" i="9" s="1"/>
  <c r="L8" i="9"/>
  <c r="K8" i="9"/>
  <c r="J8" i="9"/>
  <c r="I8" i="9"/>
  <c r="H8" i="9"/>
  <c r="G8" i="9"/>
  <c r="F8" i="9"/>
  <c r="E8" i="9"/>
  <c r="D8" i="9"/>
  <c r="BO8" i="9" s="1"/>
  <c r="BK7" i="9"/>
  <c r="BJ7" i="9"/>
  <c r="BI7" i="9"/>
  <c r="BH7" i="9"/>
  <c r="BG7" i="9"/>
  <c r="BF7" i="9"/>
  <c r="BE7" i="9"/>
  <c r="BD7" i="9"/>
  <c r="BC7" i="9"/>
  <c r="BB7" i="9"/>
  <c r="BA7" i="9"/>
  <c r="BT7" i="9" s="1"/>
  <c r="AZ7" i="9"/>
  <c r="AY7" i="9"/>
  <c r="AX7" i="9"/>
  <c r="AW7" i="9"/>
  <c r="AV7" i="9"/>
  <c r="AU7" i="9"/>
  <c r="AT7" i="9"/>
  <c r="AS7" i="9"/>
  <c r="AR7" i="9"/>
  <c r="AQ7" i="9"/>
  <c r="BS7" i="9" s="1"/>
  <c r="AP7" i="9"/>
  <c r="AO7" i="9"/>
  <c r="AN7" i="9"/>
  <c r="AM7" i="9"/>
  <c r="AL7" i="9"/>
  <c r="AK7" i="9"/>
  <c r="AJ7" i="9"/>
  <c r="AI7" i="9"/>
  <c r="AH7" i="9"/>
  <c r="AG7" i="9"/>
  <c r="BR7" i="9" s="1"/>
  <c r="AF7" i="9"/>
  <c r="AE7" i="9"/>
  <c r="AD7" i="9"/>
  <c r="AC7" i="9"/>
  <c r="AB7" i="9"/>
  <c r="AA7" i="9"/>
  <c r="Z7" i="9"/>
  <c r="Y7" i="9"/>
  <c r="X7" i="9"/>
  <c r="W7" i="9"/>
  <c r="BQ7" i="9" s="1"/>
  <c r="V7" i="9"/>
  <c r="U7" i="9"/>
  <c r="T7" i="9"/>
  <c r="S7" i="9"/>
  <c r="R7" i="9"/>
  <c r="Q7" i="9"/>
  <c r="P7" i="9"/>
  <c r="O7" i="9"/>
  <c r="N7" i="9"/>
  <c r="M7" i="9"/>
  <c r="BP7" i="9" s="1"/>
  <c r="L7" i="9"/>
  <c r="K7" i="9"/>
  <c r="J7" i="9"/>
  <c r="I7" i="9"/>
  <c r="H7" i="9"/>
  <c r="G7" i="9"/>
  <c r="F7" i="9"/>
  <c r="E7" i="9"/>
  <c r="D7" i="9"/>
  <c r="BO7" i="9" s="1"/>
  <c r="BK6" i="9"/>
  <c r="BJ6" i="9"/>
  <c r="BI6" i="9"/>
  <c r="BH6" i="9"/>
  <c r="BG6" i="9"/>
  <c r="BF6" i="9"/>
  <c r="BE6" i="9"/>
  <c r="BD6" i="9"/>
  <c r="BC6" i="9"/>
  <c r="BB6" i="9"/>
  <c r="BA6" i="9"/>
  <c r="BT6" i="9" s="1"/>
  <c r="AZ6" i="9"/>
  <c r="AY6" i="9"/>
  <c r="AX6" i="9"/>
  <c r="AW6" i="9"/>
  <c r="AV6" i="9"/>
  <c r="AU6" i="9"/>
  <c r="AT6" i="9"/>
  <c r="AS6" i="9"/>
  <c r="AR6" i="9"/>
  <c r="AQ6" i="9"/>
  <c r="BS6" i="9" s="1"/>
  <c r="AP6" i="9"/>
  <c r="AO6" i="9"/>
  <c r="AN6" i="9"/>
  <c r="AM6" i="9"/>
  <c r="AL6" i="9"/>
  <c r="AK6" i="9"/>
  <c r="AJ6" i="9"/>
  <c r="AI6" i="9"/>
  <c r="AH6" i="9"/>
  <c r="AG6" i="9"/>
  <c r="BR6" i="9" s="1"/>
  <c r="AF6" i="9"/>
  <c r="AE6" i="9"/>
  <c r="AD6" i="9"/>
  <c r="AC6" i="9"/>
  <c r="AB6" i="9"/>
  <c r="AA6" i="9"/>
  <c r="Z6" i="9"/>
  <c r="Y6" i="9"/>
  <c r="X6" i="9"/>
  <c r="W6" i="9"/>
  <c r="BQ6" i="9" s="1"/>
  <c r="V6" i="9"/>
  <c r="U6" i="9"/>
  <c r="T6" i="9"/>
  <c r="S6" i="9"/>
  <c r="R6" i="9"/>
  <c r="Q6" i="9"/>
  <c r="P6" i="9"/>
  <c r="O6" i="9"/>
  <c r="N6" i="9"/>
  <c r="M6" i="9"/>
  <c r="BV6" i="9" s="1"/>
  <c r="L6" i="9"/>
  <c r="K6" i="9"/>
  <c r="J6" i="9"/>
  <c r="I6" i="9"/>
  <c r="H6" i="9"/>
  <c r="G6" i="9"/>
  <c r="F6" i="9"/>
  <c r="E6" i="9"/>
  <c r="D6" i="9"/>
  <c r="BO6" i="9" s="1"/>
  <c r="BK5" i="9"/>
  <c r="BJ5" i="9"/>
  <c r="BI5" i="9"/>
  <c r="BH5" i="9"/>
  <c r="BG5" i="9"/>
  <c r="BF5" i="9"/>
  <c r="BE5" i="9"/>
  <c r="BD5" i="9"/>
  <c r="BC5" i="9"/>
  <c r="BB5" i="9"/>
  <c r="BA5" i="9"/>
  <c r="BT5" i="9" s="1"/>
  <c r="AZ5" i="9"/>
  <c r="AY5" i="9"/>
  <c r="AX5" i="9"/>
  <c r="AW5" i="9"/>
  <c r="AV5" i="9"/>
  <c r="AU5" i="9"/>
  <c r="AT5" i="9"/>
  <c r="AS5" i="9"/>
  <c r="AR5" i="9"/>
  <c r="AQ5" i="9"/>
  <c r="BS5" i="9" s="1"/>
  <c r="AP5" i="9"/>
  <c r="AO5" i="9"/>
  <c r="AN5" i="9"/>
  <c r="AM5" i="9"/>
  <c r="AL5" i="9"/>
  <c r="AK5" i="9"/>
  <c r="AJ5" i="9"/>
  <c r="AI5" i="9"/>
  <c r="AH5" i="9"/>
  <c r="AG5" i="9"/>
  <c r="BR5" i="9" s="1"/>
  <c r="AF5" i="9"/>
  <c r="AE5" i="9"/>
  <c r="AD5" i="9"/>
  <c r="AC5" i="9"/>
  <c r="AB5" i="9"/>
  <c r="AA5" i="9"/>
  <c r="Z5" i="9"/>
  <c r="Y5" i="9"/>
  <c r="X5" i="9"/>
  <c r="W5" i="9"/>
  <c r="BQ5" i="9" s="1"/>
  <c r="V5" i="9"/>
  <c r="U5" i="9"/>
  <c r="T5" i="9"/>
  <c r="S5" i="9"/>
  <c r="R5" i="9"/>
  <c r="Q5" i="9"/>
  <c r="P5" i="9"/>
  <c r="O5" i="9"/>
  <c r="N5" i="9"/>
  <c r="M5" i="9"/>
  <c r="BP5" i="9" s="1"/>
  <c r="L5" i="9"/>
  <c r="K5" i="9"/>
  <c r="J5" i="9"/>
  <c r="I5" i="9"/>
  <c r="H5" i="9"/>
  <c r="G5" i="9"/>
  <c r="F5" i="9"/>
  <c r="E5" i="9"/>
  <c r="D5" i="9"/>
  <c r="BO5" i="9" s="1"/>
  <c r="BK4" i="9"/>
  <c r="BJ4" i="9"/>
  <c r="BI4" i="9"/>
  <c r="BH4" i="9"/>
  <c r="BG4" i="9"/>
  <c r="BF4" i="9"/>
  <c r="BE4" i="9"/>
  <c r="BD4" i="9"/>
  <c r="BC4" i="9"/>
  <c r="BB4" i="9"/>
  <c r="BA4" i="9"/>
  <c r="BT4" i="9" s="1"/>
  <c r="AZ4" i="9"/>
  <c r="AY4" i="9"/>
  <c r="AX4" i="9"/>
  <c r="AW4" i="9"/>
  <c r="AV4" i="9"/>
  <c r="AU4" i="9"/>
  <c r="AT4" i="9"/>
  <c r="AS4" i="9"/>
  <c r="AR4" i="9"/>
  <c r="AQ4" i="9"/>
  <c r="BS4" i="9" s="1"/>
  <c r="AP4" i="9"/>
  <c r="AO4" i="9"/>
  <c r="AN4" i="9"/>
  <c r="AM4" i="9"/>
  <c r="AL4" i="9"/>
  <c r="AK4" i="9"/>
  <c r="AJ4" i="9"/>
  <c r="AI4" i="9"/>
  <c r="AH4" i="9"/>
  <c r="AG4" i="9"/>
  <c r="BR4" i="9" s="1"/>
  <c r="AF4" i="9"/>
  <c r="AE4" i="9"/>
  <c r="AD4" i="9"/>
  <c r="AC4" i="9"/>
  <c r="AB4" i="9"/>
  <c r="AA4" i="9"/>
  <c r="Z4" i="9"/>
  <c r="Y4" i="9"/>
  <c r="X4" i="9"/>
  <c r="W4" i="9"/>
  <c r="BQ4" i="9" s="1"/>
  <c r="V4" i="9"/>
  <c r="U4" i="9"/>
  <c r="T4" i="9"/>
  <c r="S4" i="9"/>
  <c r="R4" i="9"/>
  <c r="Q4" i="9"/>
  <c r="P4" i="9"/>
  <c r="O4" i="9"/>
  <c r="N4" i="9"/>
  <c r="M4" i="9"/>
  <c r="BP4" i="9" s="1"/>
  <c r="L4" i="9"/>
  <c r="K4" i="9"/>
  <c r="J4" i="9"/>
  <c r="I4" i="9"/>
  <c r="H4" i="9"/>
  <c r="G4" i="9"/>
  <c r="F4" i="9"/>
  <c r="E4" i="9"/>
  <c r="D4" i="9"/>
  <c r="BO4" i="9" s="1"/>
  <c r="BK3" i="9"/>
  <c r="BJ3" i="9"/>
  <c r="BI3" i="9"/>
  <c r="BH3" i="9"/>
  <c r="BG3" i="9"/>
  <c r="BF3" i="9"/>
  <c r="BE3" i="9"/>
  <c r="BD3" i="9"/>
  <c r="BC3" i="9"/>
  <c r="BB3" i="9"/>
  <c r="BA3" i="9"/>
  <c r="BT3" i="9" s="1"/>
  <c r="AZ3" i="9"/>
  <c r="AY3" i="9"/>
  <c r="AX3" i="9"/>
  <c r="AW3" i="9"/>
  <c r="AV3" i="9"/>
  <c r="AU3" i="9"/>
  <c r="AT3" i="9"/>
  <c r="AS3" i="9"/>
  <c r="AR3" i="9"/>
  <c r="AQ3" i="9"/>
  <c r="BS3" i="9" s="1"/>
  <c r="AP3" i="9"/>
  <c r="AO3" i="9"/>
  <c r="AN3" i="9"/>
  <c r="AM3" i="9"/>
  <c r="AL3" i="9"/>
  <c r="AK3" i="9"/>
  <c r="AJ3" i="9"/>
  <c r="AI3" i="9"/>
  <c r="AH3" i="9"/>
  <c r="AG3" i="9"/>
  <c r="BR3" i="9" s="1"/>
  <c r="AF3" i="9"/>
  <c r="AE3" i="9"/>
  <c r="AD3" i="9"/>
  <c r="AC3" i="9"/>
  <c r="AB3" i="9"/>
  <c r="AA3" i="9"/>
  <c r="Z3" i="9"/>
  <c r="Y3" i="9"/>
  <c r="X3" i="9"/>
  <c r="W3" i="9"/>
  <c r="BQ3" i="9" s="1"/>
  <c r="V3" i="9"/>
  <c r="U3" i="9"/>
  <c r="T3" i="9"/>
  <c r="S3" i="9"/>
  <c r="R3" i="9"/>
  <c r="Q3" i="9"/>
  <c r="P3" i="9"/>
  <c r="O3" i="9"/>
  <c r="N3" i="9"/>
  <c r="M3" i="9"/>
  <c r="BP3" i="9" s="1"/>
  <c r="L3" i="9"/>
  <c r="K3" i="9"/>
  <c r="J3" i="9"/>
  <c r="I3" i="9"/>
  <c r="H3" i="9"/>
  <c r="G3" i="9"/>
  <c r="F3" i="9"/>
  <c r="E3" i="9"/>
  <c r="D3" i="9"/>
  <c r="BO3" i="9" s="1"/>
  <c r="BK2" i="9"/>
  <c r="BJ2" i="9"/>
  <c r="BI2" i="9"/>
  <c r="BH2" i="9"/>
  <c r="BG2" i="9"/>
  <c r="BF2" i="9"/>
  <c r="BE2" i="9"/>
  <c r="BD2" i="9"/>
  <c r="BC2" i="9"/>
  <c r="BB2" i="9"/>
  <c r="BA2" i="9"/>
  <c r="BT2" i="9" s="1"/>
  <c r="AZ2" i="9"/>
  <c r="AY2" i="9"/>
  <c r="AX2" i="9"/>
  <c r="AW2" i="9"/>
  <c r="AV2" i="9"/>
  <c r="AU2" i="9"/>
  <c r="AT2" i="9"/>
  <c r="AS2" i="9"/>
  <c r="AR2" i="9"/>
  <c r="AQ2" i="9"/>
  <c r="BS2" i="9" s="1"/>
  <c r="AP2" i="9"/>
  <c r="AO2" i="9"/>
  <c r="AN2" i="9"/>
  <c r="AM2" i="9"/>
  <c r="AL2" i="9"/>
  <c r="AK2" i="9"/>
  <c r="AJ2" i="9"/>
  <c r="AI2" i="9"/>
  <c r="AH2" i="9"/>
  <c r="AG2" i="9"/>
  <c r="BR2" i="9" s="1"/>
  <c r="AF2" i="9"/>
  <c r="AE2" i="9"/>
  <c r="AD2" i="9"/>
  <c r="AC2" i="9"/>
  <c r="AB2" i="9"/>
  <c r="AA2" i="9"/>
  <c r="Z2" i="9"/>
  <c r="Y2" i="9"/>
  <c r="X2" i="9"/>
  <c r="W2" i="9"/>
  <c r="BQ2" i="9" s="1"/>
  <c r="V2" i="9"/>
  <c r="U2" i="9"/>
  <c r="T2" i="9"/>
  <c r="S2" i="9"/>
  <c r="R2" i="9"/>
  <c r="Q2" i="9"/>
  <c r="P2" i="9"/>
  <c r="O2" i="9"/>
  <c r="N2" i="9"/>
  <c r="M2" i="9"/>
  <c r="BV2" i="9" s="1"/>
  <c r="L2" i="9"/>
  <c r="K2" i="9"/>
  <c r="J2" i="9"/>
  <c r="I2" i="9"/>
  <c r="H2" i="9"/>
  <c r="G2" i="9"/>
  <c r="F2" i="9"/>
  <c r="E2" i="9"/>
  <c r="D2" i="9"/>
  <c r="BO2" i="9" s="1"/>
  <c r="F2" i="8"/>
  <c r="E2" i="8"/>
  <c r="D2" i="8"/>
  <c r="C2" i="8"/>
  <c r="D4" i="8" l="1"/>
  <c r="L27" i="10"/>
  <c r="L52" i="6" s="1"/>
  <c r="AB27" i="10"/>
  <c r="AB52" i="6" s="1"/>
  <c r="H28" i="10"/>
  <c r="H54" i="6" s="1"/>
  <c r="P28" i="10"/>
  <c r="P54" i="6" s="1"/>
  <c r="T28" i="10"/>
  <c r="T54" i="6" s="1"/>
  <c r="X28" i="10"/>
  <c r="X54" i="6" s="1"/>
  <c r="AB28" i="10"/>
  <c r="AB54" i="6" s="1"/>
  <c r="D23" i="11"/>
  <c r="D52" i="4" s="1"/>
  <c r="H23" i="11"/>
  <c r="H52" i="4" s="1"/>
  <c r="L23" i="11"/>
  <c r="L52" i="4" s="1"/>
  <c r="P23" i="11"/>
  <c r="P52" i="4" s="1"/>
  <c r="T23" i="11"/>
  <c r="T52" i="4" s="1"/>
  <c r="X23" i="11"/>
  <c r="X52" i="4" s="1"/>
  <c r="AB23" i="11"/>
  <c r="AB52" i="4" s="1"/>
  <c r="D24" i="11"/>
  <c r="D54" i="4" s="1"/>
  <c r="H24" i="11"/>
  <c r="H54" i="4" s="1"/>
  <c r="L24" i="11"/>
  <c r="L54" i="4" s="1"/>
  <c r="P24" i="11"/>
  <c r="P54" i="4" s="1"/>
  <c r="T24" i="11"/>
  <c r="T54" i="4" s="1"/>
  <c r="X24" i="11"/>
  <c r="X54" i="4" s="1"/>
  <c r="AB24" i="11"/>
  <c r="AB54" i="4" s="1"/>
  <c r="D27" i="10"/>
  <c r="D52" i="6" s="1"/>
  <c r="H27" i="10"/>
  <c r="H52" i="6" s="1"/>
  <c r="P27" i="10"/>
  <c r="P52" i="6" s="1"/>
  <c r="T27" i="10"/>
  <c r="T52" i="6" s="1"/>
  <c r="X27" i="10"/>
  <c r="X52" i="6" s="1"/>
  <c r="D28" i="10"/>
  <c r="D54" i="6" s="1"/>
  <c r="L28" i="10"/>
  <c r="L54" i="6" s="1"/>
  <c r="BX2" i="9"/>
  <c r="BX3" i="9"/>
  <c r="BX4" i="9"/>
  <c r="BX5" i="9"/>
  <c r="BX6" i="9"/>
  <c r="BX7" i="9"/>
  <c r="BX8" i="9"/>
  <c r="BX9" i="9"/>
  <c r="BX10" i="9"/>
  <c r="BX11" i="9"/>
  <c r="BX12" i="9"/>
  <c r="BX13" i="9"/>
  <c r="BX14" i="9"/>
  <c r="BX15" i="9"/>
  <c r="BX16" i="9"/>
  <c r="BX17" i="9"/>
  <c r="BX18" i="9"/>
  <c r="E27" i="10"/>
  <c r="E52" i="5" s="1"/>
  <c r="I27" i="10"/>
  <c r="I52" i="5" s="1"/>
  <c r="M27" i="10"/>
  <c r="M52" i="5" s="1"/>
  <c r="Q27" i="10"/>
  <c r="Q52" i="5" s="1"/>
  <c r="U27" i="10"/>
  <c r="U52" i="5" s="1"/>
  <c r="Y27" i="10"/>
  <c r="Y52" i="5" s="1"/>
  <c r="AC27" i="10"/>
  <c r="AC52" i="5" s="1"/>
  <c r="E28" i="10"/>
  <c r="E54" i="6" s="1"/>
  <c r="I28" i="10"/>
  <c r="I54" i="6" s="1"/>
  <c r="M28" i="10"/>
  <c r="M54" i="6" s="1"/>
  <c r="Q28" i="10"/>
  <c r="Q54" i="6" s="1"/>
  <c r="U28" i="10"/>
  <c r="U54" i="6" s="1"/>
  <c r="Y28" i="10"/>
  <c r="Y54" i="6" s="1"/>
  <c r="AC28" i="10"/>
  <c r="AC54" i="6" s="1"/>
  <c r="E23" i="11"/>
  <c r="E52" i="1" s="1"/>
  <c r="I23" i="11"/>
  <c r="I52" i="1" s="1"/>
  <c r="M23" i="11"/>
  <c r="M52" i="1" s="1"/>
  <c r="Q23" i="11"/>
  <c r="Q52" i="1" s="1"/>
  <c r="U23" i="11"/>
  <c r="U52" i="1" s="1"/>
  <c r="Y23" i="11"/>
  <c r="Y52" i="1" s="1"/>
  <c r="AC23" i="11"/>
  <c r="AC52" i="1" s="1"/>
  <c r="E24" i="11"/>
  <c r="E54" i="4" s="1"/>
  <c r="I24" i="11"/>
  <c r="I54" i="4" s="1"/>
  <c r="M24" i="11"/>
  <c r="M54" i="4" s="1"/>
  <c r="Q24" i="11"/>
  <c r="Q54" i="4" s="1"/>
  <c r="U24" i="11"/>
  <c r="U54" i="4" s="1"/>
  <c r="Y24" i="11"/>
  <c r="Y54" i="4" s="1"/>
  <c r="AC24" i="11"/>
  <c r="AC54" i="4" s="1"/>
  <c r="BP13" i="12"/>
  <c r="BV13" i="12"/>
  <c r="BP17" i="12"/>
  <c r="BV17" i="12"/>
  <c r="BP2" i="12"/>
  <c r="BP6" i="12"/>
  <c r="BV6" i="12"/>
  <c r="BX19" i="9"/>
  <c r="BX20" i="9"/>
  <c r="BX21" i="9"/>
  <c r="BX22" i="9"/>
  <c r="BX23" i="9"/>
  <c r="BP2" i="9"/>
  <c r="BU2" i="9"/>
  <c r="BU3" i="9"/>
  <c r="BU4" i="9"/>
  <c r="BU5" i="9"/>
  <c r="BP6" i="9"/>
  <c r="BU6" i="9"/>
  <c r="BU7" i="9"/>
  <c r="BU8" i="9"/>
  <c r="BU9" i="9"/>
  <c r="BU10" i="9"/>
  <c r="BU11" i="9"/>
  <c r="BU12" i="9"/>
  <c r="BP13" i="9"/>
  <c r="BU13" i="9"/>
  <c r="BU14" i="9"/>
  <c r="BU15" i="9"/>
  <c r="BU16" i="9"/>
  <c r="BP17" i="9"/>
  <c r="BU17" i="9"/>
  <c r="BU18" i="9"/>
  <c r="BU19" i="9"/>
  <c r="BU20" i="9"/>
  <c r="BU21" i="9"/>
  <c r="BU22" i="9"/>
  <c r="BU23" i="9"/>
  <c r="BU2" i="12"/>
  <c r="BZ2" i="12"/>
  <c r="BX2" i="12"/>
  <c r="BU3" i="12"/>
  <c r="BZ3" i="12"/>
  <c r="BX3" i="12"/>
  <c r="BU4" i="12"/>
  <c r="BZ4" i="12"/>
  <c r="BX4" i="12"/>
  <c r="BU5" i="12"/>
  <c r="BZ5" i="12"/>
  <c r="BX5" i="12"/>
  <c r="BU6" i="12"/>
  <c r="BZ6" i="12"/>
  <c r="BX6" i="12"/>
  <c r="BU7" i="12"/>
  <c r="BZ7" i="12"/>
  <c r="BX7" i="12"/>
  <c r="BU8" i="12"/>
  <c r="BZ8" i="12"/>
  <c r="BX8" i="12"/>
  <c r="BU9" i="12"/>
  <c r="BZ9" i="12"/>
  <c r="BX9" i="12"/>
  <c r="BU10" i="12"/>
  <c r="BZ10" i="12"/>
  <c r="BX10" i="12"/>
  <c r="BU11" i="12"/>
  <c r="BZ11" i="12"/>
  <c r="BX11" i="12"/>
  <c r="BU12" i="12"/>
  <c r="BZ12" i="12"/>
  <c r="BX12" i="12"/>
  <c r="BU13" i="12"/>
  <c r="BZ13" i="12"/>
  <c r="BX13" i="12"/>
  <c r="BU14" i="12"/>
  <c r="BZ14" i="12"/>
  <c r="BX14" i="12"/>
  <c r="BU15" i="12"/>
  <c r="BZ15" i="12"/>
  <c r="BX15" i="12"/>
  <c r="BU16" i="12"/>
  <c r="BZ16" i="12"/>
  <c r="BX16" i="12"/>
  <c r="BU17" i="12"/>
  <c r="BZ17" i="12"/>
  <c r="BX17" i="12"/>
  <c r="BU18" i="12"/>
  <c r="BZ18" i="12"/>
  <c r="BX18" i="12"/>
  <c r="BU19" i="12"/>
  <c r="BZ19" i="12"/>
  <c r="BX19" i="12"/>
  <c r="BU20" i="12"/>
  <c r="BZ20" i="12"/>
  <c r="BX20" i="12"/>
  <c r="BU21" i="12"/>
  <c r="BZ21" i="12"/>
  <c r="BX21" i="12"/>
  <c r="BU22" i="12"/>
  <c r="BZ22" i="12"/>
  <c r="BX22" i="12"/>
  <c r="BU23" i="12"/>
  <c r="BZ23" i="12"/>
  <c r="BX23" i="12"/>
  <c r="BP16" i="15"/>
  <c r="BP18" i="15"/>
  <c r="BQ16" i="15"/>
  <c r="BQ18" i="15"/>
  <c r="BR16" i="15"/>
  <c r="BR18" i="15"/>
  <c r="BS16" i="15"/>
  <c r="BS18" i="15"/>
  <c r="BP15" i="15"/>
  <c r="BP17" i="15"/>
  <c r="BQ17" i="15"/>
  <c r="BQ15" i="15"/>
  <c r="BR17" i="15"/>
  <c r="BR15" i="15"/>
  <c r="BS15" i="15"/>
  <c r="BS17" i="15"/>
  <c r="Z28" i="10"/>
  <c r="Z54" i="6" s="1"/>
  <c r="AG23" i="11"/>
  <c r="E42" i="12"/>
  <c r="E42" i="9"/>
  <c r="AI23" i="11"/>
  <c r="G42" i="12"/>
  <c r="G42" i="9"/>
  <c r="AK23" i="11"/>
  <c r="I42" i="12"/>
  <c r="I42" i="9"/>
  <c r="AM23" i="11"/>
  <c r="K42" i="12"/>
  <c r="K42" i="9"/>
  <c r="AO23" i="11"/>
  <c r="M42" i="12"/>
  <c r="BP42" i="12" s="1"/>
  <c r="M42" i="9"/>
  <c r="BP42" i="9" s="1"/>
  <c r="AQ23" i="11"/>
  <c r="O42" i="12"/>
  <c r="O42" i="9"/>
  <c r="AS23" i="11"/>
  <c r="Q42" i="12"/>
  <c r="Q42" i="9"/>
  <c r="AU23" i="11"/>
  <c r="S42" i="12"/>
  <c r="S42" i="9"/>
  <c r="AW23" i="11"/>
  <c r="U42" i="12"/>
  <c r="U42" i="9"/>
  <c r="AY23" i="11"/>
  <c r="W42" i="12"/>
  <c r="BQ42" i="12" s="1"/>
  <c r="W42" i="9"/>
  <c r="BQ42" i="9" s="1"/>
  <c r="BA23" i="11"/>
  <c r="Y42" i="12"/>
  <c r="Y42" i="9"/>
  <c r="BC23" i="11"/>
  <c r="AA42" i="12"/>
  <c r="AA42" i="9"/>
  <c r="BE23" i="11"/>
  <c r="AC42" i="12"/>
  <c r="AC42" i="9"/>
  <c r="BG23" i="11"/>
  <c r="AE42" i="12"/>
  <c r="AE42" i="9"/>
  <c r="BI23" i="11"/>
  <c r="AG42" i="12"/>
  <c r="BR42" i="12" s="1"/>
  <c r="AG42" i="9"/>
  <c r="BR42" i="9" s="1"/>
  <c r="BK23" i="11"/>
  <c r="AI42" i="12"/>
  <c r="AI42" i="9"/>
  <c r="BM23" i="11"/>
  <c r="AK42" i="12"/>
  <c r="AK42" i="9"/>
  <c r="BO23" i="11"/>
  <c r="AM42" i="12"/>
  <c r="AM42" i="9"/>
  <c r="BQ23" i="11"/>
  <c r="AO42" i="12"/>
  <c r="AO42" i="9"/>
  <c r="BS23" i="11"/>
  <c r="AQ42" i="12"/>
  <c r="BS42" i="12" s="1"/>
  <c r="AQ42" i="9"/>
  <c r="BS42" i="9" s="1"/>
  <c r="BU23" i="11"/>
  <c r="AS42" i="12"/>
  <c r="AS42" i="9"/>
  <c r="BW23" i="11"/>
  <c r="AU42" i="12"/>
  <c r="AU42" i="9"/>
  <c r="BY23" i="11"/>
  <c r="AW42" i="12"/>
  <c r="AW42" i="9"/>
  <c r="CA23" i="11"/>
  <c r="AY42" i="12"/>
  <c r="AY42" i="9"/>
  <c r="CC23" i="11"/>
  <c r="BA42" i="12"/>
  <c r="BT42" i="12" s="1"/>
  <c r="BA42" i="9"/>
  <c r="BT42" i="9" s="1"/>
  <c r="CE23" i="11"/>
  <c r="BC42" i="12"/>
  <c r="BC42" i="9"/>
  <c r="CG23" i="11"/>
  <c r="BE42" i="12"/>
  <c r="BE42" i="9"/>
  <c r="CI23" i="11"/>
  <c r="BG42" i="12"/>
  <c r="BG42" i="9"/>
  <c r="CK23" i="11"/>
  <c r="BI42" i="12"/>
  <c r="BI42" i="9"/>
  <c r="CM23" i="11"/>
  <c r="BK42" i="12"/>
  <c r="BU42" i="12" s="1"/>
  <c r="BK42" i="9"/>
  <c r="BU42" i="9" s="1"/>
  <c r="E43" i="12"/>
  <c r="E43" i="9"/>
  <c r="G43" i="12"/>
  <c r="G43" i="9"/>
  <c r="I43" i="12"/>
  <c r="I43" i="9"/>
  <c r="K43" i="12"/>
  <c r="K43" i="9"/>
  <c r="M43" i="12"/>
  <c r="BP43" i="12" s="1"/>
  <c r="M43" i="9"/>
  <c r="BP43" i="9" s="1"/>
  <c r="O43" i="12"/>
  <c r="O43" i="9"/>
  <c r="Q43" i="12"/>
  <c r="Q43" i="9"/>
  <c r="S43" i="12"/>
  <c r="S43" i="9"/>
  <c r="U43" i="12"/>
  <c r="U43" i="9"/>
  <c r="W43" i="12"/>
  <c r="BQ43" i="12" s="1"/>
  <c r="W43" i="9"/>
  <c r="BQ43" i="9" s="1"/>
  <c r="Y43" i="12"/>
  <c r="Y43" i="9"/>
  <c r="AA43" i="12"/>
  <c r="AA43" i="9"/>
  <c r="AC43" i="12"/>
  <c r="AC43" i="9"/>
  <c r="AE43" i="12"/>
  <c r="AE43" i="9"/>
  <c r="AG43" i="12"/>
  <c r="BR43" i="12" s="1"/>
  <c r="AG43" i="9"/>
  <c r="BR43" i="9" s="1"/>
  <c r="AI43" i="12"/>
  <c r="AI43" i="9"/>
  <c r="AK43" i="12"/>
  <c r="AK43" i="9"/>
  <c r="AM43" i="12"/>
  <c r="AM43" i="9"/>
  <c r="AO43" i="12"/>
  <c r="AO43" i="9"/>
  <c r="AQ43" i="12"/>
  <c r="BS43" i="12" s="1"/>
  <c r="AQ43" i="9"/>
  <c r="BS43" i="9" s="1"/>
  <c r="AS43" i="12"/>
  <c r="AS43" i="9"/>
  <c r="AU43" i="12"/>
  <c r="AU43" i="9"/>
  <c r="AW43" i="12"/>
  <c r="AW43" i="9"/>
  <c r="AY43" i="12"/>
  <c r="AY43" i="9"/>
  <c r="BA43" i="12"/>
  <c r="BT43" i="12" s="1"/>
  <c r="BA43" i="9"/>
  <c r="BT43" i="9" s="1"/>
  <c r="BC43" i="12"/>
  <c r="BC43" i="9"/>
  <c r="BE43" i="12"/>
  <c r="BE43" i="9"/>
  <c r="BG43" i="12"/>
  <c r="BG43" i="9"/>
  <c r="BI43" i="12"/>
  <c r="BI43" i="9"/>
  <c r="BK43" i="12"/>
  <c r="BU43" i="12" s="1"/>
  <c r="BK43" i="9"/>
  <c r="BU43" i="9" s="1"/>
  <c r="AG24" i="11"/>
  <c r="E44" i="12"/>
  <c r="E44" i="9"/>
  <c r="AI24" i="11"/>
  <c r="G44" i="12"/>
  <c r="G44" i="9"/>
  <c r="AK24" i="11"/>
  <c r="I44" i="12"/>
  <c r="I44" i="9"/>
  <c r="AM24" i="11"/>
  <c r="K44" i="12"/>
  <c r="K44" i="9"/>
  <c r="AO24" i="11"/>
  <c r="M44" i="12"/>
  <c r="BP44" i="12" s="1"/>
  <c r="M44" i="9"/>
  <c r="BP44" i="9" s="1"/>
  <c r="AQ24" i="11"/>
  <c r="O44" i="12"/>
  <c r="O44" i="9"/>
  <c r="AS24" i="11"/>
  <c r="Q44" i="12"/>
  <c r="Q44" i="9"/>
  <c r="AU24" i="11"/>
  <c r="S44" i="12"/>
  <c r="S44" i="9"/>
  <c r="AW24" i="11"/>
  <c r="U44" i="12"/>
  <c r="U44" i="9"/>
  <c r="AY24" i="11"/>
  <c r="W44" i="12"/>
  <c r="BQ44" i="12" s="1"/>
  <c r="W44" i="9"/>
  <c r="BQ44" i="9" s="1"/>
  <c r="BA24" i="11"/>
  <c r="Y44" i="12"/>
  <c r="Y44" i="9"/>
  <c r="BC24" i="11"/>
  <c r="AA44" i="12"/>
  <c r="AA44" i="9"/>
  <c r="BE24" i="11"/>
  <c r="AC44" i="12"/>
  <c r="AC44" i="9"/>
  <c r="BG24" i="11"/>
  <c r="AE44" i="12"/>
  <c r="AE44" i="9"/>
  <c r="BI24" i="11"/>
  <c r="AG44" i="12"/>
  <c r="BR44" i="12" s="1"/>
  <c r="AG44" i="9"/>
  <c r="BR44" i="9" s="1"/>
  <c r="BK24" i="11"/>
  <c r="AI44" i="12"/>
  <c r="AI44" i="9"/>
  <c r="BM24" i="11"/>
  <c r="AK44" i="12"/>
  <c r="AK44" i="9"/>
  <c r="BO24" i="11"/>
  <c r="AM44" i="12"/>
  <c r="AM44" i="9"/>
  <c r="BQ24" i="11"/>
  <c r="AO44" i="12"/>
  <c r="AO44" i="9"/>
  <c r="BS24" i="11"/>
  <c r="AQ44" i="12"/>
  <c r="BS44" i="12" s="1"/>
  <c r="AQ44" i="9"/>
  <c r="BS44" i="9" s="1"/>
  <c r="BU24" i="11"/>
  <c r="AS44" i="12"/>
  <c r="AS44" i="9"/>
  <c r="BW24" i="11"/>
  <c r="AU44" i="12"/>
  <c r="AU44" i="9"/>
  <c r="BY24" i="11"/>
  <c r="AW44" i="12"/>
  <c r="AW44" i="9"/>
  <c r="CA24" i="11"/>
  <c r="AY44" i="12"/>
  <c r="AY44" i="9"/>
  <c r="CC24" i="11"/>
  <c r="BA44" i="12"/>
  <c r="BT44" i="12" s="1"/>
  <c r="BA44" i="9"/>
  <c r="BT44" i="9" s="1"/>
  <c r="CE24" i="11"/>
  <c r="BC44" i="12"/>
  <c r="BC44" i="9"/>
  <c r="CG24" i="11"/>
  <c r="BE44" i="12"/>
  <c r="BE44" i="9"/>
  <c r="CI24" i="11"/>
  <c r="BG44" i="12"/>
  <c r="BG44" i="9"/>
  <c r="CK24" i="11"/>
  <c r="BI44" i="12"/>
  <c r="BI44" i="9"/>
  <c r="CM24" i="11"/>
  <c r="BK44" i="12"/>
  <c r="BU44" i="12" s="1"/>
  <c r="BK44" i="9"/>
  <c r="BU44" i="9" s="1"/>
  <c r="E45" i="12"/>
  <c r="E45" i="9"/>
  <c r="G45" i="12"/>
  <c r="G45" i="9"/>
  <c r="I45" i="12"/>
  <c r="I45" i="9"/>
  <c r="K45" i="12"/>
  <c r="K45" i="9"/>
  <c r="M45" i="12"/>
  <c r="BP45" i="12" s="1"/>
  <c r="M45" i="9"/>
  <c r="BP45" i="9" s="1"/>
  <c r="O45" i="12"/>
  <c r="O45" i="9"/>
  <c r="Q45" i="12"/>
  <c r="Q45" i="9"/>
  <c r="S45" i="12"/>
  <c r="S45" i="9"/>
  <c r="U45" i="12"/>
  <c r="U45" i="9"/>
  <c r="W45" i="12"/>
  <c r="BQ45" i="12" s="1"/>
  <c r="W45" i="9"/>
  <c r="BQ45" i="9" s="1"/>
  <c r="Y45" i="12"/>
  <c r="Y45" i="9"/>
  <c r="AA45" i="12"/>
  <c r="AA45" i="9"/>
  <c r="AC45" i="12"/>
  <c r="AC45" i="9"/>
  <c r="AE45" i="12"/>
  <c r="AE45" i="9"/>
  <c r="AG45" i="12"/>
  <c r="BR45" i="12" s="1"/>
  <c r="AG45" i="9"/>
  <c r="BR45" i="9" s="1"/>
  <c r="AI45" i="12"/>
  <c r="AI45" i="9"/>
  <c r="AK45" i="12"/>
  <c r="AK45" i="9"/>
  <c r="AM45" i="12"/>
  <c r="AM45" i="9"/>
  <c r="AO45" i="12"/>
  <c r="AO45" i="9"/>
  <c r="AQ45" i="12"/>
  <c r="BS45" i="12" s="1"/>
  <c r="AQ45" i="9"/>
  <c r="BS45" i="9" s="1"/>
  <c r="AS45" i="12"/>
  <c r="AS45" i="9"/>
  <c r="AU45" i="12"/>
  <c r="AU45" i="9"/>
  <c r="AW45" i="12"/>
  <c r="AW45" i="9"/>
  <c r="AY45" i="12"/>
  <c r="AY45" i="9"/>
  <c r="BA45" i="12"/>
  <c r="BT45" i="12" s="1"/>
  <c r="BA45" i="9"/>
  <c r="BT45" i="9" s="1"/>
  <c r="BC45" i="12"/>
  <c r="BC45" i="9"/>
  <c r="BE45" i="12"/>
  <c r="BE45" i="9"/>
  <c r="BG45" i="12"/>
  <c r="BG45" i="9"/>
  <c r="BI45" i="12"/>
  <c r="BI45" i="9"/>
  <c r="BK45" i="12"/>
  <c r="BU45" i="12" s="1"/>
  <c r="BK45" i="9"/>
  <c r="BU45" i="9" s="1"/>
  <c r="B54" i="1"/>
  <c r="F52" i="1"/>
  <c r="H52" i="1"/>
  <c r="J52" i="1"/>
  <c r="L52" i="1"/>
  <c r="N52" i="1"/>
  <c r="P52" i="1"/>
  <c r="R52" i="1"/>
  <c r="V52" i="1"/>
  <c r="X52" i="1"/>
  <c r="Z52" i="1"/>
  <c r="AB52" i="1"/>
  <c r="AD52" i="1"/>
  <c r="C54" i="1"/>
  <c r="E54" i="1"/>
  <c r="G54" i="1"/>
  <c r="I54" i="1"/>
  <c r="K54" i="1"/>
  <c r="O54" i="1"/>
  <c r="S54" i="1"/>
  <c r="U54" i="1"/>
  <c r="W54" i="1"/>
  <c r="Y54" i="1"/>
  <c r="AA54" i="1"/>
  <c r="AE54" i="1"/>
  <c r="C52" i="4"/>
  <c r="E52" i="4"/>
  <c r="G52" i="4"/>
  <c r="K52" i="4"/>
  <c r="M52" i="4"/>
  <c r="O52" i="4"/>
  <c r="Q52" i="4"/>
  <c r="S52" i="4"/>
  <c r="U52" i="4"/>
  <c r="W52" i="4"/>
  <c r="AA52" i="4"/>
  <c r="AC52" i="4"/>
  <c r="AE52" i="4"/>
  <c r="AF23" i="11"/>
  <c r="D42" i="12"/>
  <c r="BO42" i="12" s="1"/>
  <c r="BO42" i="9"/>
  <c r="AH23" i="11"/>
  <c r="F42" i="9"/>
  <c r="F42" i="12"/>
  <c r="AJ23" i="11"/>
  <c r="H42" i="9"/>
  <c r="H42" i="12"/>
  <c r="AL23" i="11"/>
  <c r="J42" i="9"/>
  <c r="J42" i="12"/>
  <c r="AN23" i="11"/>
  <c r="L42" i="9"/>
  <c r="L42" i="12"/>
  <c r="AP23" i="11"/>
  <c r="N42" i="9"/>
  <c r="N42" i="12"/>
  <c r="AR23" i="11"/>
  <c r="P42" i="9"/>
  <c r="P42" i="12"/>
  <c r="AT23" i="11"/>
  <c r="R42" i="9"/>
  <c r="R42" i="12"/>
  <c r="AV23" i="11"/>
  <c r="T42" i="9"/>
  <c r="T42" i="12"/>
  <c r="AX23" i="11"/>
  <c r="V42" i="9"/>
  <c r="V42" i="12"/>
  <c r="AZ23" i="11"/>
  <c r="X42" i="9"/>
  <c r="X42" i="12"/>
  <c r="BB23" i="11"/>
  <c r="Z42" i="9"/>
  <c r="Z42" i="12"/>
  <c r="BD23" i="11"/>
  <c r="AB42" i="9"/>
  <c r="AB42" i="12"/>
  <c r="BF23" i="11"/>
  <c r="AD42" i="9"/>
  <c r="AD42" i="12"/>
  <c r="BH23" i="11"/>
  <c r="AF42" i="9"/>
  <c r="AF42" i="12"/>
  <c r="BJ23" i="11"/>
  <c r="AH42" i="9"/>
  <c r="AH42" i="12"/>
  <c r="BL23" i="11"/>
  <c r="AJ42" i="9"/>
  <c r="AJ42" i="12"/>
  <c r="BN23" i="11"/>
  <c r="AL42" i="9"/>
  <c r="AL42" i="12"/>
  <c r="BP23" i="11"/>
  <c r="AN42" i="9"/>
  <c r="AN42" i="12"/>
  <c r="BR23" i="11"/>
  <c r="AP42" i="9"/>
  <c r="AP42" i="12"/>
  <c r="BT23" i="11"/>
  <c r="AR42" i="9"/>
  <c r="AR42" i="12"/>
  <c r="BV23" i="11"/>
  <c r="AT42" i="9"/>
  <c r="AT42" i="12"/>
  <c r="BX23" i="11"/>
  <c r="AV42" i="9"/>
  <c r="AV42" i="12"/>
  <c r="BZ23" i="11"/>
  <c r="AX42" i="9"/>
  <c r="AX42" i="12"/>
  <c r="CB23" i="11"/>
  <c r="AZ42" i="9"/>
  <c r="AZ42" i="12"/>
  <c r="CD23" i="11"/>
  <c r="BB42" i="9"/>
  <c r="BB42" i="12"/>
  <c r="CF23" i="11"/>
  <c r="BD42" i="9"/>
  <c r="BD42" i="12"/>
  <c r="CH23" i="11"/>
  <c r="BF42" i="9"/>
  <c r="BF42" i="12"/>
  <c r="CJ23" i="11"/>
  <c r="BH42" i="9"/>
  <c r="BH42" i="12"/>
  <c r="CL23" i="11"/>
  <c r="BJ42" i="9"/>
  <c r="BJ42" i="12"/>
  <c r="D43" i="9"/>
  <c r="BO43" i="9" s="1"/>
  <c r="D43" i="12"/>
  <c r="BO43" i="12" s="1"/>
  <c r="F43" i="12"/>
  <c r="F43" i="9"/>
  <c r="H43" i="12"/>
  <c r="H43" i="9"/>
  <c r="J43" i="12"/>
  <c r="J43" i="9"/>
  <c r="L43" i="12"/>
  <c r="L43" i="9"/>
  <c r="N43" i="12"/>
  <c r="N43" i="9"/>
  <c r="P43" i="12"/>
  <c r="P43" i="9"/>
  <c r="R43" i="12"/>
  <c r="R43" i="9"/>
  <c r="T43" i="12"/>
  <c r="T43" i="9"/>
  <c r="V43" i="12"/>
  <c r="V43" i="9"/>
  <c r="X43" i="12"/>
  <c r="X43" i="9"/>
  <c r="Z43" i="12"/>
  <c r="Z43" i="9"/>
  <c r="AB43" i="12"/>
  <c r="AB43" i="9"/>
  <c r="AD43" i="12"/>
  <c r="AD43" i="9"/>
  <c r="AF43" i="12"/>
  <c r="AF43" i="9"/>
  <c r="AH43" i="12"/>
  <c r="AH43" i="9"/>
  <c r="AJ43" i="12"/>
  <c r="AJ43" i="9"/>
  <c r="AL43" i="12"/>
  <c r="AL43" i="9"/>
  <c r="AN43" i="12"/>
  <c r="AN43" i="9"/>
  <c r="AP43" i="12"/>
  <c r="AP43" i="9"/>
  <c r="AR43" i="12"/>
  <c r="AR43" i="9"/>
  <c r="AT43" i="12"/>
  <c r="AT43" i="9"/>
  <c r="AV43" i="12"/>
  <c r="AV43" i="9"/>
  <c r="AX43" i="12"/>
  <c r="AX43" i="9"/>
  <c r="AZ43" i="12"/>
  <c r="AZ43" i="9"/>
  <c r="BB43" i="12"/>
  <c r="BB43" i="9"/>
  <c r="BD43" i="12"/>
  <c r="BD43" i="9"/>
  <c r="BF43" i="12"/>
  <c r="BF43" i="9"/>
  <c r="BH43" i="12"/>
  <c r="BH43" i="9"/>
  <c r="BJ43" i="12"/>
  <c r="BJ43" i="9"/>
  <c r="AF24" i="11"/>
  <c r="D44" i="12"/>
  <c r="BO44" i="12" s="1"/>
  <c r="D44" i="9"/>
  <c r="BO44" i="9" s="1"/>
  <c r="AH24" i="11"/>
  <c r="F44" i="9"/>
  <c r="F44" i="12"/>
  <c r="AJ24" i="11"/>
  <c r="H44" i="9"/>
  <c r="H44" i="12"/>
  <c r="AL24" i="11"/>
  <c r="J44" i="9"/>
  <c r="J44" i="12"/>
  <c r="AN24" i="11"/>
  <c r="L44" i="9"/>
  <c r="L44" i="12"/>
  <c r="AP24" i="11"/>
  <c r="N44" i="9"/>
  <c r="N44" i="12"/>
  <c r="AR24" i="11"/>
  <c r="P44" i="9"/>
  <c r="P44" i="12"/>
  <c r="AT24" i="11"/>
  <c r="R44" i="9"/>
  <c r="R44" i="12"/>
  <c r="AV24" i="11"/>
  <c r="T44" i="9"/>
  <c r="T44" i="12"/>
  <c r="AX24" i="11"/>
  <c r="V44" i="9"/>
  <c r="V44" i="12"/>
  <c r="AZ24" i="11"/>
  <c r="X44" i="9"/>
  <c r="X44" i="12"/>
  <c r="BB24" i="11"/>
  <c r="Z44" i="9"/>
  <c r="Z44" i="12"/>
  <c r="BD24" i="11"/>
  <c r="AB44" i="9"/>
  <c r="AB44" i="12"/>
  <c r="BF24" i="11"/>
  <c r="AD44" i="9"/>
  <c r="AD44" i="12"/>
  <c r="BH24" i="11"/>
  <c r="AF44" i="9"/>
  <c r="AF44" i="12"/>
  <c r="BJ24" i="11"/>
  <c r="AH44" i="9"/>
  <c r="AH44" i="12"/>
  <c r="BL24" i="11"/>
  <c r="AJ44" i="9"/>
  <c r="AJ44" i="12"/>
  <c r="BN24" i="11"/>
  <c r="AL44" i="9"/>
  <c r="AL44" i="12"/>
  <c r="BP24" i="11"/>
  <c r="AN44" i="9"/>
  <c r="AN44" i="12"/>
  <c r="BR24" i="11"/>
  <c r="AP44" i="9"/>
  <c r="AP44" i="12"/>
  <c r="BT24" i="11"/>
  <c r="AR44" i="9"/>
  <c r="AR44" i="12"/>
  <c r="BV24" i="11"/>
  <c r="AT44" i="9"/>
  <c r="AT44" i="12"/>
  <c r="BX24" i="11"/>
  <c r="AV44" i="9"/>
  <c r="AV44" i="12"/>
  <c r="BZ24" i="11"/>
  <c r="AX44" i="9"/>
  <c r="AX44" i="12"/>
  <c r="CB24" i="11"/>
  <c r="AZ44" i="9"/>
  <c r="AZ44" i="12"/>
  <c r="CD24" i="11"/>
  <c r="BB44" i="9"/>
  <c r="BB44" i="12"/>
  <c r="CF24" i="11"/>
  <c r="BD44" i="9"/>
  <c r="BD44" i="12"/>
  <c r="CH24" i="11"/>
  <c r="BF44" i="9"/>
  <c r="BF44" i="12"/>
  <c r="CJ24" i="11"/>
  <c r="BH44" i="9"/>
  <c r="BH44" i="12"/>
  <c r="CL24" i="11"/>
  <c r="BJ44" i="9"/>
  <c r="BJ44" i="12"/>
  <c r="D45" i="9"/>
  <c r="BO45" i="9" s="1"/>
  <c r="D45" i="12"/>
  <c r="BO45" i="12" s="1"/>
  <c r="F45" i="12"/>
  <c r="F45" i="9"/>
  <c r="H45" i="12"/>
  <c r="H45" i="9"/>
  <c r="J45" i="12"/>
  <c r="J45" i="9"/>
  <c r="L45" i="12"/>
  <c r="L45" i="9"/>
  <c r="N45" i="12"/>
  <c r="N45" i="9"/>
  <c r="P45" i="12"/>
  <c r="P45" i="9"/>
  <c r="R45" i="12"/>
  <c r="R45" i="9"/>
  <c r="T45" i="12"/>
  <c r="T45" i="9"/>
  <c r="V45" i="12"/>
  <c r="V45" i="9"/>
  <c r="X45" i="12"/>
  <c r="X45" i="9"/>
  <c r="Z45" i="12"/>
  <c r="Z45" i="9"/>
  <c r="AB45" i="12"/>
  <c r="AB45" i="9"/>
  <c r="AD45" i="12"/>
  <c r="AD45" i="9"/>
  <c r="AF45" i="12"/>
  <c r="AF45" i="9"/>
  <c r="AH45" i="12"/>
  <c r="AH45" i="9"/>
  <c r="AJ45" i="12"/>
  <c r="AJ45" i="9"/>
  <c r="AL45" i="12"/>
  <c r="AL45" i="9"/>
  <c r="AN45" i="12"/>
  <c r="AN45" i="9"/>
  <c r="AP45" i="12"/>
  <c r="AP45" i="9"/>
  <c r="AR45" i="12"/>
  <c r="AR45" i="9"/>
  <c r="AT45" i="12"/>
  <c r="AT45" i="9"/>
  <c r="AV45" i="12"/>
  <c r="AV45" i="9"/>
  <c r="AX45" i="12"/>
  <c r="AX45" i="9"/>
  <c r="AZ45" i="12"/>
  <c r="AZ45" i="9"/>
  <c r="BB45" i="12"/>
  <c r="BB45" i="9"/>
  <c r="BD45" i="12"/>
  <c r="BD45" i="9"/>
  <c r="BF45" i="12"/>
  <c r="BF45" i="9"/>
  <c r="BH45" i="12"/>
  <c r="BH45" i="9"/>
  <c r="BJ45" i="12"/>
  <c r="BJ45" i="9"/>
  <c r="B52" i="1"/>
  <c r="D54" i="1"/>
  <c r="F54" i="1"/>
  <c r="J54" i="1"/>
  <c r="N54" i="1"/>
  <c r="P54" i="1"/>
  <c r="R54" i="1"/>
  <c r="T54" i="1"/>
  <c r="V54" i="1"/>
  <c r="Z54" i="1"/>
  <c r="AD54" i="1"/>
  <c r="AG27" i="10"/>
  <c r="E42" i="13"/>
  <c r="E42" i="14"/>
  <c r="AI27" i="10"/>
  <c r="G42" i="13"/>
  <c r="G42" i="14"/>
  <c r="AK27" i="10"/>
  <c r="I42" i="13"/>
  <c r="I42" i="14"/>
  <c r="AM27" i="10"/>
  <c r="K42" i="13"/>
  <c r="K42" i="14"/>
  <c r="AO27" i="10"/>
  <c r="M42" i="13"/>
  <c r="BP42" i="13" s="1"/>
  <c r="M42" i="14"/>
  <c r="BP42" i="14" s="1"/>
  <c r="AQ27" i="10"/>
  <c r="O42" i="13"/>
  <c r="O42" i="14"/>
  <c r="AS27" i="10"/>
  <c r="Q42" i="13"/>
  <c r="Q42" i="14"/>
  <c r="AU27" i="10"/>
  <c r="S42" i="13"/>
  <c r="S42" i="14"/>
  <c r="AW27" i="10"/>
  <c r="U42" i="13"/>
  <c r="U42" i="14"/>
  <c r="AY27" i="10"/>
  <c r="W42" i="13"/>
  <c r="BQ42" i="13" s="1"/>
  <c r="W42" i="14"/>
  <c r="BQ42" i="14" s="1"/>
  <c r="BA27" i="10"/>
  <c r="Y42" i="13"/>
  <c r="Y42" i="14"/>
  <c r="BC27" i="10"/>
  <c r="AA42" i="13"/>
  <c r="AA42" i="14"/>
  <c r="BE27" i="10"/>
  <c r="AC42" i="13"/>
  <c r="AC42" i="14"/>
  <c r="BG27" i="10"/>
  <c r="AE42" i="13"/>
  <c r="AE42" i="14"/>
  <c r="BI27" i="10"/>
  <c r="AG42" i="13"/>
  <c r="BR42" i="13" s="1"/>
  <c r="AG42" i="14"/>
  <c r="BR42" i="14" s="1"/>
  <c r="BK27" i="10"/>
  <c r="AI42" i="13"/>
  <c r="AI42" i="14"/>
  <c r="BM27" i="10"/>
  <c r="AK42" i="13"/>
  <c r="AK42" i="14"/>
  <c r="BO27" i="10"/>
  <c r="AM42" i="13"/>
  <c r="AM42" i="14"/>
  <c r="BQ27" i="10"/>
  <c r="AO42" i="13"/>
  <c r="AO42" i="14"/>
  <c r="BS27" i="10"/>
  <c r="AQ42" i="13"/>
  <c r="BS42" i="13" s="1"/>
  <c r="AQ42" i="14"/>
  <c r="BS42" i="14" s="1"/>
  <c r="BU27" i="10"/>
  <c r="AS42" i="13"/>
  <c r="AS42" i="14"/>
  <c r="BW27" i="10"/>
  <c r="AU42" i="13"/>
  <c r="AU42" i="14"/>
  <c r="BY27" i="10"/>
  <c r="AW42" i="13"/>
  <c r="AW42" i="14"/>
  <c r="CA27" i="10"/>
  <c r="AY42" i="13"/>
  <c r="AY42" i="14"/>
  <c r="CC27" i="10"/>
  <c r="BA42" i="13"/>
  <c r="BT42" i="13" s="1"/>
  <c r="BA42" i="14"/>
  <c r="BT42" i="14" s="1"/>
  <c r="CE27" i="10"/>
  <c r="BC42" i="13"/>
  <c r="BC42" i="14"/>
  <c r="CG27" i="10"/>
  <c r="BE42" i="13"/>
  <c r="BE42" i="14"/>
  <c r="CI27" i="10"/>
  <c r="BG42" i="13"/>
  <c r="BG42" i="14"/>
  <c r="CK27" i="10"/>
  <c r="BI42" i="13"/>
  <c r="BI42" i="14"/>
  <c r="CM27" i="10"/>
  <c r="BK42" i="13"/>
  <c r="BU42" i="13" s="1"/>
  <c r="BK42" i="14"/>
  <c r="BU42" i="14" s="1"/>
  <c r="AG28" i="10"/>
  <c r="E44" i="13"/>
  <c r="E44" i="14"/>
  <c r="AI28" i="10"/>
  <c r="G44" i="13"/>
  <c r="G44" i="14"/>
  <c r="AK28" i="10"/>
  <c r="I44" i="13"/>
  <c r="I44" i="14"/>
  <c r="AM28" i="10"/>
  <c r="K44" i="13"/>
  <c r="K44" i="14"/>
  <c r="AO28" i="10"/>
  <c r="M44" i="13"/>
  <c r="BP44" i="13" s="1"/>
  <c r="M44" i="14"/>
  <c r="BP44" i="14" s="1"/>
  <c r="AQ28" i="10"/>
  <c r="O44" i="13"/>
  <c r="O44" i="14"/>
  <c r="AS28" i="10"/>
  <c r="Q44" i="13"/>
  <c r="Q44" i="14"/>
  <c r="AU28" i="10"/>
  <c r="S44" i="13"/>
  <c r="S44" i="14"/>
  <c r="AW28" i="10"/>
  <c r="U44" i="13"/>
  <c r="U44" i="14"/>
  <c r="AY28" i="10"/>
  <c r="W44" i="13"/>
  <c r="BQ44" i="13" s="1"/>
  <c r="W44" i="14"/>
  <c r="BQ44" i="14" s="1"/>
  <c r="BA28" i="10"/>
  <c r="Y44" i="13"/>
  <c r="Y44" i="14"/>
  <c r="BC28" i="10"/>
  <c r="AA44" i="13"/>
  <c r="AA44" i="14"/>
  <c r="BE28" i="10"/>
  <c r="AC44" i="13"/>
  <c r="AC44" i="14"/>
  <c r="BG28" i="10"/>
  <c r="AE44" i="13"/>
  <c r="AE44" i="14"/>
  <c r="BI28" i="10"/>
  <c r="AG44" i="13"/>
  <c r="BR44" i="13" s="1"/>
  <c r="AG44" i="14"/>
  <c r="BR44" i="14" s="1"/>
  <c r="BK28" i="10"/>
  <c r="AI44" i="13"/>
  <c r="AI44" i="14"/>
  <c r="BM28" i="10"/>
  <c r="AK44" i="13"/>
  <c r="AK44" i="14"/>
  <c r="BO28" i="10"/>
  <c r="AM44" i="13"/>
  <c r="AM44" i="14"/>
  <c r="BQ28" i="10"/>
  <c r="AO44" i="13"/>
  <c r="AO44" i="14"/>
  <c r="BS28" i="10"/>
  <c r="AQ44" i="13"/>
  <c r="BS44" i="13" s="1"/>
  <c r="AQ44" i="14"/>
  <c r="BS44" i="14" s="1"/>
  <c r="BU28" i="10"/>
  <c r="AS44" i="13"/>
  <c r="AS44" i="14"/>
  <c r="BW28" i="10"/>
  <c r="AU44" i="13"/>
  <c r="AU44" i="14"/>
  <c r="BY28" i="10"/>
  <c r="AW44" i="13"/>
  <c r="AW44" i="14"/>
  <c r="CA28" i="10"/>
  <c r="AY44" i="13"/>
  <c r="AY44" i="14"/>
  <c r="CC28" i="10"/>
  <c r="BA44" i="13"/>
  <c r="BT44" i="13" s="1"/>
  <c r="BA44" i="14"/>
  <c r="BT44" i="14" s="1"/>
  <c r="CE28" i="10"/>
  <c r="BC44" i="13"/>
  <c r="BC44" i="14"/>
  <c r="CG28" i="10"/>
  <c r="BE44" i="13"/>
  <c r="BE44" i="14"/>
  <c r="CI28" i="10"/>
  <c r="BG44" i="13"/>
  <c r="BG44" i="14"/>
  <c r="CK28" i="10"/>
  <c r="BI44" i="13"/>
  <c r="BI44" i="14"/>
  <c r="CM28" i="10"/>
  <c r="BK44" i="13"/>
  <c r="BU44" i="13" s="1"/>
  <c r="BK44" i="14"/>
  <c r="BU44" i="14" s="1"/>
  <c r="E43" i="14"/>
  <c r="E43" i="13"/>
  <c r="G43" i="14"/>
  <c r="G43" i="13"/>
  <c r="I43" i="14"/>
  <c r="I43" i="13"/>
  <c r="K43" i="14"/>
  <c r="K43" i="13"/>
  <c r="M43" i="14"/>
  <c r="BP43" i="14" s="1"/>
  <c r="M43" i="13"/>
  <c r="BP43" i="13" s="1"/>
  <c r="O43" i="14"/>
  <c r="O43" i="13"/>
  <c r="Q43" i="14"/>
  <c r="Q43" i="13"/>
  <c r="S43" i="14"/>
  <c r="S43" i="13"/>
  <c r="U43" i="14"/>
  <c r="U43" i="13"/>
  <c r="W43" i="14"/>
  <c r="BQ43" i="14" s="1"/>
  <c r="W43" i="13"/>
  <c r="BQ43" i="13" s="1"/>
  <c r="Y43" i="14"/>
  <c r="Y43" i="13"/>
  <c r="AA43" i="14"/>
  <c r="AA43" i="13"/>
  <c r="AC43" i="14"/>
  <c r="AC43" i="13"/>
  <c r="AE43" i="14"/>
  <c r="AE43" i="13"/>
  <c r="AG43" i="14"/>
  <c r="BR43" i="14" s="1"/>
  <c r="AG43" i="13"/>
  <c r="BR43" i="13" s="1"/>
  <c r="AI43" i="14"/>
  <c r="AI43" i="13"/>
  <c r="AK43" i="14"/>
  <c r="AK43" i="13"/>
  <c r="AM43" i="14"/>
  <c r="AM43" i="13"/>
  <c r="AO43" i="14"/>
  <c r="AO43" i="13"/>
  <c r="AQ43" i="14"/>
  <c r="BS43" i="14" s="1"/>
  <c r="AQ43" i="13"/>
  <c r="BS43" i="13" s="1"/>
  <c r="AS43" i="14"/>
  <c r="AS43" i="13"/>
  <c r="AU43" i="14"/>
  <c r="AU43" i="13"/>
  <c r="AW43" i="14"/>
  <c r="AW43" i="13"/>
  <c r="AY43" i="14"/>
  <c r="AY43" i="13"/>
  <c r="BA43" i="14"/>
  <c r="BT43" i="14" s="1"/>
  <c r="BA43" i="13"/>
  <c r="BT43" i="13" s="1"/>
  <c r="BC43" i="14"/>
  <c r="BC43" i="13"/>
  <c r="BE43" i="14"/>
  <c r="BE43" i="13"/>
  <c r="BG43" i="14"/>
  <c r="BG43" i="13"/>
  <c r="BI43" i="14"/>
  <c r="BI43" i="13"/>
  <c r="BK43" i="14"/>
  <c r="BU43" i="14" s="1"/>
  <c r="BK43" i="13"/>
  <c r="BU43" i="13" s="1"/>
  <c r="E45" i="14"/>
  <c r="E45" i="13"/>
  <c r="G45" i="14"/>
  <c r="G45" i="13"/>
  <c r="I45" i="14"/>
  <c r="I45" i="13"/>
  <c r="K45" i="14"/>
  <c r="K45" i="13"/>
  <c r="M45" i="14"/>
  <c r="BP45" i="14" s="1"/>
  <c r="M45" i="13"/>
  <c r="BP45" i="13" s="1"/>
  <c r="O45" i="14"/>
  <c r="O45" i="13"/>
  <c r="Q45" i="14"/>
  <c r="Q45" i="13"/>
  <c r="S45" i="14"/>
  <c r="S45" i="13"/>
  <c r="U45" i="14"/>
  <c r="U45" i="13"/>
  <c r="W45" i="14"/>
  <c r="BQ45" i="14" s="1"/>
  <c r="W45" i="13"/>
  <c r="BQ45" i="13" s="1"/>
  <c r="Y45" i="14"/>
  <c r="Y45" i="13"/>
  <c r="AA45" i="14"/>
  <c r="AA45" i="13"/>
  <c r="AC45" i="14"/>
  <c r="AC45" i="13"/>
  <c r="AE45" i="14"/>
  <c r="AE45" i="13"/>
  <c r="AG45" i="14"/>
  <c r="BR45" i="14" s="1"/>
  <c r="AG45" i="13"/>
  <c r="BR45" i="13" s="1"/>
  <c r="AI45" i="14"/>
  <c r="AI45" i="13"/>
  <c r="AK45" i="14"/>
  <c r="AK45" i="13"/>
  <c r="AM45" i="14"/>
  <c r="AM45" i="13"/>
  <c r="AO45" i="14"/>
  <c r="AO45" i="13"/>
  <c r="AQ45" i="14"/>
  <c r="BS45" i="14" s="1"/>
  <c r="AQ45" i="13"/>
  <c r="BS45" i="13" s="1"/>
  <c r="AS45" i="14"/>
  <c r="AS45" i="13"/>
  <c r="AU45" i="14"/>
  <c r="AU45" i="13"/>
  <c r="AW45" i="14"/>
  <c r="AW45" i="13"/>
  <c r="AY45" i="14"/>
  <c r="AY45" i="13"/>
  <c r="BA45" i="14"/>
  <c r="BT45" i="14" s="1"/>
  <c r="BA45" i="13"/>
  <c r="BT45" i="13" s="1"/>
  <c r="BC45" i="14"/>
  <c r="BC45" i="13"/>
  <c r="BE45" i="14"/>
  <c r="BE45" i="13"/>
  <c r="BG45" i="14"/>
  <c r="BG45" i="13"/>
  <c r="BI45" i="14"/>
  <c r="BI45" i="13"/>
  <c r="BK45" i="14"/>
  <c r="BU45" i="14" s="1"/>
  <c r="BK45" i="13"/>
  <c r="BU45" i="13" s="1"/>
  <c r="B54" i="5"/>
  <c r="D52" i="5"/>
  <c r="F52" i="5"/>
  <c r="H52" i="5"/>
  <c r="J52" i="5"/>
  <c r="N52" i="5"/>
  <c r="P52" i="5"/>
  <c r="R52" i="5"/>
  <c r="T52" i="5"/>
  <c r="V52" i="5"/>
  <c r="X52" i="5"/>
  <c r="Z52" i="5"/>
  <c r="AB52" i="5"/>
  <c r="AD52" i="5"/>
  <c r="C54" i="5"/>
  <c r="G54" i="5"/>
  <c r="K54" i="5"/>
  <c r="M54" i="5"/>
  <c r="O54" i="5"/>
  <c r="Q54" i="5"/>
  <c r="S54" i="5"/>
  <c r="W54" i="5"/>
  <c r="AA54" i="5"/>
  <c r="AC54" i="5"/>
  <c r="AE54" i="5"/>
  <c r="C52" i="6"/>
  <c r="E52" i="6"/>
  <c r="G52" i="6"/>
  <c r="I52" i="6"/>
  <c r="K52" i="6"/>
  <c r="M52" i="6"/>
  <c r="O52" i="6"/>
  <c r="Q52" i="6"/>
  <c r="S52" i="6"/>
  <c r="U52" i="6"/>
  <c r="W52" i="6"/>
  <c r="Y52" i="6"/>
  <c r="AA52" i="6"/>
  <c r="AC52" i="6"/>
  <c r="AE52" i="6"/>
  <c r="AF27" i="10"/>
  <c r="D42" i="14"/>
  <c r="BO42" i="14" s="1"/>
  <c r="D42" i="13"/>
  <c r="BO42" i="13" s="1"/>
  <c r="AH27" i="10"/>
  <c r="F42" i="14"/>
  <c r="F42" i="13"/>
  <c r="AJ27" i="10"/>
  <c r="H42" i="14"/>
  <c r="H42" i="13"/>
  <c r="AL27" i="10"/>
  <c r="J42" i="14"/>
  <c r="J42" i="13"/>
  <c r="AN27" i="10"/>
  <c r="L42" i="14"/>
  <c r="L42" i="13"/>
  <c r="AP27" i="10"/>
  <c r="N42" i="14"/>
  <c r="N42" i="13"/>
  <c r="AR27" i="10"/>
  <c r="P42" i="14"/>
  <c r="P42" i="13"/>
  <c r="AT27" i="10"/>
  <c r="R42" i="14"/>
  <c r="R42" i="13"/>
  <c r="AV27" i="10"/>
  <c r="T42" i="14"/>
  <c r="T42" i="13"/>
  <c r="AX27" i="10"/>
  <c r="V42" i="14"/>
  <c r="V42" i="13"/>
  <c r="AZ27" i="10"/>
  <c r="X42" i="14"/>
  <c r="X42" i="13"/>
  <c r="BB27" i="10"/>
  <c r="Z42" i="14"/>
  <c r="Z42" i="13"/>
  <c r="BD27" i="10"/>
  <c r="AB42" i="14"/>
  <c r="AB42" i="13"/>
  <c r="BF27" i="10"/>
  <c r="AD42" i="14"/>
  <c r="AD42" i="13"/>
  <c r="BH27" i="10"/>
  <c r="AF42" i="14"/>
  <c r="AF42" i="13"/>
  <c r="BJ27" i="10"/>
  <c r="AH42" i="14"/>
  <c r="AH42" i="13"/>
  <c r="BL27" i="10"/>
  <c r="AJ42" i="14"/>
  <c r="AJ42" i="13"/>
  <c r="BN27" i="10"/>
  <c r="AL42" i="14"/>
  <c r="AL42" i="13"/>
  <c r="BP27" i="10"/>
  <c r="AN42" i="14"/>
  <c r="AN42" i="13"/>
  <c r="BR27" i="10"/>
  <c r="AP42" i="14"/>
  <c r="AP42" i="13"/>
  <c r="BT27" i="10"/>
  <c r="AR42" i="14"/>
  <c r="AR42" i="13"/>
  <c r="BV27" i="10"/>
  <c r="AT42" i="14"/>
  <c r="AT42" i="13"/>
  <c r="BX27" i="10"/>
  <c r="AV42" i="14"/>
  <c r="AV42" i="13"/>
  <c r="BZ27" i="10"/>
  <c r="AX42" i="14"/>
  <c r="AX42" i="13"/>
  <c r="CB27" i="10"/>
  <c r="AZ42" i="14"/>
  <c r="AZ42" i="13"/>
  <c r="CD27" i="10"/>
  <c r="BB42" i="14"/>
  <c r="BB42" i="13"/>
  <c r="CF27" i="10"/>
  <c r="BD42" i="14"/>
  <c r="BD42" i="13"/>
  <c r="CH27" i="10"/>
  <c r="BF42" i="14"/>
  <c r="BF42" i="13"/>
  <c r="CJ27" i="10"/>
  <c r="BH42" i="14"/>
  <c r="BH42" i="13"/>
  <c r="CL27" i="10"/>
  <c r="BJ42" i="14"/>
  <c r="BJ42" i="13"/>
  <c r="AF28" i="10"/>
  <c r="D44" i="14"/>
  <c r="BO44" i="14" s="1"/>
  <c r="D44" i="13"/>
  <c r="BO44" i="13" s="1"/>
  <c r="AH28" i="10"/>
  <c r="F44" i="14"/>
  <c r="F44" i="13"/>
  <c r="AJ28" i="10"/>
  <c r="H44" i="14"/>
  <c r="H44" i="13"/>
  <c r="AL28" i="10"/>
  <c r="J44" i="14"/>
  <c r="J44" i="13"/>
  <c r="AN28" i="10"/>
  <c r="L44" i="14"/>
  <c r="L44" i="13"/>
  <c r="AP28" i="10"/>
  <c r="N44" i="14"/>
  <c r="N44" i="13"/>
  <c r="AR28" i="10"/>
  <c r="P44" i="14"/>
  <c r="P44" i="13"/>
  <c r="AT28" i="10"/>
  <c r="R44" i="14"/>
  <c r="R44" i="13"/>
  <c r="AV28" i="10"/>
  <c r="T44" i="14"/>
  <c r="T44" i="13"/>
  <c r="AX28" i="10"/>
  <c r="V44" i="14"/>
  <c r="V44" i="13"/>
  <c r="AZ28" i="10"/>
  <c r="X44" i="14"/>
  <c r="X44" i="13"/>
  <c r="BB28" i="10"/>
  <c r="Z44" i="14"/>
  <c r="Z44" i="13"/>
  <c r="BD28" i="10"/>
  <c r="AB44" i="14"/>
  <c r="AB44" i="13"/>
  <c r="BF28" i="10"/>
  <c r="AD44" i="14"/>
  <c r="AD44" i="13"/>
  <c r="BH28" i="10"/>
  <c r="AF44" i="14"/>
  <c r="AF44" i="13"/>
  <c r="BJ28" i="10"/>
  <c r="AH44" i="14"/>
  <c r="AH44" i="13"/>
  <c r="BL28" i="10"/>
  <c r="AJ44" i="14"/>
  <c r="AJ44" i="13"/>
  <c r="BN28" i="10"/>
  <c r="AL44" i="14"/>
  <c r="AL44" i="13"/>
  <c r="BP28" i="10"/>
  <c r="AN44" i="14"/>
  <c r="AN44" i="13"/>
  <c r="BR28" i="10"/>
  <c r="AP44" i="14"/>
  <c r="AP44" i="13"/>
  <c r="BT28" i="10"/>
  <c r="AR44" i="14"/>
  <c r="AR44" i="13"/>
  <c r="BV28" i="10"/>
  <c r="AT44" i="14"/>
  <c r="AT44" i="13"/>
  <c r="BX28" i="10"/>
  <c r="AV44" i="14"/>
  <c r="AV44" i="13"/>
  <c r="BZ28" i="10"/>
  <c r="AX44" i="14"/>
  <c r="AX44" i="13"/>
  <c r="CB28" i="10"/>
  <c r="AZ44" i="14"/>
  <c r="AZ44" i="13"/>
  <c r="CD28" i="10"/>
  <c r="BB44" i="14"/>
  <c r="BB44" i="13"/>
  <c r="CF28" i="10"/>
  <c r="BD44" i="14"/>
  <c r="BD44" i="13"/>
  <c r="CH28" i="10"/>
  <c r="BF44" i="14"/>
  <c r="BF44" i="13"/>
  <c r="CJ28" i="10"/>
  <c r="BH44" i="14"/>
  <c r="BH44" i="13"/>
  <c r="CL28" i="10"/>
  <c r="BJ44" i="14"/>
  <c r="BJ44" i="13"/>
  <c r="D43" i="14"/>
  <c r="BO43" i="14" s="1"/>
  <c r="D43" i="13"/>
  <c r="BO43" i="13" s="1"/>
  <c r="F43" i="14"/>
  <c r="F43" i="13"/>
  <c r="H43" i="14"/>
  <c r="H43" i="13"/>
  <c r="J43" i="14"/>
  <c r="J43" i="13"/>
  <c r="L43" i="14"/>
  <c r="L43" i="13"/>
  <c r="N43" i="14"/>
  <c r="N43" i="13"/>
  <c r="P43" i="14"/>
  <c r="P43" i="13"/>
  <c r="R43" i="14"/>
  <c r="R43" i="13"/>
  <c r="T43" i="14"/>
  <c r="T43" i="13"/>
  <c r="V43" i="14"/>
  <c r="V43" i="13"/>
  <c r="X43" i="14"/>
  <c r="X43" i="13"/>
  <c r="Z43" i="14"/>
  <c r="Z43" i="13"/>
  <c r="AB43" i="14"/>
  <c r="AB43" i="13"/>
  <c r="AD43" i="14"/>
  <c r="AD43" i="13"/>
  <c r="AF43" i="14"/>
  <c r="AF43" i="13"/>
  <c r="AH43" i="14"/>
  <c r="AH43" i="13"/>
  <c r="AJ43" i="14"/>
  <c r="AJ43" i="13"/>
  <c r="AL43" i="14"/>
  <c r="AL43" i="13"/>
  <c r="AN43" i="14"/>
  <c r="AN43" i="13"/>
  <c r="AP43" i="14"/>
  <c r="AP43" i="13"/>
  <c r="AR43" i="14"/>
  <c r="AR43" i="13"/>
  <c r="AT43" i="14"/>
  <c r="AT43" i="13"/>
  <c r="AV43" i="14"/>
  <c r="AV43" i="13"/>
  <c r="AX43" i="14"/>
  <c r="AX43" i="13"/>
  <c r="AZ43" i="14"/>
  <c r="AZ43" i="13"/>
  <c r="BB43" i="14"/>
  <c r="BB43" i="13"/>
  <c r="BD43" i="14"/>
  <c r="BD43" i="13"/>
  <c r="BF43" i="14"/>
  <c r="BF43" i="13"/>
  <c r="BH43" i="14"/>
  <c r="BH43" i="13"/>
  <c r="BJ43" i="14"/>
  <c r="BJ43" i="13"/>
  <c r="D45" i="14"/>
  <c r="BO45" i="14" s="1"/>
  <c r="D45" i="13"/>
  <c r="BO45" i="13" s="1"/>
  <c r="F45" i="14"/>
  <c r="F45" i="13"/>
  <c r="H45" i="14"/>
  <c r="H45" i="13"/>
  <c r="J45" i="14"/>
  <c r="J45" i="13"/>
  <c r="L45" i="14"/>
  <c r="L45" i="13"/>
  <c r="N45" i="14"/>
  <c r="N45" i="13"/>
  <c r="P45" i="14"/>
  <c r="P45" i="13"/>
  <c r="R45" i="14"/>
  <c r="R45" i="13"/>
  <c r="T45" i="14"/>
  <c r="T45" i="13"/>
  <c r="V45" i="14"/>
  <c r="V45" i="13"/>
  <c r="X45" i="14"/>
  <c r="X45" i="13"/>
  <c r="Z45" i="14"/>
  <c r="Z45" i="13"/>
  <c r="AB45" i="14"/>
  <c r="AB45" i="13"/>
  <c r="AD45" i="14"/>
  <c r="AD45" i="13"/>
  <c r="AF45" i="14"/>
  <c r="AF45" i="13"/>
  <c r="AH45" i="14"/>
  <c r="AH45" i="13"/>
  <c r="AJ45" i="14"/>
  <c r="AJ45" i="13"/>
  <c r="AL45" i="14"/>
  <c r="AL45" i="13"/>
  <c r="AN45" i="14"/>
  <c r="AN45" i="13"/>
  <c r="AP45" i="14"/>
  <c r="AP45" i="13"/>
  <c r="AR45" i="14"/>
  <c r="AR45" i="13"/>
  <c r="AT45" i="14"/>
  <c r="AT45" i="13"/>
  <c r="AV45" i="14"/>
  <c r="AV45" i="13"/>
  <c r="AX45" i="14"/>
  <c r="AX45" i="13"/>
  <c r="AZ45" i="14"/>
  <c r="AZ45" i="13"/>
  <c r="BB45" i="14"/>
  <c r="BB45" i="13"/>
  <c r="BD45" i="14"/>
  <c r="BD45" i="13"/>
  <c r="BF45" i="14"/>
  <c r="BF45" i="13"/>
  <c r="BH45" i="14"/>
  <c r="BH45" i="13"/>
  <c r="BJ45" i="14"/>
  <c r="BJ45" i="13"/>
  <c r="B52" i="5"/>
  <c r="F54" i="5"/>
  <c r="J54" i="5"/>
  <c r="L54" i="5"/>
  <c r="N54" i="5"/>
  <c r="R54" i="5"/>
  <c r="V54" i="5"/>
  <c r="X54" i="5"/>
  <c r="AB54" i="5"/>
  <c r="AD54" i="5"/>
  <c r="J29" i="3"/>
  <c r="D3" i="8" s="1"/>
  <c r="K29" i="3"/>
  <c r="E3" i="8" s="1"/>
  <c r="E4" i="8" s="1"/>
  <c r="L29" i="3"/>
  <c r="F3" i="8" s="1"/>
  <c r="F4" i="8" s="1"/>
  <c r="I29" i="3"/>
  <c r="C3" i="8" s="1"/>
  <c r="C4" i="8" s="1"/>
  <c r="T54" i="5" l="1"/>
  <c r="D54" i="5"/>
  <c r="Z54" i="5"/>
  <c r="L52" i="5"/>
  <c r="Y52" i="4"/>
  <c r="I52" i="4"/>
  <c r="T52" i="1"/>
  <c r="D52" i="1"/>
  <c r="P54" i="5"/>
  <c r="H54" i="5"/>
  <c r="U54" i="5"/>
  <c r="E54" i="5"/>
  <c r="X54" i="1"/>
  <c r="H54" i="1"/>
  <c r="AC54" i="1"/>
  <c r="M54" i="1"/>
  <c r="Y54" i="5"/>
  <c r="I54" i="5"/>
  <c r="AB54" i="1"/>
  <c r="L54" i="1"/>
  <c r="Q54" i="1"/>
  <c r="CB15" i="12"/>
  <c r="BV45" i="9"/>
  <c r="BW17" i="9"/>
  <c r="BW2" i="9"/>
  <c r="BW13" i="9"/>
  <c r="BW6" i="9"/>
  <c r="BW17" i="12"/>
  <c r="BW13" i="12"/>
  <c r="BV23" i="12"/>
  <c r="BW6" i="12"/>
  <c r="BY12" i="12"/>
  <c r="BW2" i="12"/>
  <c r="BV12" i="12"/>
  <c r="CB2" i="12"/>
  <c r="BV45" i="14"/>
  <c r="CA23" i="12"/>
  <c r="BV45" i="13"/>
  <c r="BV45" i="12"/>
  <c r="BY23" i="12"/>
  <c r="CA12" i="12"/>
  <c r="BY23" i="9"/>
  <c r="BY12" i="9"/>
  <c r="BZ12" i="9" s="1"/>
  <c r="CL54" i="4"/>
  <c r="CL54" i="1"/>
  <c r="CH54" i="4"/>
  <c r="CH54" i="1"/>
  <c r="CD54" i="4"/>
  <c r="CD54" i="1"/>
  <c r="BZ54" i="4"/>
  <c r="BZ54" i="1"/>
  <c r="BV54" i="4"/>
  <c r="BV54" i="1"/>
  <c r="BR54" i="4"/>
  <c r="BR54" i="1"/>
  <c r="BN54" i="4"/>
  <c r="BN54" i="1"/>
  <c r="BJ54" i="4"/>
  <c r="BJ54" i="1"/>
  <c r="BF54" i="4"/>
  <c r="BF54" i="1"/>
  <c r="BB54" i="4"/>
  <c r="BB54" i="1"/>
  <c r="AX54" i="4"/>
  <c r="AX54" i="1"/>
  <c r="AT54" i="4"/>
  <c r="AT54" i="1"/>
  <c r="AP54" i="4"/>
  <c r="AP54" i="1"/>
  <c r="AL54" i="4"/>
  <c r="AL54" i="1"/>
  <c r="AH54" i="4"/>
  <c r="AH54" i="1"/>
  <c r="CL52" i="4"/>
  <c r="CL52" i="1"/>
  <c r="CH52" i="4"/>
  <c r="CH52" i="1"/>
  <c r="CD52" i="4"/>
  <c r="CD52" i="1"/>
  <c r="BZ52" i="4"/>
  <c r="BZ52" i="1"/>
  <c r="BV52" i="4"/>
  <c r="BV52" i="1"/>
  <c r="BR52" i="4"/>
  <c r="BR52" i="1"/>
  <c r="BN52" i="4"/>
  <c r="BN52" i="1"/>
  <c r="BJ52" i="4"/>
  <c r="BJ52" i="1"/>
  <c r="BF52" i="4"/>
  <c r="BF52" i="1"/>
  <c r="BB52" i="4"/>
  <c r="BB52" i="1"/>
  <c r="AX52" i="4"/>
  <c r="AX52" i="1"/>
  <c r="AT52" i="4"/>
  <c r="AT52" i="1"/>
  <c r="AP52" i="4"/>
  <c r="AP52" i="1"/>
  <c r="AL52" i="4"/>
  <c r="AL52" i="1"/>
  <c r="AH52" i="4"/>
  <c r="AH52" i="1"/>
  <c r="CK54" i="4"/>
  <c r="CK54" i="1"/>
  <c r="CG54" i="4"/>
  <c r="CG54" i="1"/>
  <c r="CC54" i="4"/>
  <c r="CC54" i="1"/>
  <c r="BY54" i="4"/>
  <c r="BY54" i="1"/>
  <c r="BU54" i="4"/>
  <c r="BU54" i="1"/>
  <c r="BQ54" i="4"/>
  <c r="BQ54" i="1"/>
  <c r="BM54" i="4"/>
  <c r="BM54" i="1"/>
  <c r="BI54" i="4"/>
  <c r="BI54" i="1"/>
  <c r="BE54" i="4"/>
  <c r="BE54" i="1"/>
  <c r="BA54" i="4"/>
  <c r="BA54" i="1"/>
  <c r="AW54" i="4"/>
  <c r="AW54" i="1"/>
  <c r="AS54" i="4"/>
  <c r="AS54" i="1"/>
  <c r="AO54" i="4"/>
  <c r="AO54" i="1"/>
  <c r="AK54" i="4"/>
  <c r="AK54" i="1"/>
  <c r="AG54" i="4"/>
  <c r="AG54" i="1"/>
  <c r="CK52" i="1"/>
  <c r="CK52" i="4"/>
  <c r="CG52" i="1"/>
  <c r="CG52" i="4"/>
  <c r="CC52" i="1"/>
  <c r="CC52" i="4"/>
  <c r="BY52" i="1"/>
  <c r="BY52" i="4"/>
  <c r="BU52" i="1"/>
  <c r="BU52" i="4"/>
  <c r="BQ52" i="1"/>
  <c r="BQ52" i="4"/>
  <c r="BM52" i="1"/>
  <c r="BM52" i="4"/>
  <c r="BI52" i="1"/>
  <c r="BI52" i="4"/>
  <c r="BE52" i="1"/>
  <c r="BE52" i="4"/>
  <c r="BA52" i="1"/>
  <c r="BA52" i="4"/>
  <c r="AW52" i="1"/>
  <c r="AW52" i="4"/>
  <c r="AS52" i="1"/>
  <c r="AS52" i="4"/>
  <c r="AO52" i="1"/>
  <c r="AO52" i="4"/>
  <c r="AK52" i="1"/>
  <c r="AK52" i="4"/>
  <c r="AG52" i="1"/>
  <c r="AG52" i="4"/>
  <c r="CJ54" i="4"/>
  <c r="CJ54" i="1"/>
  <c r="CF54" i="4"/>
  <c r="CF54" i="1"/>
  <c r="CB54" i="4"/>
  <c r="CB54" i="1"/>
  <c r="BX54" i="4"/>
  <c r="BX54" i="1"/>
  <c r="BT54" i="4"/>
  <c r="BT54" i="1"/>
  <c r="BP54" i="4"/>
  <c r="BP54" i="1"/>
  <c r="BL54" i="4"/>
  <c r="BL54" i="1"/>
  <c r="BH54" i="4"/>
  <c r="BH54" i="1"/>
  <c r="BD54" i="4"/>
  <c r="BD54" i="1"/>
  <c r="AZ54" i="4"/>
  <c r="AZ54" i="1"/>
  <c r="AV54" i="4"/>
  <c r="AV54" i="1"/>
  <c r="AR54" i="4"/>
  <c r="AR54" i="1"/>
  <c r="AN54" i="4"/>
  <c r="AN54" i="1"/>
  <c r="AJ54" i="4"/>
  <c r="AJ54" i="1"/>
  <c r="AF54" i="4"/>
  <c r="AF54" i="1"/>
  <c r="CJ52" i="4"/>
  <c r="CJ52" i="1"/>
  <c r="CF52" i="4"/>
  <c r="CF52" i="1"/>
  <c r="CB52" i="4"/>
  <c r="CB52" i="1"/>
  <c r="BX52" i="4"/>
  <c r="BX52" i="1"/>
  <c r="BT52" i="4"/>
  <c r="BT52" i="1"/>
  <c r="BP52" i="4"/>
  <c r="BP52" i="1"/>
  <c r="BL52" i="4"/>
  <c r="BL52" i="1"/>
  <c r="BH52" i="4"/>
  <c r="BH52" i="1"/>
  <c r="BD52" i="4"/>
  <c r="BD52" i="1"/>
  <c r="AZ52" i="4"/>
  <c r="AZ52" i="1"/>
  <c r="AV52" i="4"/>
  <c r="AV52" i="1"/>
  <c r="AR52" i="4"/>
  <c r="AR52" i="1"/>
  <c r="AN52" i="4"/>
  <c r="AN52" i="1"/>
  <c r="AJ52" i="4"/>
  <c r="AJ52" i="1"/>
  <c r="AF52" i="4"/>
  <c r="AF52" i="1"/>
  <c r="CM54" i="4"/>
  <c r="CM54" i="1"/>
  <c r="CI54" i="4"/>
  <c r="CI54" i="1"/>
  <c r="CE54" i="4"/>
  <c r="CE54" i="1"/>
  <c r="CA54" i="4"/>
  <c r="CA54" i="1"/>
  <c r="BW54" i="4"/>
  <c r="BW54" i="1"/>
  <c r="BS54" i="4"/>
  <c r="BS54" i="1"/>
  <c r="BO54" i="4"/>
  <c r="BO54" i="1"/>
  <c r="BK54" i="4"/>
  <c r="BK54" i="1"/>
  <c r="BG54" i="4"/>
  <c r="BG54" i="1"/>
  <c r="BC54" i="4"/>
  <c r="BC54" i="1"/>
  <c r="AY54" i="4"/>
  <c r="AY54" i="1"/>
  <c r="AU54" i="4"/>
  <c r="AU54" i="1"/>
  <c r="AQ54" i="4"/>
  <c r="AQ54" i="1"/>
  <c r="AM54" i="4"/>
  <c r="AM54" i="1"/>
  <c r="AI54" i="4"/>
  <c r="AI54" i="1"/>
  <c r="CM52" i="1"/>
  <c r="CM52" i="4"/>
  <c r="CI52" i="1"/>
  <c r="CI52" i="4"/>
  <c r="CE52" i="1"/>
  <c r="CE52" i="4"/>
  <c r="CA52" i="1"/>
  <c r="CA52" i="4"/>
  <c r="BW52" i="1"/>
  <c r="BW52" i="4"/>
  <c r="BS52" i="1"/>
  <c r="BS52" i="4"/>
  <c r="BO52" i="1"/>
  <c r="BO52" i="4"/>
  <c r="BK52" i="1"/>
  <c r="BK52" i="4"/>
  <c r="BG52" i="1"/>
  <c r="BG52" i="4"/>
  <c r="BC52" i="1"/>
  <c r="BC52" i="4"/>
  <c r="AY52" i="1"/>
  <c r="AY52" i="4"/>
  <c r="AU52" i="1"/>
  <c r="AU52" i="4"/>
  <c r="AQ52" i="1"/>
  <c r="AQ52" i="4"/>
  <c r="AM52" i="1"/>
  <c r="AM52" i="4"/>
  <c r="AI52" i="1"/>
  <c r="AI52" i="4"/>
  <c r="CL54" i="6"/>
  <c r="CL54" i="5"/>
  <c r="CH54" i="6"/>
  <c r="CH54" i="5"/>
  <c r="CD54" i="6"/>
  <c r="CD54" i="5"/>
  <c r="BZ54" i="6"/>
  <c r="BZ54" i="5"/>
  <c r="BV54" i="6"/>
  <c r="BV54" i="5"/>
  <c r="BR54" i="6"/>
  <c r="BR54" i="5"/>
  <c r="BN54" i="6"/>
  <c r="BN54" i="5"/>
  <c r="BJ54" i="6"/>
  <c r="BJ54" i="5"/>
  <c r="BF54" i="6"/>
  <c r="BF54" i="5"/>
  <c r="BB54" i="6"/>
  <c r="BB54" i="5"/>
  <c r="AX54" i="6"/>
  <c r="AX54" i="5"/>
  <c r="AT54" i="6"/>
  <c r="AT54" i="5"/>
  <c r="AP54" i="6"/>
  <c r="AP54" i="5"/>
  <c r="AL54" i="6"/>
  <c r="AL54" i="5"/>
  <c r="AH54" i="6"/>
  <c r="AH54" i="5"/>
  <c r="CL52" i="6"/>
  <c r="CL52" i="5"/>
  <c r="CH52" i="6"/>
  <c r="CH52" i="5"/>
  <c r="CD52" i="6"/>
  <c r="CD52" i="5"/>
  <c r="BZ52" i="6"/>
  <c r="BZ52" i="5"/>
  <c r="BV52" i="6"/>
  <c r="BV52" i="5"/>
  <c r="BR52" i="6"/>
  <c r="BR52" i="5"/>
  <c r="BN52" i="6"/>
  <c r="BN52" i="5"/>
  <c r="BJ52" i="6"/>
  <c r="BJ52" i="5"/>
  <c r="BF52" i="6"/>
  <c r="BF52" i="5"/>
  <c r="BB52" i="6"/>
  <c r="BB52" i="5"/>
  <c r="AX52" i="6"/>
  <c r="AX52" i="5"/>
  <c r="AT52" i="6"/>
  <c r="AT52" i="5"/>
  <c r="AP52" i="6"/>
  <c r="AP52" i="5"/>
  <c r="AL52" i="6"/>
  <c r="AL52" i="5"/>
  <c r="AH52" i="6"/>
  <c r="AH52" i="5"/>
  <c r="CK54" i="6"/>
  <c r="CK54" i="5"/>
  <c r="CG54" i="6"/>
  <c r="CG54" i="5"/>
  <c r="CC54" i="6"/>
  <c r="CC54" i="5"/>
  <c r="BY54" i="6"/>
  <c r="BY54" i="5"/>
  <c r="BU54" i="6"/>
  <c r="BU54" i="5"/>
  <c r="BQ54" i="6"/>
  <c r="BQ54" i="5"/>
  <c r="BM54" i="6"/>
  <c r="BM54" i="5"/>
  <c r="BI54" i="6"/>
  <c r="BI54" i="5"/>
  <c r="BE54" i="6"/>
  <c r="BE54" i="5"/>
  <c r="BA54" i="6"/>
  <c r="BA54" i="5"/>
  <c r="AW54" i="6"/>
  <c r="AW54" i="5"/>
  <c r="AS54" i="6"/>
  <c r="AS54" i="5"/>
  <c r="AO54" i="6"/>
  <c r="AO54" i="5"/>
  <c r="AK54" i="6"/>
  <c r="AK54" i="5"/>
  <c r="AG54" i="6"/>
  <c r="AG54" i="5"/>
  <c r="CK52" i="5"/>
  <c r="CK52" i="6"/>
  <c r="CG52" i="5"/>
  <c r="CG52" i="6"/>
  <c r="CC52" i="5"/>
  <c r="CC52" i="6"/>
  <c r="BY52" i="5"/>
  <c r="BY52" i="6"/>
  <c r="BU52" i="5"/>
  <c r="BU52" i="6"/>
  <c r="BQ52" i="5"/>
  <c r="BQ52" i="6"/>
  <c r="BM52" i="5"/>
  <c r="BM52" i="6"/>
  <c r="BI52" i="5"/>
  <c r="BI52" i="6"/>
  <c r="BE52" i="5"/>
  <c r="BE52" i="6"/>
  <c r="BA52" i="5"/>
  <c r="BA52" i="6"/>
  <c r="AW52" i="5"/>
  <c r="AW52" i="6"/>
  <c r="AS52" i="5"/>
  <c r="AS52" i="6"/>
  <c r="AO52" i="5"/>
  <c r="AO52" i="6"/>
  <c r="AK52" i="5"/>
  <c r="AK52" i="6"/>
  <c r="AG52" i="5"/>
  <c r="AG52" i="6"/>
  <c r="CJ54" i="6"/>
  <c r="CJ54" i="5"/>
  <c r="CF54" i="6"/>
  <c r="CF54" i="5"/>
  <c r="CB54" i="6"/>
  <c r="CB54" i="5"/>
  <c r="BX54" i="6"/>
  <c r="BX54" i="5"/>
  <c r="BT54" i="6"/>
  <c r="BT54" i="5"/>
  <c r="BP54" i="6"/>
  <c r="BP54" i="5"/>
  <c r="BL54" i="6"/>
  <c r="BL54" i="5"/>
  <c r="BH54" i="6"/>
  <c r="BH54" i="5"/>
  <c r="BD54" i="6"/>
  <c r="BD54" i="5"/>
  <c r="AZ54" i="6"/>
  <c r="AZ54" i="5"/>
  <c r="AV54" i="6"/>
  <c r="AV54" i="5"/>
  <c r="AR54" i="6"/>
  <c r="AR54" i="5"/>
  <c r="AN54" i="6"/>
  <c r="AN54" i="5"/>
  <c r="AJ54" i="6"/>
  <c r="AJ54" i="5"/>
  <c r="AF54" i="6"/>
  <c r="AF54" i="5"/>
  <c r="CJ52" i="6"/>
  <c r="CJ52" i="5"/>
  <c r="CF52" i="6"/>
  <c r="CF52" i="5"/>
  <c r="CB52" i="6"/>
  <c r="CB52" i="5"/>
  <c r="BX52" i="6"/>
  <c r="BX52" i="5"/>
  <c r="BT52" i="6"/>
  <c r="BT52" i="5"/>
  <c r="BP52" i="6"/>
  <c r="BP52" i="5"/>
  <c r="BL52" i="6"/>
  <c r="BL52" i="5"/>
  <c r="BH52" i="6"/>
  <c r="BH52" i="5"/>
  <c r="BD52" i="6"/>
  <c r="BD52" i="5"/>
  <c r="AZ52" i="6"/>
  <c r="AZ52" i="5"/>
  <c r="AV52" i="6"/>
  <c r="AV52" i="5"/>
  <c r="AR52" i="6"/>
  <c r="AR52" i="5"/>
  <c r="AN52" i="6"/>
  <c r="AN52" i="5"/>
  <c r="AJ52" i="6"/>
  <c r="AJ52" i="5"/>
  <c r="AF52" i="6"/>
  <c r="AF52" i="5"/>
  <c r="CM54" i="6"/>
  <c r="CM54" i="5"/>
  <c r="CI54" i="6"/>
  <c r="CI54" i="5"/>
  <c r="CE54" i="6"/>
  <c r="CE54" i="5"/>
  <c r="CA54" i="6"/>
  <c r="CA54" i="5"/>
  <c r="BW54" i="6"/>
  <c r="BW54" i="5"/>
  <c r="BS54" i="6"/>
  <c r="BS54" i="5"/>
  <c r="BO54" i="6"/>
  <c r="BO54" i="5"/>
  <c r="BK54" i="6"/>
  <c r="BK54" i="5"/>
  <c r="BG54" i="6"/>
  <c r="BG54" i="5"/>
  <c r="BC54" i="6"/>
  <c r="BC54" i="5"/>
  <c r="AY54" i="6"/>
  <c r="AY54" i="5"/>
  <c r="AU54" i="6"/>
  <c r="AU54" i="5"/>
  <c r="AQ54" i="6"/>
  <c r="AQ54" i="5"/>
  <c r="AM54" i="6"/>
  <c r="AM54" i="5"/>
  <c r="AI54" i="6"/>
  <c r="AI54" i="5"/>
  <c r="CM52" i="5"/>
  <c r="CM52" i="6"/>
  <c r="CI52" i="5"/>
  <c r="CI52" i="6"/>
  <c r="CE52" i="5"/>
  <c r="CE52" i="6"/>
  <c r="CA52" i="5"/>
  <c r="CA52" i="6"/>
  <c r="BW52" i="5"/>
  <c r="BW52" i="6"/>
  <c r="BS52" i="5"/>
  <c r="BS52" i="6"/>
  <c r="BO52" i="5"/>
  <c r="BO52" i="6"/>
  <c r="BK52" i="5"/>
  <c r="BK52" i="6"/>
  <c r="BG52" i="5"/>
  <c r="BG52" i="6"/>
  <c r="BC52" i="5"/>
  <c r="BC52" i="6"/>
  <c r="AY52" i="5"/>
  <c r="AY52" i="6"/>
  <c r="AU52" i="5"/>
  <c r="AU52" i="6"/>
  <c r="AQ52" i="5"/>
  <c r="AQ52" i="6"/>
  <c r="AM52" i="5"/>
  <c r="AM52" i="6"/>
  <c r="AI52" i="5"/>
  <c r="AI52" i="6"/>
  <c r="BW12" i="12" l="1"/>
  <c r="BW23" i="12"/>
  <c r="BW22" i="12" s="1"/>
  <c r="BW11" i="12"/>
</calcChain>
</file>

<file path=xl/sharedStrings.xml><?xml version="1.0" encoding="utf-8"?>
<sst xmlns="http://schemas.openxmlformats.org/spreadsheetml/2006/main" count="1333" uniqueCount="141">
  <si>
    <t>ROW.per_capita_animal_product_demand_scenario</t>
  </si>
  <si>
    <t>…</t>
  </si>
  <si>
    <t>...</t>
  </si>
  <si>
    <t>ROW.per_capita_commodity_crop_demand_scenario</t>
  </si>
  <si>
    <t>ROW.Per_capita_VFN_demand_Scenario</t>
  </si>
  <si>
    <t>USA.per_capita_animal_product_demand_scenario</t>
  </si>
  <si>
    <t>USA.per_capita_commodity_crop_demand_scenario</t>
  </si>
  <si>
    <t>USA.Per_capita_VFN_demand_Scenario</t>
  </si>
  <si>
    <t>Run Configurations:</t>
  </si>
  <si>
    <t>Tab</t>
  </si>
  <si>
    <t>Input</t>
  </si>
  <si>
    <t>WAO Tables.xls</t>
  </si>
  <si>
    <t>Demand STELLA Base</t>
  </si>
  <si>
    <t>ROW.potential commodity crop yield</t>
  </si>
  <si>
    <t>ROW.Potential VFN yield</t>
  </si>
  <si>
    <t>ROW.potential fiber yield</t>
  </si>
  <si>
    <t>USA.potential commodity crop yield</t>
  </si>
  <si>
    <t>USA.potential fiber yield</t>
  </si>
  <si>
    <t>USA.Potential VFN yield</t>
  </si>
  <si>
    <t>WAO Scenario.csv</t>
  </si>
  <si>
    <t>WAO Scenario</t>
  </si>
  <si>
    <t>US.Crop Land Alloc to Cellulosic Energy Crop</t>
  </si>
  <si>
    <t>ROW.Crop Land Alloc to Cellulosic Energy Crop</t>
  </si>
  <si>
    <t>Run #</t>
  </si>
  <si>
    <t>Demand STELLA High</t>
  </si>
  <si>
    <t>25% by 2050.csv</t>
  </si>
  <si>
    <t>25% by 2050</t>
  </si>
  <si>
    <t>Yield STELLA</t>
  </si>
  <si>
    <t>Input Sheet</t>
  </si>
  <si>
    <t>Other Configurations</t>
  </si>
  <si>
    <t>From</t>
  </si>
  <si>
    <t xml:space="preserve">To </t>
  </si>
  <si>
    <t>Land Initializations</t>
  </si>
  <si>
    <t>USA.Crop Land Alloc to Cellulosic Energy Crop</t>
  </si>
  <si>
    <t>Region</t>
  </si>
  <si>
    <t>Crop</t>
  </si>
  <si>
    <t>Pasture</t>
  </si>
  <si>
    <t>CAN</t>
  </si>
  <si>
    <t>USA</t>
  </si>
  <si>
    <t>EU27</t>
  </si>
  <si>
    <t>BRAZIL</t>
  </si>
  <si>
    <t>JAPAN</t>
  </si>
  <si>
    <t>CHIHKG</t>
  </si>
  <si>
    <t>INDIA</t>
  </si>
  <si>
    <t>C_C_Amer</t>
  </si>
  <si>
    <t>S_o_Amer</t>
  </si>
  <si>
    <t>E_Asia</t>
  </si>
  <si>
    <t>Mala_Indo</t>
  </si>
  <si>
    <t>R_SE_Asia</t>
  </si>
  <si>
    <t>R_S_Asia</t>
  </si>
  <si>
    <t>Russia</t>
  </si>
  <si>
    <t>Oth_CEE_CIS</t>
  </si>
  <si>
    <t>R_Europe</t>
  </si>
  <si>
    <t>MEAS_NAfr</t>
  </si>
  <si>
    <t>S_S_AFR</t>
  </si>
  <si>
    <t>Oceania</t>
  </si>
  <si>
    <t>TOTAL ROW</t>
  </si>
  <si>
    <t>Available</t>
  </si>
  <si>
    <t>Abandoned</t>
  </si>
  <si>
    <t>(1992 values, consistent with 19 region initialization, input data from Jordan)</t>
  </si>
  <si>
    <t>Other notes:</t>
  </si>
  <si>
    <t>Meat crosswalk:  Used a blended cosswalk, that reflects a weighted average of Danny's 6 different crosswalks</t>
  </si>
  <si>
    <t>VFN yield factor:  Introduced a calibration factor for VFN to increase VFN yield relative to input data values.  Effect is to enable calibration of VFN land against input data</t>
  </si>
  <si>
    <t>Forage, pasture yield:  Instead of time series input (very noisy, very low values after "real" data ends), simply used initial potential crop land forage yield for base value</t>
  </si>
  <si>
    <t>potential pasture land yield factor:  set at 0.01 for both US and ROW.  Captures idea that pasture lands are less than forage yields</t>
  </si>
  <si>
    <t>forage demand kludgita:  set to value of 17 in US, 3 in ROW.  This may actually reflect problem with estimation of forage yield.</t>
  </si>
  <si>
    <t>commodity product kludgita:  set to value of 0.1 for cereal grain NEC, both in US and ROW.  Number applies to meat crosswalk values, used to enable calibration of cereal grain nec against harvested data</t>
  </si>
  <si>
    <t>calibration period:  1991-2005</t>
  </si>
  <si>
    <t>Cropland</t>
  </si>
  <si>
    <t>Forest and Grassland</t>
  </si>
  <si>
    <t>million ha</t>
  </si>
  <si>
    <t>ROW</t>
  </si>
  <si>
    <t>World</t>
  </si>
  <si>
    <t>Units</t>
  </si>
  <si>
    <t>ROW Oth</t>
  </si>
  <si>
    <t>ROW maize</t>
  </si>
  <si>
    <t>ROW wheat</t>
  </si>
  <si>
    <t>ROW Sugar</t>
  </si>
  <si>
    <t>ROW Cassava</t>
  </si>
  <si>
    <t>US maize</t>
  </si>
  <si>
    <t>US Cellulosic</t>
  </si>
  <si>
    <t>ROW Oth cer</t>
  </si>
  <si>
    <t>ROW sugar</t>
  </si>
  <si>
    <t>ROW cassava</t>
  </si>
  <si>
    <t>US Oil</t>
  </si>
  <si>
    <t>ROW oil</t>
  </si>
  <si>
    <t>Adjusted</t>
  </si>
  <si>
    <t>ROW Cellulosic</t>
  </si>
  <si>
    <t>US Cereal</t>
  </si>
  <si>
    <t>ROW Oth Cereal</t>
  </si>
  <si>
    <t>ROW Oil</t>
  </si>
  <si>
    <t>US.Crop Land Alloc to Cellulosic Energy crop</t>
  </si>
  <si>
    <t>Gg/capita/year</t>
  </si>
  <si>
    <t>Location</t>
  </si>
  <si>
    <t>Commodity Type</t>
  </si>
  <si>
    <t>pig like meat</t>
  </si>
  <si>
    <t>cow/sheep/goat like meat</t>
  </si>
  <si>
    <t>diary</t>
  </si>
  <si>
    <t>poultry like meat</t>
  </si>
  <si>
    <t>maize</t>
  </si>
  <si>
    <t>wheat</t>
  </si>
  <si>
    <t>rice</t>
  </si>
  <si>
    <t>oils (from crops)</t>
  </si>
  <si>
    <t>sugar</t>
  </si>
  <si>
    <t>vegetable, fruit, and nuts</t>
  </si>
  <si>
    <t>ethanol</t>
  </si>
  <si>
    <t>biodiesel/renewable diesel</t>
  </si>
  <si>
    <t>Gg/ha/year</t>
  </si>
  <si>
    <t>ha/year</t>
  </si>
  <si>
    <t>MJ/year</t>
  </si>
  <si>
    <t>million ha/year</t>
  </si>
  <si>
    <t>other cereals</t>
  </si>
  <si>
    <t>kg/capita/yr</t>
  </si>
  <si>
    <t>Mg/ha/year</t>
  </si>
  <si>
    <t>gal/yr</t>
  </si>
  <si>
    <t>MJ/L</t>
  </si>
  <si>
    <t>gasoline</t>
  </si>
  <si>
    <t>diesel</t>
  </si>
  <si>
    <t>L/gal</t>
  </si>
  <si>
    <t>MJ/gal</t>
  </si>
  <si>
    <t>EJ/yr</t>
  </si>
  <si>
    <t>ha</t>
  </si>
  <si>
    <t>Scenario</t>
  </si>
  <si>
    <t>High Yield</t>
  </si>
  <si>
    <t>Low Yield</t>
  </si>
  <si>
    <t>Base</t>
  </si>
  <si>
    <t>Yearly Yield Increase</t>
  </si>
  <si>
    <t>ROW.population_scenario</t>
  </si>
  <si>
    <t>million people/year</t>
  </si>
  <si>
    <t>1.5% (High)</t>
  </si>
  <si>
    <t>1% (Base)</t>
  </si>
  <si>
    <t>0.5% (Low)</t>
  </si>
  <si>
    <t>biodiesel</t>
  </si>
  <si>
    <t>m liters/yr</t>
  </si>
  <si>
    <t>2050 Change</t>
  </si>
  <si>
    <t>2005 Estimate</t>
  </si>
  <si>
    <t>2005-2050 Change</t>
  </si>
  <si>
    <t>2050 BAU to Hich Change</t>
  </si>
  <si>
    <t>2050 Estimate</t>
  </si>
  <si>
    <t>200-360</t>
  </si>
  <si>
    <t>340-330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</si>
</sst>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rgb="FFFF000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7"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0">
    <xf numFmtId="0" fontId="0" fillId="0" borderId="0" xfId="0"/>
    <xf numFmtId="0" fontId="0" fillId="35" borderId="0" xfId="0" applyFill="1"/>
    <xf numFmtId="0" fontId="0" fillId="0" borderId="0" xfId="0"/>
    <xf numFmtId="0" fontId="0" fillId="37" borderId="0" xfId="0" applyFill="1" applyAlignment="1">
      <alignment horizontal="center"/>
    </xf>
    <xf numFmtId="0" fontId="0" fillId="33" borderId="0" xfId="0" applyFill="1"/>
    <xf numFmtId="0" fontId="0" fillId="36" borderId="0" xfId="0" applyFill="1"/>
    <xf numFmtId="0" fontId="0" fillId="0" borderId="0" xfId="0"/>
    <xf numFmtId="11" fontId="0" fillId="0" borderId="0" xfId="0" applyNumberFormat="1"/>
    <xf numFmtId="0" fontId="0" fillId="0" borderId="0" xfId="0"/>
    <xf numFmtId="0" fontId="0" fillId="0" borderId="0" xfId="0"/>
    <xf numFmtId="11" fontId="0" fillId="0" borderId="0" xfId="0" applyNumberFormat="1"/>
    <xf numFmtId="0" fontId="18" fillId="0" borderId="0" xfId="0" applyFont="1"/>
    <xf numFmtId="0" fontId="18" fillId="0" borderId="0" xfId="0" applyFont="1"/>
    <xf numFmtId="0" fontId="0" fillId="0" borderId="0" xfId="0"/>
    <xf numFmtId="11" fontId="0" fillId="0" borderId="0" xfId="0" applyNumberFormat="1"/>
    <xf numFmtId="0" fontId="18" fillId="0" borderId="0" xfId="0" applyFont="1"/>
    <xf numFmtId="0" fontId="0" fillId="34" borderId="0" xfId="0" applyFill="1"/>
    <xf numFmtId="0" fontId="18" fillId="0" borderId="0" xfId="0" applyFont="1"/>
    <xf numFmtId="0" fontId="18" fillId="34" borderId="0" xfId="0" applyFont="1" applyFill="1"/>
    <xf numFmtId="11" fontId="0" fillId="0" borderId="0" xfId="0" applyNumberFormat="1"/>
    <xf numFmtId="0" fontId="0" fillId="37" borderId="0" xfId="0" applyFill="1"/>
    <xf numFmtId="0" fontId="18" fillId="37" borderId="0" xfId="0" applyFont="1" applyFill="1"/>
    <xf numFmtId="0" fontId="0" fillId="34" borderId="0" xfId="0" applyFill="1" applyAlignment="1">
      <alignment horizontal="center"/>
    </xf>
    <xf numFmtId="0" fontId="0" fillId="0" borderId="0" xfId="0"/>
    <xf numFmtId="11" fontId="0" fillId="0" borderId="0" xfId="0" applyNumberFormat="1"/>
    <xf numFmtId="0" fontId="0" fillId="0" borderId="0" xfId="0"/>
    <xf numFmtId="0" fontId="0" fillId="34" borderId="0" xfId="0" applyFill="1"/>
    <xf numFmtId="11" fontId="0" fillId="0" borderId="0" xfId="0" applyNumberFormat="1"/>
    <xf numFmtId="11" fontId="0" fillId="0" borderId="0" xfId="0" quotePrefix="1" applyNumberFormat="1"/>
    <xf numFmtId="0" fontId="14" fillId="34" borderId="0" xfId="0" applyFont="1" applyFill="1"/>
    <xf numFmtId="0" fontId="14" fillId="35" borderId="0" xfId="0" applyFont="1" applyFill="1"/>
    <xf numFmtId="0" fontId="0" fillId="35" borderId="0" xfId="0" applyFill="1" applyAlignment="1">
      <alignment horizontal="center"/>
    </xf>
    <xf numFmtId="0" fontId="18" fillId="35" borderId="0" xfId="0" applyFont="1" applyFill="1"/>
    <xf numFmtId="1" fontId="0" fillId="0" borderId="0" xfId="0" applyNumberFormat="1"/>
    <xf numFmtId="0" fontId="18" fillId="38" borderId="0" xfId="0" applyFont="1" applyFill="1"/>
    <xf numFmtId="0" fontId="0" fillId="38" borderId="0" xfId="0" applyFill="1" applyAlignment="1">
      <alignment horizontal="center"/>
    </xf>
    <xf numFmtId="0" fontId="0" fillId="38" borderId="0" xfId="0" applyFill="1"/>
    <xf numFmtId="0" fontId="19" fillId="0" borderId="0" xfId="0" applyFont="1"/>
    <xf numFmtId="0" fontId="14" fillId="38" borderId="0" xfId="0" applyFont="1" applyFill="1"/>
    <xf numFmtId="0" fontId="16" fillId="0" borderId="0" xfId="0" applyFont="1"/>
    <xf numFmtId="0" fontId="0" fillId="0" borderId="0" xfId="0"/>
    <xf numFmtId="0" fontId="0" fillId="0" borderId="0" xfId="0"/>
    <xf numFmtId="0" fontId="0" fillId="0" borderId="0" xfId="0"/>
    <xf numFmtId="0" fontId="0" fillId="0" borderId="0" xfId="0"/>
    <xf numFmtId="11" fontId="0" fillId="0" borderId="0" xfId="0" applyNumberFormat="1"/>
    <xf numFmtId="11" fontId="0" fillId="0" borderId="0" xfId="0" applyNumberFormat="1"/>
    <xf numFmtId="11" fontId="0" fillId="0" borderId="0" xfId="0" applyNumberFormat="1"/>
    <xf numFmtId="11" fontId="0" fillId="0" borderId="0" xfId="0" applyNumberFormat="1"/>
    <xf numFmtId="0" fontId="0" fillId="0" borderId="0" xfId="0" applyFill="1"/>
    <xf numFmtId="1" fontId="18" fillId="0" borderId="0" xfId="0" applyNumberFormat="1" applyFont="1"/>
    <xf numFmtId="0" fontId="18" fillId="0" borderId="0" xfId="0" applyFont="1"/>
    <xf numFmtId="1" fontId="0" fillId="0" borderId="0" xfId="0" applyNumberFormat="1"/>
    <xf numFmtId="0" fontId="0" fillId="0" borderId="0" xfId="0"/>
    <xf numFmtId="11" fontId="0" fillId="0" borderId="0" xfId="0" applyNumberFormat="1"/>
    <xf numFmtId="0" fontId="0" fillId="0" borderId="0" xfId="0"/>
    <xf numFmtId="11" fontId="0" fillId="0" borderId="0" xfId="0" applyNumberFormat="1"/>
    <xf numFmtId="0" fontId="18" fillId="0" borderId="0" xfId="0" applyFont="1"/>
    <xf numFmtId="0" fontId="0" fillId="0" borderId="0" xfId="0" applyBorder="1"/>
    <xf numFmtId="0" fontId="0" fillId="0" borderId="10" xfId="0" applyBorder="1"/>
    <xf numFmtId="0" fontId="0" fillId="0" borderId="11" xfId="0" applyBorder="1"/>
    <xf numFmtId="0" fontId="16" fillId="0" borderId="10" xfId="0" applyFont="1" applyBorder="1" applyAlignment="1">
      <alignment horizontal="center"/>
    </xf>
    <xf numFmtId="0" fontId="16" fillId="0" borderId="10" xfId="0" applyFont="1" applyBorder="1" applyAlignment="1">
      <alignment horizontal="center" vertical="center"/>
    </xf>
    <xf numFmtId="1" fontId="0" fillId="0" borderId="11" xfId="0" applyNumberFormat="1" applyBorder="1" applyAlignment="1">
      <alignment horizontal="center"/>
    </xf>
    <xf numFmtId="1" fontId="0" fillId="0" borderId="10" xfId="0" applyNumberFormat="1" applyBorder="1" applyAlignment="1">
      <alignment horizontal="center"/>
    </xf>
    <xf numFmtId="1" fontId="0" fillId="0" borderId="11" xfId="0" applyNumberFormat="1" applyBorder="1" applyAlignment="1">
      <alignment horizontal="center" vertical="center"/>
    </xf>
    <xf numFmtId="1" fontId="0" fillId="0" borderId="0" xfId="0" applyNumberFormat="1" applyBorder="1" applyAlignment="1">
      <alignment horizontal="center" vertical="center"/>
    </xf>
    <xf numFmtId="1" fontId="0" fillId="0" borderId="10" xfId="0" applyNumberFormat="1" applyBorder="1" applyAlignment="1">
      <alignment horizontal="center" vertical="center"/>
    </xf>
    <xf numFmtId="3" fontId="0" fillId="0" borderId="0" xfId="0" applyNumberFormat="1" applyBorder="1" applyAlignment="1">
      <alignment horizontal="center" vertical="center"/>
    </xf>
    <xf numFmtId="1" fontId="0" fillId="0" borderId="0" xfId="0" applyNumberFormat="1" applyAlignment="1">
      <alignment horizontal="center" vertical="center"/>
    </xf>
    <xf numFmtId="0" fontId="0" fillId="0" borderId="0" xfId="0" applyFill="1"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0" xfId="0" applyNumberFormat="1" applyBorder="1" applyAlignment="1">
      <alignment horizontal="center"/>
    </xf>
    <xf numFmtId="2" fontId="0" fillId="0" borderId="0" xfId="0" applyNumberFormat="1" applyBorder="1" applyAlignment="1">
      <alignment horizontal="center"/>
    </xf>
    <xf numFmtId="164" fontId="0" fillId="0" borderId="0" xfId="0" applyNumberFormat="1" applyBorder="1" applyAlignment="1">
      <alignment horizontal="center"/>
    </xf>
    <xf numFmtId="2" fontId="0" fillId="0" borderId="10" xfId="0" applyNumberFormat="1" applyBorder="1" applyAlignment="1">
      <alignment horizontal="center"/>
    </xf>
    <xf numFmtId="164" fontId="0" fillId="0" borderId="10" xfId="0" applyNumberFormat="1" applyBorder="1" applyAlignment="1">
      <alignment horizontal="center"/>
    </xf>
    <xf numFmtId="164" fontId="0" fillId="0" borderId="0" xfId="0" applyNumberFormat="1" applyBorder="1" applyAlignment="1">
      <alignment horizontal="center" vertical="center"/>
    </xf>
    <xf numFmtId="164" fontId="0" fillId="0" borderId="10" xfId="0" applyNumberFormat="1" applyBorder="1" applyAlignment="1">
      <alignment horizontal="center" vertical="center"/>
    </xf>
    <xf numFmtId="164" fontId="0" fillId="0" borderId="11" xfId="0" applyNumberFormat="1" applyBorder="1" applyAlignment="1">
      <alignment horizontal="center" vertical="center"/>
    </xf>
    <xf numFmtId="2" fontId="0" fillId="0" borderId="11" xfId="0" applyNumberFormat="1" applyBorder="1" applyAlignment="1">
      <alignment horizontal="center" vertical="center"/>
    </xf>
    <xf numFmtId="2" fontId="0" fillId="0" borderId="10" xfId="0" applyNumberFormat="1" applyBorder="1" applyAlignment="1">
      <alignment horizontal="center" vertical="center"/>
    </xf>
    <xf numFmtId="2" fontId="0" fillId="0" borderId="0" xfId="0" applyNumberFormat="1" applyBorder="1" applyAlignment="1">
      <alignment horizontal="center" vertical="center"/>
    </xf>
    <xf numFmtId="165" fontId="0" fillId="0" borderId="0" xfId="0" applyNumberFormat="1" applyBorder="1" applyAlignment="1">
      <alignment horizontal="center" vertical="center"/>
    </xf>
    <xf numFmtId="165" fontId="0" fillId="0" borderId="10" xfId="0" applyNumberFormat="1" applyBorder="1" applyAlignment="1">
      <alignment horizontal="center" vertical="center"/>
    </xf>
    <xf numFmtId="165" fontId="0" fillId="0" borderId="11" xfId="0" applyNumberFormat="1" applyBorder="1" applyAlignment="1">
      <alignment horizontal="center" vertical="center"/>
    </xf>
    <xf numFmtId="164" fontId="0" fillId="0" borderId="0" xfId="0" applyNumberFormat="1" applyAlignment="1">
      <alignment horizontal="center" vertical="center"/>
    </xf>
    <xf numFmtId="0" fontId="16" fillId="0" borderId="0" xfId="0" applyFont="1" applyBorder="1" applyAlignment="1">
      <alignment horizontal="center" vertical="center"/>
    </xf>
    <xf numFmtId="0" fontId="0" fillId="0" borderId="11" xfId="0" applyBorder="1" applyAlignment="1">
      <alignment horizontal="center"/>
    </xf>
    <xf numFmtId="9" fontId="0" fillId="0" borderId="11" xfId="0" applyNumberFormat="1" applyBorder="1" applyAlignment="1">
      <alignment horizontal="center"/>
    </xf>
    <xf numFmtId="0" fontId="0" fillId="0" borderId="10" xfId="0" applyBorder="1" applyAlignment="1">
      <alignment horizontal="center"/>
    </xf>
    <xf numFmtId="9" fontId="0" fillId="0" borderId="10" xfId="0" applyNumberFormat="1" applyBorder="1" applyAlignment="1">
      <alignment horizontal="center"/>
    </xf>
    <xf numFmtId="0" fontId="0" fillId="0" borderId="0" xfId="0" applyBorder="1" applyAlignment="1">
      <alignment horizontal="center"/>
    </xf>
    <xf numFmtId="166" fontId="0" fillId="0" borderId="0" xfId="0" applyNumberFormat="1" applyBorder="1" applyAlignment="1">
      <alignment horizontal="center"/>
    </xf>
    <xf numFmtId="166" fontId="0" fillId="0" borderId="10" xfId="0" applyNumberFormat="1" applyBorder="1" applyAlignment="1">
      <alignment horizontal="center"/>
    </xf>
    <xf numFmtId="9" fontId="0" fillId="0" borderId="10" xfId="0" applyNumberFormat="1" applyBorder="1" applyAlignment="1">
      <alignment horizontal="center" vertical="center"/>
    </xf>
    <xf numFmtId="10" fontId="0" fillId="0" borderId="0" xfId="0" applyNumberFormat="1" applyBorder="1" applyAlignment="1">
      <alignment horizontal="center" vertical="center"/>
    </xf>
    <xf numFmtId="0" fontId="16" fillId="0" borderId="12" xfId="0" applyFont="1" applyBorder="1" applyAlignment="1">
      <alignment horizontal="center" vertical="center"/>
    </xf>
    <xf numFmtId="166" fontId="0" fillId="0" borderId="11" xfId="0" applyNumberFormat="1" applyBorder="1" applyAlignment="1">
      <alignment horizontal="center"/>
    </xf>
    <xf numFmtId="164" fontId="0" fillId="0" borderId="0" xfId="0" applyNumberFormat="1"/>
    <xf numFmtId="166" fontId="0" fillId="0" borderId="0" xfId="0" applyNumberFormat="1"/>
    <xf numFmtId="10" fontId="0" fillId="0" borderId="0" xfId="0" applyNumberFormat="1"/>
    <xf numFmtId="2" fontId="0" fillId="0" borderId="0" xfId="0" applyNumberFormat="1"/>
    <xf numFmtId="0" fontId="18" fillId="0" borderId="11" xfId="0" applyFont="1"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18" fillId="0" borderId="0" xfId="0" applyFont="1" applyBorder="1" applyAlignment="1">
      <alignment horizontal="center" vertical="center"/>
    </xf>
    <xf numFmtId="0" fontId="18" fillId="0" borderId="10"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9"/>
    </mc:Choice>
    <mc:Fallback>
      <c:style val="9"/>
    </mc:Fallback>
  </mc:AlternateContent>
  <c:chart>
    <c:autoTitleDeleted val="1"/>
    <c:plotArea>
      <c:layout/>
      <c:barChart>
        <c:barDir val="col"/>
        <c:grouping val="clustered"/>
        <c:varyColors val="0"/>
        <c:ser>
          <c:idx val="0"/>
          <c:order val="0"/>
          <c:tx>
            <c:strRef>
              <c:f>'Land Init'!$A$2</c:f>
              <c:strCache>
                <c:ptCount val="1"/>
                <c:pt idx="0">
                  <c:v>USA</c:v>
                </c:pt>
              </c:strCache>
            </c:strRef>
          </c:tx>
          <c:invertIfNegative val="0"/>
          <c:cat>
            <c:strRef>
              <c:f>'Land Init'!$C$1:$F$1</c:f>
              <c:strCache>
                <c:ptCount val="4"/>
                <c:pt idx="0">
                  <c:v>Cropland</c:v>
                </c:pt>
                <c:pt idx="1">
                  <c:v>Pasture</c:v>
                </c:pt>
                <c:pt idx="2">
                  <c:v>Forest and Grassland</c:v>
                </c:pt>
                <c:pt idx="3">
                  <c:v>Abandoned</c:v>
                </c:pt>
              </c:strCache>
            </c:strRef>
          </c:cat>
          <c:val>
            <c:numRef>
              <c:f>'Land Init'!$C$2:$F$2</c:f>
              <c:numCache>
                <c:formatCode>0</c:formatCode>
                <c:ptCount val="4"/>
                <c:pt idx="0">
                  <c:v>160.40880000000001</c:v>
                </c:pt>
                <c:pt idx="1">
                  <c:v>265.02019999999999</c:v>
                </c:pt>
                <c:pt idx="2">
                  <c:v>297.10700000000003</c:v>
                </c:pt>
                <c:pt idx="3">
                  <c:v>19.190000000000001</c:v>
                </c:pt>
              </c:numCache>
            </c:numRef>
          </c:val>
        </c:ser>
        <c:ser>
          <c:idx val="1"/>
          <c:order val="1"/>
          <c:tx>
            <c:strRef>
              <c:f>'Land Init'!$A$3</c:f>
              <c:strCache>
                <c:ptCount val="1"/>
                <c:pt idx="0">
                  <c:v>ROW</c:v>
                </c:pt>
              </c:strCache>
            </c:strRef>
          </c:tx>
          <c:invertIfNegative val="0"/>
          <c:cat>
            <c:strRef>
              <c:f>'Land Init'!$C$1:$F$1</c:f>
              <c:strCache>
                <c:ptCount val="4"/>
                <c:pt idx="0">
                  <c:v>Cropland</c:v>
                </c:pt>
                <c:pt idx="1">
                  <c:v>Pasture</c:v>
                </c:pt>
                <c:pt idx="2">
                  <c:v>Forest and Grassland</c:v>
                </c:pt>
                <c:pt idx="3">
                  <c:v>Abandoned</c:v>
                </c:pt>
              </c:strCache>
            </c:strRef>
          </c:cat>
          <c:val>
            <c:numRef>
              <c:f>'Land Init'!$C$3:$F$3</c:f>
              <c:numCache>
                <c:formatCode>0</c:formatCode>
                <c:ptCount val="4"/>
                <c:pt idx="0">
                  <c:v>1320.710315</c:v>
                </c:pt>
                <c:pt idx="1">
                  <c:v>3044.0605409999998</c:v>
                </c:pt>
                <c:pt idx="2">
                  <c:v>3868.0574299999998</c:v>
                </c:pt>
                <c:pt idx="3">
                  <c:v>414.8</c:v>
                </c:pt>
              </c:numCache>
            </c:numRef>
          </c:val>
        </c:ser>
        <c:ser>
          <c:idx val="2"/>
          <c:order val="2"/>
          <c:tx>
            <c:strRef>
              <c:f>'Land Init'!$A$4</c:f>
              <c:strCache>
                <c:ptCount val="1"/>
                <c:pt idx="0">
                  <c:v>World</c:v>
                </c:pt>
              </c:strCache>
            </c:strRef>
          </c:tx>
          <c:invertIfNegative val="0"/>
          <c:cat>
            <c:strRef>
              <c:f>'Land Init'!$C$1:$F$1</c:f>
              <c:strCache>
                <c:ptCount val="4"/>
                <c:pt idx="0">
                  <c:v>Cropland</c:v>
                </c:pt>
                <c:pt idx="1">
                  <c:v>Pasture</c:v>
                </c:pt>
                <c:pt idx="2">
                  <c:v>Forest and Grassland</c:v>
                </c:pt>
                <c:pt idx="3">
                  <c:v>Abandoned</c:v>
                </c:pt>
              </c:strCache>
            </c:strRef>
          </c:cat>
          <c:val>
            <c:numRef>
              <c:f>'Land Init'!$C$4:$F$4</c:f>
              <c:numCache>
                <c:formatCode>0</c:formatCode>
                <c:ptCount val="4"/>
                <c:pt idx="0">
                  <c:v>1481.119115</c:v>
                </c:pt>
                <c:pt idx="1">
                  <c:v>3309.0807409999998</c:v>
                </c:pt>
                <c:pt idx="2">
                  <c:v>4165.1644299999998</c:v>
                </c:pt>
                <c:pt idx="3">
                  <c:v>433.99</c:v>
                </c:pt>
              </c:numCache>
            </c:numRef>
          </c:val>
        </c:ser>
        <c:dLbls>
          <c:showLegendKey val="0"/>
          <c:showVal val="0"/>
          <c:showCatName val="0"/>
          <c:showSerName val="0"/>
          <c:showPercent val="0"/>
          <c:showBubbleSize val="0"/>
        </c:dLbls>
        <c:gapWidth val="150"/>
        <c:axId val="203496832"/>
        <c:axId val="212153856"/>
      </c:barChart>
      <c:catAx>
        <c:axId val="203496832"/>
        <c:scaling>
          <c:orientation val="minMax"/>
        </c:scaling>
        <c:delete val="0"/>
        <c:axPos val="b"/>
        <c:majorTickMark val="none"/>
        <c:minorTickMark val="none"/>
        <c:tickLblPos val="nextTo"/>
        <c:txPr>
          <a:bodyPr/>
          <a:lstStyle/>
          <a:p>
            <a:pPr>
              <a:defRPr sz="1400"/>
            </a:pPr>
            <a:endParaRPr lang="en-US"/>
          </a:p>
        </c:txPr>
        <c:crossAx val="212153856"/>
        <c:crosses val="autoZero"/>
        <c:auto val="1"/>
        <c:lblAlgn val="ctr"/>
        <c:lblOffset val="100"/>
        <c:noMultiLvlLbl val="0"/>
      </c:catAx>
      <c:valAx>
        <c:axId val="212153856"/>
        <c:scaling>
          <c:orientation val="minMax"/>
        </c:scaling>
        <c:delete val="0"/>
        <c:axPos val="l"/>
        <c:majorGridlines/>
        <c:title>
          <c:tx>
            <c:rich>
              <a:bodyPr rot="-5400000" vert="horz"/>
              <a:lstStyle/>
              <a:p>
                <a:pPr>
                  <a:defRPr sz="1400"/>
                </a:pPr>
                <a:r>
                  <a:rPr lang="en-US" sz="1400"/>
                  <a:t>Million Hectares</a:t>
                </a:r>
              </a:p>
            </c:rich>
          </c:tx>
          <c:overlay val="0"/>
        </c:title>
        <c:numFmt formatCode="0" sourceLinked="1"/>
        <c:majorTickMark val="none"/>
        <c:minorTickMark val="out"/>
        <c:tickLblPos val="nextTo"/>
        <c:txPr>
          <a:bodyPr/>
          <a:lstStyle/>
          <a:p>
            <a:pPr>
              <a:defRPr sz="1200"/>
            </a:pPr>
            <a:endParaRPr lang="en-US"/>
          </a:p>
        </c:txPr>
        <c:crossAx val="203496832"/>
        <c:crosses val="autoZero"/>
        <c:crossBetween val="between"/>
      </c:valAx>
    </c:plotArea>
    <c:legend>
      <c:legendPos val="r"/>
      <c:overlay val="0"/>
      <c:txPr>
        <a:bodyPr/>
        <a:lstStyle/>
        <a:p>
          <a:pPr>
            <a:defRPr sz="1400"/>
          </a:pPr>
          <a:endParaRPr lang="en-US"/>
        </a:p>
      </c:txPr>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chart>
    <c:autoTitleDeleted val="1"/>
    <c:plotArea>
      <c:layout/>
      <c:lineChart>
        <c:grouping val="standard"/>
        <c:varyColors val="0"/>
        <c:ser>
          <c:idx val="0"/>
          <c:order val="0"/>
          <c:tx>
            <c:strRef>
              <c:f>Population!$A$2</c:f>
              <c:strCache>
                <c:ptCount val="1"/>
                <c:pt idx="0">
                  <c:v>ROW.population_scenario</c:v>
                </c:pt>
              </c:strCache>
            </c:strRef>
          </c:tx>
          <c:marker>
            <c:symbol val="none"/>
          </c:marker>
          <c:cat>
            <c:numRef>
              <c:f>Population!$B$1:$BI$1</c:f>
              <c:numCache>
                <c:formatCode>General</c:formatCode>
                <c:ptCount val="60"/>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pt idx="35">
                  <c:v>2026</c:v>
                </c:pt>
                <c:pt idx="36">
                  <c:v>2027</c:v>
                </c:pt>
                <c:pt idx="37">
                  <c:v>2028</c:v>
                </c:pt>
                <c:pt idx="38">
                  <c:v>2029</c:v>
                </c:pt>
                <c:pt idx="39">
                  <c:v>2030</c:v>
                </c:pt>
                <c:pt idx="40">
                  <c:v>2031</c:v>
                </c:pt>
                <c:pt idx="41">
                  <c:v>2032</c:v>
                </c:pt>
                <c:pt idx="42">
                  <c:v>2033</c:v>
                </c:pt>
                <c:pt idx="43">
                  <c:v>2034</c:v>
                </c:pt>
                <c:pt idx="44">
                  <c:v>2035</c:v>
                </c:pt>
                <c:pt idx="45">
                  <c:v>2036</c:v>
                </c:pt>
                <c:pt idx="46">
                  <c:v>2037</c:v>
                </c:pt>
                <c:pt idx="47">
                  <c:v>2038</c:v>
                </c:pt>
                <c:pt idx="48">
                  <c:v>2039</c:v>
                </c:pt>
                <c:pt idx="49">
                  <c:v>2040</c:v>
                </c:pt>
                <c:pt idx="50">
                  <c:v>2041</c:v>
                </c:pt>
                <c:pt idx="51">
                  <c:v>2042</c:v>
                </c:pt>
                <c:pt idx="52">
                  <c:v>2043</c:v>
                </c:pt>
                <c:pt idx="53">
                  <c:v>2044</c:v>
                </c:pt>
                <c:pt idx="54">
                  <c:v>2045</c:v>
                </c:pt>
                <c:pt idx="55">
                  <c:v>2046</c:v>
                </c:pt>
                <c:pt idx="56">
                  <c:v>2047</c:v>
                </c:pt>
                <c:pt idx="57">
                  <c:v>2048</c:v>
                </c:pt>
                <c:pt idx="58">
                  <c:v>2049</c:v>
                </c:pt>
                <c:pt idx="59">
                  <c:v>2050</c:v>
                </c:pt>
              </c:numCache>
            </c:numRef>
          </c:cat>
          <c:val>
            <c:numRef>
              <c:f>Population!$B$2:$BI$2</c:f>
              <c:numCache>
                <c:formatCode>0.00E+00</c:formatCode>
                <c:ptCount val="60"/>
                <c:pt idx="0">
                  <c:v>5.1194699999999997</c:v>
                </c:pt>
                <c:pt idx="1">
                  <c:v>5.2019500000000001</c:v>
                </c:pt>
                <c:pt idx="2">
                  <c:v>5.2831099999999998</c:v>
                </c:pt>
                <c:pt idx="3">
                  <c:v>5.3632</c:v>
                </c:pt>
                <c:pt idx="4">
                  <c:v>5.4424200000000003</c:v>
                </c:pt>
                <c:pt idx="5">
                  <c:v>5.5207499999999996</c:v>
                </c:pt>
                <c:pt idx="6">
                  <c:v>5.5981300000000003</c:v>
                </c:pt>
                <c:pt idx="7">
                  <c:v>5.67483</c:v>
                </c:pt>
                <c:pt idx="8">
                  <c:v>5.7512100000000004</c:v>
                </c:pt>
                <c:pt idx="9">
                  <c:v>5.8275300000000003</c:v>
                </c:pt>
                <c:pt idx="10">
                  <c:v>5.9039000000000001</c:v>
                </c:pt>
                <c:pt idx="11">
                  <c:v>5.9802999999999997</c:v>
                </c:pt>
                <c:pt idx="12">
                  <c:v>6.0567299999999999</c:v>
                </c:pt>
                <c:pt idx="13">
                  <c:v>6.1331600000000002</c:v>
                </c:pt>
                <c:pt idx="14">
                  <c:v>6.2095399999999996</c:v>
                </c:pt>
                <c:pt idx="15">
                  <c:v>6.2858499999999999</c:v>
                </c:pt>
                <c:pt idx="16">
                  <c:v>6.36212</c:v>
                </c:pt>
                <c:pt idx="17">
                  <c:v>6.4383900000000001</c:v>
                </c:pt>
                <c:pt idx="18">
                  <c:v>6.5147000000000004</c:v>
                </c:pt>
                <c:pt idx="19">
                  <c:v>6.5910399999999996</c:v>
                </c:pt>
                <c:pt idx="20">
                  <c:v>6.6674100000000003</c:v>
                </c:pt>
                <c:pt idx="21">
                  <c:v>6.7436800000000003</c:v>
                </c:pt>
                <c:pt idx="22">
                  <c:v>6.8196700000000003</c:v>
                </c:pt>
                <c:pt idx="23">
                  <c:v>6.89513</c:v>
                </c:pt>
                <c:pt idx="24">
                  <c:v>6.9698500000000001</c:v>
                </c:pt>
                <c:pt idx="25">
                  <c:v>7.0437500000000002</c:v>
                </c:pt>
                <c:pt idx="26">
                  <c:v>7.1167400000000001</c:v>
                </c:pt>
                <c:pt idx="27">
                  <c:v>7.1886700000000001</c:v>
                </c:pt>
                <c:pt idx="28">
                  <c:v>7.2593699999999997</c:v>
                </c:pt>
                <c:pt idx="29">
                  <c:v>7.3286699999999998</c:v>
                </c:pt>
                <c:pt idx="30">
                  <c:v>7.3965300000000003</c:v>
                </c:pt>
                <c:pt idx="31">
                  <c:v>7.4628899999999998</c:v>
                </c:pt>
                <c:pt idx="32">
                  <c:v>7.5277099999999999</c:v>
                </c:pt>
                <c:pt idx="33">
                  <c:v>7.5910200000000003</c:v>
                </c:pt>
                <c:pt idx="34">
                  <c:v>7.6528</c:v>
                </c:pt>
                <c:pt idx="35">
                  <c:v>7.7130299999999998</c:v>
                </c:pt>
                <c:pt idx="36">
                  <c:v>7.7717099999999997</c:v>
                </c:pt>
                <c:pt idx="37">
                  <c:v>7.8288799999999998</c:v>
                </c:pt>
                <c:pt idx="38">
                  <c:v>7.8845999999999998</c:v>
                </c:pt>
                <c:pt idx="39">
                  <c:v>7.9389200000000004</c:v>
                </c:pt>
                <c:pt idx="40">
                  <c:v>7.9918399999999998</c:v>
                </c:pt>
                <c:pt idx="41">
                  <c:v>8.0434000000000001</c:v>
                </c:pt>
                <c:pt idx="42">
                  <c:v>8.0936400000000006</c:v>
                </c:pt>
                <c:pt idx="43">
                  <c:v>8.1426800000000004</c:v>
                </c:pt>
                <c:pt idx="44">
                  <c:v>8.1905699999999992</c:v>
                </c:pt>
                <c:pt idx="45">
                  <c:v>8.2373499999999993</c:v>
                </c:pt>
                <c:pt idx="46">
                  <c:v>8.2829599999999992</c:v>
                </c:pt>
                <c:pt idx="47">
                  <c:v>8.3273700000000002</c:v>
                </c:pt>
                <c:pt idx="48">
                  <c:v>8.3704999999999998</c:v>
                </c:pt>
                <c:pt idx="49">
                  <c:v>8.4122900000000005</c:v>
                </c:pt>
                <c:pt idx="50">
                  <c:v>8.4526599999999998</c:v>
                </c:pt>
                <c:pt idx="51">
                  <c:v>8.4916199999999993</c:v>
                </c:pt>
                <c:pt idx="52">
                  <c:v>8.5290999999999997</c:v>
                </c:pt>
                <c:pt idx="53">
                  <c:v>8.5650999999999993</c:v>
                </c:pt>
                <c:pt idx="54">
                  <c:v>8.5995799999999996</c:v>
                </c:pt>
                <c:pt idx="55">
                  <c:v>8.63246</c:v>
                </c:pt>
                <c:pt idx="56">
                  <c:v>8.6636600000000001</c:v>
                </c:pt>
                <c:pt idx="57">
                  <c:v>8.6930800000000001</c:v>
                </c:pt>
                <c:pt idx="58">
                  <c:v>8.7205999999999992</c:v>
                </c:pt>
                <c:pt idx="59">
                  <c:v>8.7460500000000003</c:v>
                </c:pt>
              </c:numCache>
            </c:numRef>
          </c:val>
          <c:smooth val="0"/>
        </c:ser>
        <c:dLbls>
          <c:showLegendKey val="0"/>
          <c:showVal val="0"/>
          <c:showCatName val="0"/>
          <c:showSerName val="0"/>
          <c:showPercent val="0"/>
          <c:showBubbleSize val="0"/>
        </c:dLbls>
        <c:marker val="1"/>
        <c:smooth val="0"/>
        <c:axId val="116748288"/>
        <c:axId val="116749824"/>
      </c:lineChart>
      <c:catAx>
        <c:axId val="116748288"/>
        <c:scaling>
          <c:orientation val="minMax"/>
        </c:scaling>
        <c:delete val="0"/>
        <c:axPos val="b"/>
        <c:numFmt formatCode="General" sourceLinked="1"/>
        <c:majorTickMark val="none"/>
        <c:minorTickMark val="out"/>
        <c:tickLblPos val="nextTo"/>
        <c:txPr>
          <a:bodyPr/>
          <a:lstStyle/>
          <a:p>
            <a:pPr>
              <a:defRPr sz="1200"/>
            </a:pPr>
            <a:endParaRPr lang="en-US"/>
          </a:p>
        </c:txPr>
        <c:crossAx val="116749824"/>
        <c:crosses val="autoZero"/>
        <c:auto val="1"/>
        <c:lblAlgn val="ctr"/>
        <c:lblOffset val="100"/>
        <c:noMultiLvlLbl val="0"/>
      </c:catAx>
      <c:valAx>
        <c:axId val="116749824"/>
        <c:scaling>
          <c:orientation val="minMax"/>
        </c:scaling>
        <c:delete val="0"/>
        <c:axPos val="l"/>
        <c:majorGridlines/>
        <c:title>
          <c:tx>
            <c:rich>
              <a:bodyPr/>
              <a:lstStyle/>
              <a:p>
                <a:pPr>
                  <a:defRPr sz="1400"/>
                </a:pPr>
                <a:r>
                  <a:rPr lang="en-US" sz="1400"/>
                  <a:t>Population (Billion People)</a:t>
                </a:r>
              </a:p>
            </c:rich>
          </c:tx>
          <c:overlay val="0"/>
        </c:title>
        <c:numFmt formatCode="General" sourceLinked="0"/>
        <c:majorTickMark val="none"/>
        <c:minorTickMark val="none"/>
        <c:tickLblPos val="low"/>
        <c:txPr>
          <a:bodyPr/>
          <a:lstStyle/>
          <a:p>
            <a:pPr>
              <a:defRPr sz="1200"/>
            </a:pPr>
            <a:endParaRPr lang="en-US"/>
          </a:p>
        </c:txPr>
        <c:crossAx val="116748288"/>
        <c:crosses val="autoZero"/>
        <c:crossBetween val="between"/>
      </c:valAx>
    </c:plotArea>
    <c:plotVisOnly val="1"/>
    <c:dispBlanksAs val="gap"/>
    <c:showDLblsOverMax val="0"/>
  </c:chart>
  <c:printSettings>
    <c:headerFooter/>
    <c:pageMargins b="0.75000000000000111" l="0.70000000000000062" r="0.70000000000000062" t="0.75000000000000111"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752474</xdr:colOff>
      <xdr:row>3</xdr:row>
      <xdr:rowOff>190499</xdr:rowOff>
    </xdr:from>
    <xdr:to>
      <xdr:col>15</xdr:col>
      <xdr:colOff>9524</xdr:colOff>
      <xdr:row>21</xdr:row>
      <xdr:rowOff>161924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133349</xdr:colOff>
      <xdr:row>13</xdr:row>
      <xdr:rowOff>19050</xdr:rowOff>
    </xdr:from>
    <xdr:to>
      <xdr:col>19</xdr:col>
      <xdr:colOff>9524</xdr:colOff>
      <xdr:row>31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4"/>
  <sheetViews>
    <sheetView topLeftCell="BO1" workbookViewId="0">
      <selection activeCell="B1" sqref="B1:CM1"/>
    </sheetView>
  </sheetViews>
  <sheetFormatPr defaultRowHeight="15" x14ac:dyDescent="0.25"/>
  <cols>
    <col min="1" max="1" width="47.5703125" customWidth="1"/>
    <col min="2" max="31" width="9.140625" style="5"/>
  </cols>
  <sheetData>
    <row r="1" spans="1:91" x14ac:dyDescent="0.25">
      <c r="A1" s="6"/>
      <c r="B1" s="5">
        <v>1961</v>
      </c>
      <c r="C1" s="5">
        <v>1962</v>
      </c>
      <c r="D1" s="5">
        <v>1963</v>
      </c>
      <c r="E1" s="5">
        <v>1964</v>
      </c>
      <c r="F1" s="5">
        <v>1965</v>
      </c>
      <c r="G1" s="5">
        <v>1966</v>
      </c>
      <c r="H1" s="5">
        <v>1967</v>
      </c>
      <c r="I1" s="5">
        <v>1968</v>
      </c>
      <c r="J1" s="5">
        <v>1969</v>
      </c>
      <c r="K1" s="5">
        <v>1970</v>
      </c>
      <c r="L1" s="5">
        <v>1971</v>
      </c>
      <c r="M1" s="5">
        <v>1972</v>
      </c>
      <c r="N1" s="5">
        <v>1973</v>
      </c>
      <c r="O1" s="5">
        <v>1974</v>
      </c>
      <c r="P1" s="5">
        <v>1975</v>
      </c>
      <c r="Q1" s="5">
        <v>1976</v>
      </c>
      <c r="R1" s="5">
        <v>1977</v>
      </c>
      <c r="S1" s="5">
        <v>1978</v>
      </c>
      <c r="T1" s="5">
        <v>1979</v>
      </c>
      <c r="U1" s="5">
        <v>1980</v>
      </c>
      <c r="V1" s="5">
        <v>1981</v>
      </c>
      <c r="W1" s="5">
        <v>1982</v>
      </c>
      <c r="X1" s="5">
        <v>1983</v>
      </c>
      <c r="Y1" s="5">
        <v>1984</v>
      </c>
      <c r="Z1" s="5">
        <v>1985</v>
      </c>
      <c r="AA1" s="5">
        <v>1986</v>
      </c>
      <c r="AB1" s="5">
        <v>1987</v>
      </c>
      <c r="AC1" s="5">
        <v>1988</v>
      </c>
      <c r="AD1" s="5">
        <v>1989</v>
      </c>
      <c r="AE1" s="5">
        <v>1990</v>
      </c>
      <c r="AF1" s="6">
        <v>1991</v>
      </c>
      <c r="AG1" s="6">
        <v>1992</v>
      </c>
      <c r="AH1" s="6">
        <v>1993</v>
      </c>
      <c r="AI1" s="6">
        <v>1994</v>
      </c>
      <c r="AJ1" s="6">
        <v>1995</v>
      </c>
      <c r="AK1" s="6">
        <v>1996</v>
      </c>
      <c r="AL1" s="6">
        <v>1997</v>
      </c>
      <c r="AM1" s="6">
        <v>1998</v>
      </c>
      <c r="AN1" s="6">
        <v>1999</v>
      </c>
      <c r="AO1" s="6">
        <v>2000</v>
      </c>
      <c r="AP1" s="6">
        <v>2001</v>
      </c>
      <c r="AQ1" s="6">
        <v>2002</v>
      </c>
      <c r="AR1" s="6">
        <v>2003</v>
      </c>
      <c r="AS1" s="6">
        <v>2004</v>
      </c>
      <c r="AT1" s="6">
        <v>2005</v>
      </c>
      <c r="AU1" s="6">
        <v>2006</v>
      </c>
      <c r="AV1" s="6">
        <v>2007</v>
      </c>
      <c r="AW1" s="6">
        <v>2008</v>
      </c>
      <c r="AX1" s="6">
        <v>2009</v>
      </c>
      <c r="AY1" s="6">
        <v>2010</v>
      </c>
      <c r="AZ1" s="6">
        <v>2011</v>
      </c>
      <c r="BA1" s="6">
        <v>2012</v>
      </c>
      <c r="BB1" s="6">
        <v>2013</v>
      </c>
      <c r="BC1" s="6">
        <v>2014</v>
      </c>
      <c r="BD1" s="6">
        <v>2015</v>
      </c>
      <c r="BE1" s="6">
        <v>2016</v>
      </c>
      <c r="BF1" s="6">
        <v>2017</v>
      </c>
      <c r="BG1" s="6">
        <v>2018</v>
      </c>
      <c r="BH1" s="6">
        <v>2019</v>
      </c>
      <c r="BI1" s="6">
        <v>2020</v>
      </c>
      <c r="BJ1" s="6">
        <v>2021</v>
      </c>
      <c r="BK1" s="6">
        <v>2022</v>
      </c>
      <c r="BL1" s="6">
        <v>2023</v>
      </c>
      <c r="BM1" s="6">
        <v>2024</v>
      </c>
      <c r="BN1" s="6">
        <v>2025</v>
      </c>
      <c r="BO1" s="6">
        <v>2026</v>
      </c>
      <c r="BP1" s="6">
        <v>2027</v>
      </c>
      <c r="BQ1" s="6">
        <v>2028</v>
      </c>
      <c r="BR1" s="6">
        <v>2029</v>
      </c>
      <c r="BS1" s="6">
        <v>2030</v>
      </c>
      <c r="BT1" s="6">
        <v>2031</v>
      </c>
      <c r="BU1" s="6">
        <v>2032</v>
      </c>
      <c r="BV1" s="6">
        <v>2033</v>
      </c>
      <c r="BW1" s="6">
        <v>2034</v>
      </c>
      <c r="BX1" s="6">
        <v>2035</v>
      </c>
      <c r="BY1" s="6">
        <v>2036</v>
      </c>
      <c r="BZ1" s="6">
        <v>2037</v>
      </c>
      <c r="CA1" s="6">
        <v>2038</v>
      </c>
      <c r="CB1" s="6">
        <v>2039</v>
      </c>
      <c r="CC1" s="6">
        <v>2040</v>
      </c>
      <c r="CD1" s="6">
        <v>2041</v>
      </c>
      <c r="CE1" s="6">
        <v>2042</v>
      </c>
      <c r="CF1" s="6">
        <v>2043</v>
      </c>
      <c r="CG1" s="6">
        <v>2044</v>
      </c>
      <c r="CH1" s="6">
        <v>2045</v>
      </c>
      <c r="CI1" s="6">
        <v>2046</v>
      </c>
      <c r="CJ1" s="6">
        <v>2047</v>
      </c>
      <c r="CK1" s="6">
        <v>2048</v>
      </c>
      <c r="CL1" s="6">
        <v>2049</v>
      </c>
      <c r="CM1" s="6">
        <v>2050</v>
      </c>
    </row>
    <row r="2" spans="1:91" x14ac:dyDescent="0.25">
      <c r="A2" s="2" t="s">
        <v>0</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7">
        <v>1.0508415631190336E-5</v>
      </c>
      <c r="AG2" s="7">
        <v>1.0527618537027347E-5</v>
      </c>
      <c r="AH2" s="7">
        <v>1.0524144816427411E-5</v>
      </c>
      <c r="AI2" s="7">
        <v>1.0522462802637258E-5</v>
      </c>
      <c r="AJ2" s="7">
        <v>1.05226809524005E-5</v>
      </c>
      <c r="AK2" s="7">
        <v>1.0524797835739828E-5</v>
      </c>
      <c r="AL2" s="7">
        <v>1.0528848568531622E-5</v>
      </c>
      <c r="AM2" s="7">
        <v>1.0535257891350468E-5</v>
      </c>
      <c r="AN2" s="7">
        <v>1.0544407835154982E-5</v>
      </c>
      <c r="AO2" s="7">
        <v>1.0556611219831291E-5</v>
      </c>
      <c r="AP2" s="7">
        <v>1.0571844928448045E-5</v>
      </c>
      <c r="AQ2" s="7">
        <v>1.0589980349233616E-5</v>
      </c>
      <c r="AR2" s="7">
        <v>1.0610719107102551E-5</v>
      </c>
      <c r="AS2" s="7">
        <v>1.0633798162037924E-5</v>
      </c>
      <c r="AT2" s="7">
        <v>1.0658934712118934E-5</v>
      </c>
      <c r="AU2" s="7">
        <v>1.0686103454816139E-5</v>
      </c>
      <c r="AV2" s="7">
        <v>1.0706788216627059E-5</v>
      </c>
      <c r="AW2" s="7">
        <v>1.0728456082251589E-5</v>
      </c>
      <c r="AX2" s="7">
        <v>1.0751065831749288E-5</v>
      </c>
      <c r="AY2" s="7">
        <v>1.0774563840598372E-5</v>
      </c>
      <c r="AZ2" s="7">
        <v>1.0798960435799681E-5</v>
      </c>
      <c r="BA2" s="7">
        <v>1.0824295861764934E-5</v>
      </c>
      <c r="BB2" s="7">
        <v>1.0850592739258354E-5</v>
      </c>
      <c r="BC2" s="7">
        <v>1.087794097409725E-5</v>
      </c>
      <c r="BD2" s="7">
        <v>1.0906365789103285E-5</v>
      </c>
      <c r="BE2" s="7">
        <v>1.0935892652571851E-5</v>
      </c>
      <c r="BF2" s="7">
        <v>1.0966502632073501E-5</v>
      </c>
      <c r="BG2" s="7">
        <v>1.0998165758669703E-5</v>
      </c>
      <c r="BH2" s="7">
        <v>1.1030890589946637E-5</v>
      </c>
      <c r="BI2" s="7">
        <v>1.1064614208349465E-5</v>
      </c>
      <c r="BJ2" s="7">
        <v>1.1099352516874274E-5</v>
      </c>
      <c r="BK2" s="7">
        <v>1.1135071273339653E-5</v>
      </c>
      <c r="BL2" s="7">
        <v>1.1171768757387381E-5</v>
      </c>
      <c r="BM2" s="7">
        <v>1.1209435882853366E-5</v>
      </c>
      <c r="BN2" s="7">
        <v>1.1248082102841903E-5</v>
      </c>
      <c r="BO2" s="7">
        <v>1.1287650747779458E-5</v>
      </c>
      <c r="BP2" s="7">
        <v>1.1328155361841512E-5</v>
      </c>
      <c r="BQ2" s="7">
        <v>1.1369577202897563E-5</v>
      </c>
      <c r="BR2" s="7">
        <v>1.14119698203685E-5</v>
      </c>
      <c r="BS2" s="7">
        <v>1.1455315468409502E-5</v>
      </c>
      <c r="BT2" s="7">
        <v>1.149961791242872E-5</v>
      </c>
      <c r="BU2" s="7">
        <v>1.1544883091286491E-5</v>
      </c>
      <c r="BV2" s="7">
        <v>1.1591014547387159E-5</v>
      </c>
      <c r="BW2" s="7">
        <v>1.1637937189213889E-5</v>
      </c>
      <c r="BX2" s="7">
        <v>1.1685595032168294E-5</v>
      </c>
      <c r="BY2" s="7">
        <v>1.1733977016655489E-5</v>
      </c>
      <c r="BZ2" s="7">
        <v>1.1783073058060966E-5</v>
      </c>
      <c r="CA2" s="7">
        <v>1.1832927264751691E-5</v>
      </c>
      <c r="CB2" s="7">
        <v>1.1883595175689448E-5</v>
      </c>
      <c r="CC2" s="7">
        <v>1.1935118009080345E-5</v>
      </c>
      <c r="CD2" s="7">
        <v>1.1987488987436226E-5</v>
      </c>
      <c r="CE2" s="7">
        <v>1.204072754074284E-5</v>
      </c>
      <c r="CF2" s="7">
        <v>1.2094807145257598E-5</v>
      </c>
      <c r="CG2" s="7">
        <v>1.2149716763064159E-5</v>
      </c>
      <c r="CH2" s="7">
        <v>1.2205477055080803E-5</v>
      </c>
      <c r="CI2" s="7">
        <v>1.2262068474249293E-5</v>
      </c>
      <c r="CJ2" s="7">
        <v>1.2319520822137554E-5</v>
      </c>
      <c r="CK2" s="7">
        <v>1.237786806722634E-5</v>
      </c>
      <c r="CL2" s="7">
        <v>1.2437151013296541E-5</v>
      </c>
      <c r="CM2" s="7">
        <v>1.2497422526767769E-5</v>
      </c>
    </row>
    <row r="3" spans="1:91" x14ac:dyDescent="0.25">
      <c r="A3" s="2" t="s">
        <v>1</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7">
        <v>7.0000430409191978E-5</v>
      </c>
      <c r="AG3" s="7">
        <v>7.0630961246729871E-5</v>
      </c>
      <c r="AH3" s="7">
        <v>7.1066274150239037E-5</v>
      </c>
      <c r="AI3" s="7">
        <v>7.150778011594632E-5</v>
      </c>
      <c r="AJ3" s="7">
        <v>7.1952944698856812E-5</v>
      </c>
      <c r="AK3" s="7">
        <v>7.2400861735737981E-5</v>
      </c>
      <c r="AL3" s="7">
        <v>7.285284622485931E-5</v>
      </c>
      <c r="AM3" s="7">
        <v>7.3313273932656012E-5</v>
      </c>
      <c r="AN3" s="7">
        <v>7.3787111123243884E-5</v>
      </c>
      <c r="AO3" s="7">
        <v>7.4277957562576602E-5</v>
      </c>
      <c r="AP3" s="7">
        <v>7.478586235260993E-5</v>
      </c>
      <c r="AQ3" s="7">
        <v>7.5308758342790844E-5</v>
      </c>
      <c r="AR3" s="7">
        <v>7.5842609785929511E-5</v>
      </c>
      <c r="AS3" s="7">
        <v>7.6383079700261544E-5</v>
      </c>
      <c r="AT3" s="7">
        <v>7.6926134271035562E-5</v>
      </c>
      <c r="AU3" s="7">
        <v>7.74708096795645E-5</v>
      </c>
      <c r="AV3" s="7">
        <v>7.7835708482740454E-5</v>
      </c>
      <c r="AW3" s="7">
        <v>7.8201471463656532E-5</v>
      </c>
      <c r="AX3" s="7">
        <v>7.8567368679820893E-5</v>
      </c>
      <c r="AY3" s="7">
        <v>7.8932911450597094E-5</v>
      </c>
      <c r="AZ3" s="7">
        <v>7.9297852098800776E-5</v>
      </c>
      <c r="BA3" s="7">
        <v>7.9662257933066125E-5</v>
      </c>
      <c r="BB3" s="7">
        <v>8.0026718781396811E-5</v>
      </c>
      <c r="BC3" s="7">
        <v>8.0392479033655488E-5</v>
      </c>
      <c r="BD3" s="7">
        <v>8.0760241330582992E-5</v>
      </c>
      <c r="BE3" s="7">
        <v>8.1130206649503354E-5</v>
      </c>
      <c r="BF3" s="7">
        <v>8.1502220208843951E-5</v>
      </c>
      <c r="BG3" s="7">
        <v>8.1876586623157236E-5</v>
      </c>
      <c r="BH3" s="7">
        <v>8.2253773652320511E-5</v>
      </c>
      <c r="BI3" s="7">
        <v>8.2633805686775901E-5</v>
      </c>
      <c r="BJ3" s="7">
        <v>8.3016912391095407E-5</v>
      </c>
      <c r="BK3" s="7">
        <v>8.3402934492782065E-5</v>
      </c>
      <c r="BL3" s="7">
        <v>8.379154793872499E-5</v>
      </c>
      <c r="BM3" s="7">
        <v>8.4182322844702172E-5</v>
      </c>
      <c r="BN3" s="7">
        <v>8.4575119602724896E-5</v>
      </c>
      <c r="BO3" s="7">
        <v>8.4969477988109616E-5</v>
      </c>
      <c r="BP3" s="7">
        <v>8.5365604263626746E-5</v>
      </c>
      <c r="BQ3" s="7">
        <v>8.5763088438758648E-5</v>
      </c>
      <c r="BR3" s="7">
        <v>8.6162014741530959E-5</v>
      </c>
      <c r="BS3" s="7">
        <v>8.6562046837841089E-5</v>
      </c>
      <c r="BT3" s="7">
        <v>8.6909831975358727E-5</v>
      </c>
      <c r="BU3" s="7">
        <v>8.7260257869877498E-5</v>
      </c>
      <c r="BV3" s="7">
        <v>8.7612980013969039E-5</v>
      </c>
      <c r="BW3" s="7">
        <v>8.7968210364206207E-5</v>
      </c>
      <c r="BX3" s="7">
        <v>8.8325924179781699E-5</v>
      </c>
      <c r="BY3" s="7">
        <v>8.8686259003845197E-5</v>
      </c>
      <c r="BZ3" s="7">
        <v>8.9048882229405665E-5</v>
      </c>
      <c r="CA3" s="7">
        <v>8.9414053805702252E-5</v>
      </c>
      <c r="CB3" s="7">
        <v>8.9781752363607951E-5</v>
      </c>
      <c r="CC3" s="7">
        <v>9.0152000277690048E-5</v>
      </c>
      <c r="CD3" s="7">
        <v>9.0524660714826535E-5</v>
      </c>
      <c r="CE3" s="7">
        <v>9.0899780625042673E-5</v>
      </c>
      <c r="CF3" s="7">
        <v>9.1277330608923702E-5</v>
      </c>
      <c r="CG3" s="7">
        <v>9.1657233421723404E-5</v>
      </c>
      <c r="CH3" s="7">
        <v>9.2039602584603042E-5</v>
      </c>
      <c r="CI3" s="7">
        <v>9.242432100084031E-5</v>
      </c>
      <c r="CJ3" s="7">
        <v>9.2811362732216811E-5</v>
      </c>
      <c r="CK3" s="7">
        <v>9.3200498186654245E-5</v>
      </c>
      <c r="CL3" s="7">
        <v>9.3591909887886761E-5</v>
      </c>
      <c r="CM3" s="7">
        <v>9.3985309441606062E-5</v>
      </c>
    </row>
    <row r="4" spans="1:91" x14ac:dyDescent="0.25">
      <c r="A4" s="2" t="s">
        <v>2</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7">
        <v>1.3228986578653787E-5</v>
      </c>
      <c r="AG4" s="7">
        <v>1.3351004035312167E-5</v>
      </c>
      <c r="AH4" s="7">
        <v>1.3448210690384045E-5</v>
      </c>
      <c r="AI4" s="7">
        <v>1.3548882358160103E-5</v>
      </c>
      <c r="AJ4" s="7">
        <v>1.365327018224468E-5</v>
      </c>
      <c r="AK4" s="7">
        <v>1.3761500883312822E-5</v>
      </c>
      <c r="AL4" s="7">
        <v>1.387370090955609E-5</v>
      </c>
      <c r="AM4" s="7">
        <v>1.3990474699641369E-5</v>
      </c>
      <c r="AN4" s="7">
        <v>1.4112378817260886E-5</v>
      </c>
      <c r="AO4" s="7">
        <v>1.4239928335395459E-5</v>
      </c>
      <c r="AP4" s="7">
        <v>1.4373258842965937E-5</v>
      </c>
      <c r="AQ4" s="7">
        <v>1.4512396972370334E-5</v>
      </c>
      <c r="AR4" s="7">
        <v>1.4657165111117269E-5</v>
      </c>
      <c r="AS4" s="7">
        <v>1.4807426681632889E-5</v>
      </c>
      <c r="AT4" s="7">
        <v>1.4962997035753534E-5</v>
      </c>
      <c r="AU4" s="7">
        <v>1.5124019551113483E-5</v>
      </c>
      <c r="AV4" s="7">
        <v>1.5129679469184749E-5</v>
      </c>
      <c r="AW4" s="7">
        <v>1.5136668183505505E-5</v>
      </c>
      <c r="AX4" s="7">
        <v>1.5144948109290246E-5</v>
      </c>
      <c r="AY4" s="7">
        <v>1.5154462024834499E-5</v>
      </c>
      <c r="AZ4" s="7">
        <v>1.5165243320731007E-5</v>
      </c>
      <c r="BA4" s="7">
        <v>1.5177362977126023E-5</v>
      </c>
      <c r="BB4" s="7">
        <v>1.5190865046527137E-5</v>
      </c>
      <c r="BC4" s="7">
        <v>1.5205885679193845E-5</v>
      </c>
      <c r="BD4" s="7">
        <v>1.5222476092568192E-5</v>
      </c>
      <c r="BE4" s="7">
        <v>1.5240690367872361E-5</v>
      </c>
      <c r="BF4" s="7">
        <v>1.5260525310550297E-5</v>
      </c>
      <c r="BG4" s="7">
        <v>1.5281970137911179E-5</v>
      </c>
      <c r="BH4" s="7">
        <v>1.5305072604409572E-5</v>
      </c>
      <c r="BI4" s="7">
        <v>1.5329779965360515E-5</v>
      </c>
      <c r="BJ4" s="7">
        <v>1.5356153846789519E-5</v>
      </c>
      <c r="BK4" s="7">
        <v>1.5384179273723803E-5</v>
      </c>
      <c r="BL4" s="7">
        <v>1.5413889957734609E-5</v>
      </c>
      <c r="BM4" s="7">
        <v>1.5445306992464522E-5</v>
      </c>
      <c r="BN4" s="7">
        <v>1.5478482896908194E-5</v>
      </c>
      <c r="BO4" s="7">
        <v>1.5513378357914852E-5</v>
      </c>
      <c r="BP4" s="7">
        <v>1.555004767317005E-5</v>
      </c>
      <c r="BQ4" s="7">
        <v>1.5588500151053576E-5</v>
      </c>
      <c r="BR4" s="7">
        <v>1.5628829986834069E-5</v>
      </c>
      <c r="BS4" s="7">
        <v>1.567104412217074E-5</v>
      </c>
      <c r="BT4" s="7">
        <v>1.5715175740897283E-5</v>
      </c>
      <c r="BU4" s="7">
        <v>1.576127411843068E-5</v>
      </c>
      <c r="BV4" s="7">
        <v>1.5809239413469278E-5</v>
      </c>
      <c r="BW4" s="7">
        <v>1.5859003238648446E-5</v>
      </c>
      <c r="BX4" s="7">
        <v>1.5910525374817119E-5</v>
      </c>
      <c r="BY4" s="7">
        <v>1.5963826475578374E-5</v>
      </c>
      <c r="BZ4" s="7">
        <v>1.6018932390953672E-5</v>
      </c>
      <c r="CA4" s="7">
        <v>1.6075946092514357E-5</v>
      </c>
      <c r="CB4" s="7">
        <v>1.6134996204646558E-5</v>
      </c>
      <c r="CC4" s="7">
        <v>1.619617700250283E-5</v>
      </c>
      <c r="CD4" s="7">
        <v>1.6259530794417312E-5</v>
      </c>
      <c r="CE4" s="7">
        <v>1.6325137705062302E-5</v>
      </c>
      <c r="CF4" s="7">
        <v>1.6393003462244631E-5</v>
      </c>
      <c r="CG4" s="7">
        <v>1.646317079761857E-5</v>
      </c>
      <c r="CH4" s="7">
        <v>1.6535713142124513E-5</v>
      </c>
      <c r="CI4" s="7">
        <v>1.6610675973681363E-5</v>
      </c>
      <c r="CJ4" s="7">
        <v>1.6688154385214631E-5</v>
      </c>
      <c r="CK4" s="7">
        <v>1.6768272358873779E-5</v>
      </c>
      <c r="CL4" s="7">
        <v>1.6851146193557374E-5</v>
      </c>
      <c r="CM4" s="7">
        <v>1.6936941244662474E-5</v>
      </c>
    </row>
    <row r="5" spans="1:91" x14ac:dyDescent="0.25">
      <c r="A5" s="2" t="s">
        <v>2</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7">
        <v>7.0121002027183778E-6</v>
      </c>
      <c r="AG5" s="7">
        <v>7.2210894119728063E-6</v>
      </c>
      <c r="AH5" s="7">
        <v>7.4202145751621905E-6</v>
      </c>
      <c r="AI5" s="7">
        <v>7.6288203120131999E-6</v>
      </c>
      <c r="AJ5" s="7">
        <v>7.8474396653895003E-6</v>
      </c>
      <c r="AK5" s="7">
        <v>8.0765895476182639E-6</v>
      </c>
      <c r="AL5" s="7">
        <v>8.3168765465417997E-6</v>
      </c>
      <c r="AM5" s="7">
        <v>8.569263350893212E-6</v>
      </c>
      <c r="AN5" s="7">
        <v>8.8347261253526665E-6</v>
      </c>
      <c r="AO5" s="7">
        <v>9.11421427809247E-6</v>
      </c>
      <c r="AP5" s="7">
        <v>9.4084016592827995E-6</v>
      </c>
      <c r="AQ5" s="7">
        <v>9.7178946223932155E-6</v>
      </c>
      <c r="AR5" s="7">
        <v>1.0043173749519153E-5</v>
      </c>
      <c r="AS5" s="7">
        <v>1.0384788452865011E-5</v>
      </c>
      <c r="AT5" s="7">
        <v>1.0743308883754397E-5</v>
      </c>
      <c r="AU5" s="7">
        <v>1.1119589377810111E-5</v>
      </c>
      <c r="AV5" s="7">
        <v>1.1213796586475904E-5</v>
      </c>
      <c r="AW5" s="7">
        <v>1.1310063229022583E-5</v>
      </c>
      <c r="AX5" s="7">
        <v>1.1408394646721938E-5</v>
      </c>
      <c r="AY5" s="7">
        <v>1.1508780806381498E-5</v>
      </c>
      <c r="AZ5" s="7">
        <v>1.1611279737027922E-5</v>
      </c>
      <c r="BA5" s="7">
        <v>1.1715979237498833E-5</v>
      </c>
      <c r="BB5" s="7">
        <v>1.1822947929307411E-5</v>
      </c>
      <c r="BC5" s="7">
        <v>1.1932326332599029E-5</v>
      </c>
      <c r="BD5" s="7">
        <v>1.2044191881680218E-5</v>
      </c>
      <c r="BE5" s="7">
        <v>1.2158625474257043E-5</v>
      </c>
      <c r="BF5" s="7">
        <v>1.2275663650896177E-5</v>
      </c>
      <c r="BG5" s="7">
        <v>1.2395333374645749E-5</v>
      </c>
      <c r="BH5" s="7">
        <v>1.2517706778337661E-5</v>
      </c>
      <c r="BI5" s="7">
        <v>1.2642778251082926E-5</v>
      </c>
      <c r="BJ5" s="7">
        <v>1.2770631328073203E-5</v>
      </c>
      <c r="BK5" s="7">
        <v>1.2901293894719471E-5</v>
      </c>
      <c r="BL5" s="7">
        <v>1.3034830919942682E-5</v>
      </c>
      <c r="BM5" s="7">
        <v>1.3171300126526274E-5</v>
      </c>
      <c r="BN5" s="7">
        <v>1.3310782826788613E-5</v>
      </c>
      <c r="BO5" s="7">
        <v>1.3453288136796965E-5</v>
      </c>
      <c r="BP5" s="7">
        <v>1.3598902811408791E-5</v>
      </c>
      <c r="BQ5" s="7">
        <v>1.3747680101340874E-5</v>
      </c>
      <c r="BR5" s="7">
        <v>1.3899750761434954E-5</v>
      </c>
      <c r="BS5" s="7">
        <v>1.4055169790404232E-5</v>
      </c>
      <c r="BT5" s="7">
        <v>1.4214018533221651E-5</v>
      </c>
      <c r="BU5" s="7">
        <v>1.4376384341841042E-5</v>
      </c>
      <c r="BV5" s="7">
        <v>1.454223838780701E-5</v>
      </c>
      <c r="BW5" s="7">
        <v>1.4711573778200049E-5</v>
      </c>
      <c r="BX5" s="7">
        <v>1.4884409820544955E-5</v>
      </c>
      <c r="BY5" s="7">
        <v>1.5060817919501827E-5</v>
      </c>
      <c r="BZ5" s="7">
        <v>1.5240874558207107E-5</v>
      </c>
      <c r="CA5" s="7">
        <v>1.5424723193414205E-5</v>
      </c>
      <c r="CB5" s="7">
        <v>1.5612527123797715E-5</v>
      </c>
      <c r="CC5" s="7">
        <v>1.5804430627085273E-5</v>
      </c>
      <c r="CD5" s="7">
        <v>1.6000527546420064E-5</v>
      </c>
      <c r="CE5" s="7">
        <v>1.6200948175775143E-5</v>
      </c>
      <c r="CF5" s="7">
        <v>1.6405763465364506E-5</v>
      </c>
      <c r="CG5" s="7">
        <v>1.6615072156938698E-5</v>
      </c>
      <c r="CH5" s="7">
        <v>1.6829007697501241E-5</v>
      </c>
      <c r="CI5" s="7">
        <v>1.7047670489944911E-5</v>
      </c>
      <c r="CJ5" s="7">
        <v>1.7271213764054107E-5</v>
      </c>
      <c r="CK5" s="7">
        <v>1.7499810138009306E-5</v>
      </c>
      <c r="CL5" s="7">
        <v>1.7733635779794166E-5</v>
      </c>
      <c r="CM5" s="7">
        <v>1.7972898028142205E-5</v>
      </c>
    </row>
    <row r="7" spans="1:91" x14ac:dyDescent="0.25">
      <c r="A7" s="2" t="s">
        <v>3</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7">
        <v>3.6843336955314182E-5</v>
      </c>
      <c r="AG7" s="7">
        <v>3.6790336088918271E-5</v>
      </c>
      <c r="AH7" s="7">
        <v>3.6735360620641035E-5</v>
      </c>
      <c r="AI7" s="7">
        <v>3.667954216924579E-5</v>
      </c>
      <c r="AJ7" s="7">
        <v>3.6623172446285202E-5</v>
      </c>
      <c r="AK7" s="7">
        <v>3.6566333390967918E-5</v>
      </c>
      <c r="AL7" s="7">
        <v>3.6509049093726465E-5</v>
      </c>
      <c r="AM7" s="7">
        <v>3.6451465927738483E-5</v>
      </c>
      <c r="AN7" s="7">
        <v>3.6393772236650164E-5</v>
      </c>
      <c r="AO7" s="7">
        <v>3.6336058437465606E-5</v>
      </c>
      <c r="AP7" s="7">
        <v>3.6278480991528786E-5</v>
      </c>
      <c r="AQ7" s="7">
        <v>3.6221086104825362E-5</v>
      </c>
      <c r="AR7" s="7">
        <v>3.6163908142653389E-5</v>
      </c>
      <c r="AS7" s="7">
        <v>3.6106967137093158E-5</v>
      </c>
      <c r="AT7" s="7">
        <v>3.6050252332744931E-5</v>
      </c>
      <c r="AU7" s="7">
        <v>3.5993815782955002E-5</v>
      </c>
      <c r="AV7" s="7">
        <v>3.6240761422145941E-5</v>
      </c>
      <c r="AW7" s="7">
        <v>3.6488319224976524E-5</v>
      </c>
      <c r="AX7" s="7">
        <v>3.6736401572061515E-5</v>
      </c>
      <c r="AY7" s="7">
        <v>3.6984942058821465E-5</v>
      </c>
      <c r="AZ7" s="7">
        <v>3.7233916194726742E-5</v>
      </c>
      <c r="BA7" s="7">
        <v>3.7483340931640341E-5</v>
      </c>
      <c r="BB7" s="7">
        <v>3.7733264583550239E-5</v>
      </c>
      <c r="BC7" s="7">
        <v>3.7983771721610727E-5</v>
      </c>
      <c r="BD7" s="7">
        <v>3.8234915476011561E-5</v>
      </c>
      <c r="BE7" s="7">
        <v>3.8486709306004642E-5</v>
      </c>
      <c r="BF7" s="7">
        <v>3.8739112982091046E-5</v>
      </c>
      <c r="BG7" s="7">
        <v>3.8992095716647596E-5</v>
      </c>
      <c r="BH7" s="7">
        <v>3.924562373175183E-5</v>
      </c>
      <c r="BI7" s="7">
        <v>3.9499678545098855E-5</v>
      </c>
      <c r="BJ7" s="7">
        <v>3.9754240321908044E-5</v>
      </c>
      <c r="BK7" s="7">
        <v>4.000932417248637E-5</v>
      </c>
      <c r="BL7" s="7">
        <v>4.026490274229546E-5</v>
      </c>
      <c r="BM7" s="7">
        <v>4.0520979757742613E-5</v>
      </c>
      <c r="BN7" s="7">
        <v>4.077753345059938E-5</v>
      </c>
      <c r="BO7" s="7">
        <v>4.103455970645964E-5</v>
      </c>
      <c r="BP7" s="7">
        <v>4.1292070796830004E-5</v>
      </c>
      <c r="BQ7" s="7">
        <v>4.1550084585070373E-5</v>
      </c>
      <c r="BR7" s="7">
        <v>4.1808652143139597E-5</v>
      </c>
      <c r="BS7" s="7">
        <v>4.2067777718082665E-5</v>
      </c>
      <c r="BT7" s="7">
        <v>4.205732655042336E-5</v>
      </c>
      <c r="BU7" s="7">
        <v>4.20475698536695E-5</v>
      </c>
      <c r="BV7" s="7">
        <v>4.2038515839406725E-5</v>
      </c>
      <c r="BW7" s="7">
        <v>4.2030165165065959E-5</v>
      </c>
      <c r="BX7" s="7">
        <v>4.2022517883421977E-5</v>
      </c>
      <c r="BY7" s="7">
        <v>4.2015578646874784E-5</v>
      </c>
      <c r="BZ7" s="7">
        <v>4.2009349904398449E-5</v>
      </c>
      <c r="CA7" s="7">
        <v>4.2003839410619271E-5</v>
      </c>
      <c r="CB7" s="7">
        <v>4.1999035700128213E-5</v>
      </c>
      <c r="CC7" s="7">
        <v>4.1994954482370675E-5</v>
      </c>
      <c r="CD7" s="7">
        <v>4.1991583571040976E-5</v>
      </c>
      <c r="CE7" s="7">
        <v>4.198892315455593E-5</v>
      </c>
      <c r="CF7" s="7">
        <v>4.1986974316149639E-5</v>
      </c>
      <c r="CG7" s="7">
        <v>4.1985724723765034E-5</v>
      </c>
      <c r="CH7" s="7">
        <v>4.1985181176711097E-5</v>
      </c>
      <c r="CI7" s="7">
        <v>4.1985334042555348E-5</v>
      </c>
      <c r="CJ7" s="7">
        <v>4.1986179969974803E-5</v>
      </c>
      <c r="CK7" s="7">
        <v>4.1987715798084247E-5</v>
      </c>
      <c r="CL7" s="7">
        <v>4.1989957362986156E-5</v>
      </c>
      <c r="CM7" s="7">
        <v>4.1992888143846221E-5</v>
      </c>
    </row>
    <row r="8" spans="1:91" x14ac:dyDescent="0.25">
      <c r="A8" s="2" t="s">
        <v>1</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7">
        <v>5.2769166477933858E-5</v>
      </c>
      <c r="AG8" s="7">
        <v>5.2693255559611984E-5</v>
      </c>
      <c r="AH8" s="7">
        <v>5.2614516501821335E-5</v>
      </c>
      <c r="AI8" s="7">
        <v>5.25345700746617E-5</v>
      </c>
      <c r="AJ8" s="7">
        <v>5.2453834084356881E-5</v>
      </c>
      <c r="AK8" s="7">
        <v>5.2372425888999203E-5</v>
      </c>
      <c r="AL8" s="7">
        <v>5.2290379992305006E-5</v>
      </c>
      <c r="AM8" s="7">
        <v>5.2207906038438337E-5</v>
      </c>
      <c r="AN8" s="7">
        <v>5.2125273784105413E-5</v>
      </c>
      <c r="AO8" s="7">
        <v>5.204261272978946E-5</v>
      </c>
      <c r="AP8" s="7">
        <v>5.1960146968512207E-5</v>
      </c>
      <c r="AQ8" s="7">
        <v>5.187794267916924E-5</v>
      </c>
      <c r="AR8" s="7">
        <v>5.1796049081735804E-5</v>
      </c>
      <c r="AS8" s="7">
        <v>5.1714494867320529E-5</v>
      </c>
      <c r="AT8" s="7">
        <v>5.1633264631415317E-5</v>
      </c>
      <c r="AU8" s="7">
        <v>5.1552432927845249E-5</v>
      </c>
      <c r="AV8" s="7">
        <v>5.1426673049312509E-5</v>
      </c>
      <c r="AW8" s="7">
        <v>5.1301940254642099E-5</v>
      </c>
      <c r="AX8" s="7">
        <v>5.1178110902497184E-5</v>
      </c>
      <c r="AY8" s="7">
        <v>5.105509507926116E-5</v>
      </c>
      <c r="AZ8" s="7">
        <v>5.0932863792962064E-5</v>
      </c>
      <c r="BA8" s="7">
        <v>5.0811445390446209E-5</v>
      </c>
      <c r="BB8" s="7">
        <v>5.0690909576079458E-5</v>
      </c>
      <c r="BC8" s="7">
        <v>5.0571372672563091E-5</v>
      </c>
      <c r="BD8" s="7">
        <v>5.0452904928954989E-5</v>
      </c>
      <c r="BE8" s="7">
        <v>5.0335521782884781E-5</v>
      </c>
      <c r="BF8" s="7">
        <v>5.0219168035245482E-5</v>
      </c>
      <c r="BG8" s="7">
        <v>5.0103801412425793E-5</v>
      </c>
      <c r="BH8" s="7">
        <v>4.9989377866887931E-5</v>
      </c>
      <c r="BI8" s="7">
        <v>4.9875873697931907E-5</v>
      </c>
      <c r="BJ8" s="7">
        <v>4.9763264739644714E-5</v>
      </c>
      <c r="BK8" s="7">
        <v>4.9651571402519582E-5</v>
      </c>
      <c r="BL8" s="7">
        <v>4.9540760809332245E-5</v>
      </c>
      <c r="BM8" s="7">
        <v>4.9430839326372468E-5</v>
      </c>
      <c r="BN8" s="7">
        <v>4.9321782578794245E-5</v>
      </c>
      <c r="BO8" s="7">
        <v>4.921358818595785E-5</v>
      </c>
      <c r="BP8" s="7">
        <v>4.9106274165759208E-5</v>
      </c>
      <c r="BQ8" s="7">
        <v>4.8999864266282466E-5</v>
      </c>
      <c r="BR8" s="7">
        <v>4.8894420639971825E-5</v>
      </c>
      <c r="BS8" s="7">
        <v>4.878994838437421E-5</v>
      </c>
      <c r="BT8" s="7">
        <v>4.8777827184769348E-5</v>
      </c>
      <c r="BU8" s="7">
        <v>4.8766511428224931E-5</v>
      </c>
      <c r="BV8" s="7">
        <v>4.8756010638487174E-5</v>
      </c>
      <c r="BW8" s="7">
        <v>4.8746325578040402E-5</v>
      </c>
      <c r="BX8" s="7">
        <v>4.8737456308092499E-5</v>
      </c>
      <c r="BY8" s="7">
        <v>4.872940822446818E-5</v>
      </c>
      <c r="BZ8" s="7">
        <v>4.8722184167472422E-5</v>
      </c>
      <c r="CA8" s="7">
        <v>4.8715793130872858E-5</v>
      </c>
      <c r="CB8" s="7">
        <v>4.8710221817159014E-5</v>
      </c>
      <c r="CC8" s="7">
        <v>4.8705488446048469E-5</v>
      </c>
      <c r="CD8" s="7">
        <v>4.8701578883939272E-5</v>
      </c>
      <c r="CE8" s="7">
        <v>4.8698493349356099E-5</v>
      </c>
      <c r="CF8" s="7">
        <v>4.8696233098627154E-5</v>
      </c>
      <c r="CG8" s="7">
        <v>4.8694783829108917E-5</v>
      </c>
      <c r="CH8" s="7">
        <v>4.8694153426597895E-5</v>
      </c>
      <c r="CI8" s="7">
        <v>4.8694330719458511E-5</v>
      </c>
      <c r="CJ8" s="7">
        <v>4.8695311820847057E-5</v>
      </c>
      <c r="CK8" s="7">
        <v>4.8697093064788418E-5</v>
      </c>
      <c r="CL8" s="7">
        <v>4.8699692817896317E-5</v>
      </c>
      <c r="CM8" s="7">
        <v>4.870309191940927E-5</v>
      </c>
    </row>
    <row r="9" spans="1:91" x14ac:dyDescent="0.25">
      <c r="A9" s="2" t="s">
        <v>1</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7">
        <v>3.755643379961059E-5</v>
      </c>
      <c r="AG9" s="7">
        <v>3.7502407109994121E-5</v>
      </c>
      <c r="AH9" s="7">
        <v>3.7446367600395375E-5</v>
      </c>
      <c r="AI9" s="7">
        <v>3.7389468791876361E-5</v>
      </c>
      <c r="AJ9" s="7">
        <v>3.7332008042019762E-5</v>
      </c>
      <c r="AK9" s="7">
        <v>3.7274068875954395E-5</v>
      </c>
      <c r="AL9" s="7">
        <v>3.7215675850379237E-5</v>
      </c>
      <c r="AM9" s="7">
        <v>3.7156978171501163E-5</v>
      </c>
      <c r="AN9" s="7">
        <v>3.7098167828327268E-5</v>
      </c>
      <c r="AO9" s="7">
        <v>3.7039336987868168E-5</v>
      </c>
      <c r="AP9" s="7">
        <v>3.6980645139751931E-5</v>
      </c>
      <c r="AQ9" s="7">
        <v>3.692213938427361E-5</v>
      </c>
      <c r="AR9" s="7">
        <v>3.6863854751866036E-5</v>
      </c>
      <c r="AS9" s="7">
        <v>3.6805811662327231E-5</v>
      </c>
      <c r="AT9" s="7">
        <v>3.6747999152088383E-5</v>
      </c>
      <c r="AU9" s="7">
        <v>3.6690470281979947E-5</v>
      </c>
      <c r="AV9" s="7">
        <v>3.6554387193524668E-5</v>
      </c>
      <c r="AW9" s="7">
        <v>3.6419049694988411E-5</v>
      </c>
      <c r="AX9" s="7">
        <v>3.6284369969327323E-5</v>
      </c>
      <c r="AY9" s="7">
        <v>3.6150284528647284E-5</v>
      </c>
      <c r="AZ9" s="7">
        <v>3.6016773330156356E-5</v>
      </c>
      <c r="BA9" s="7">
        <v>3.5883856943783344E-5</v>
      </c>
      <c r="BB9" s="7">
        <v>3.5751585028125387E-5</v>
      </c>
      <c r="BC9" s="7">
        <v>3.5620039904606293E-5</v>
      </c>
      <c r="BD9" s="7">
        <v>3.5489271002261883E-5</v>
      </c>
      <c r="BE9" s="7">
        <v>3.5359288935229114E-5</v>
      </c>
      <c r="BF9" s="7">
        <v>3.5230054652750892E-5</v>
      </c>
      <c r="BG9" s="7">
        <v>3.510153824522978E-5</v>
      </c>
      <c r="BH9" s="7">
        <v>3.497370878428771E-5</v>
      </c>
      <c r="BI9" s="7">
        <v>3.4846549671034063E-5</v>
      </c>
      <c r="BJ9" s="7">
        <v>3.4720044118473136E-5</v>
      </c>
      <c r="BK9" s="7">
        <v>3.4594206533365417E-5</v>
      </c>
      <c r="BL9" s="7">
        <v>3.4469014128796276E-5</v>
      </c>
      <c r="BM9" s="7">
        <v>3.434447153570656E-5</v>
      </c>
      <c r="BN9" s="7">
        <v>3.4220562067128782E-5</v>
      </c>
      <c r="BO9" s="7">
        <v>3.4097284369947345E-5</v>
      </c>
      <c r="BP9" s="7">
        <v>3.3974651310643246E-5</v>
      </c>
      <c r="BQ9" s="7">
        <v>3.3852679612556282E-5</v>
      </c>
      <c r="BR9" s="7">
        <v>3.3731412442074227E-5</v>
      </c>
      <c r="BS9" s="7">
        <v>3.3610853331457794E-5</v>
      </c>
      <c r="BT9" s="7">
        <v>3.3602503171729998E-5</v>
      </c>
      <c r="BU9" s="7">
        <v>3.359470787277717E-5</v>
      </c>
      <c r="BV9" s="7">
        <v>3.3587473995402277E-5</v>
      </c>
      <c r="BW9" s="7">
        <v>3.3580802064872276E-5</v>
      </c>
      <c r="BX9" s="7">
        <v>3.3574692123352602E-5</v>
      </c>
      <c r="BY9" s="7">
        <v>3.3569147887966958E-5</v>
      </c>
      <c r="BZ9" s="7">
        <v>3.3564171315369903E-5</v>
      </c>
      <c r="CA9" s="7">
        <v>3.3559768601267973E-5</v>
      </c>
      <c r="CB9" s="7">
        <v>3.3555930585153986E-5</v>
      </c>
      <c r="CC9" s="7">
        <v>3.3552669818388946E-5</v>
      </c>
      <c r="CD9" s="7">
        <v>3.3549976564491491E-5</v>
      </c>
      <c r="CE9" s="7">
        <v>3.3547850974000863E-5</v>
      </c>
      <c r="CF9" s="7">
        <v>3.3546293912387592E-5</v>
      </c>
      <c r="CG9" s="7">
        <v>3.3545295526719481E-5</v>
      </c>
      <c r="CH9" s="7">
        <v>3.3544861249434111E-5</v>
      </c>
      <c r="CI9" s="7">
        <v>3.354498338451587E-5</v>
      </c>
      <c r="CJ9" s="7">
        <v>3.3545659254361305E-5</v>
      </c>
      <c r="CK9" s="7">
        <v>3.3546886333520914E-5</v>
      </c>
      <c r="CL9" s="7">
        <v>3.3548677274550791E-5</v>
      </c>
      <c r="CM9" s="7">
        <v>3.3551018877815263E-5</v>
      </c>
    </row>
    <row r="10" spans="1:91" x14ac:dyDescent="0.25">
      <c r="A10" s="2" t="s">
        <v>1</v>
      </c>
      <c r="B10" s="5">
        <v>0</v>
      </c>
      <c r="C10" s="5">
        <v>0</v>
      </c>
      <c r="D10" s="5">
        <v>0</v>
      </c>
      <c r="E10" s="5">
        <v>0</v>
      </c>
      <c r="F10" s="5">
        <v>0</v>
      </c>
      <c r="G10" s="5">
        <v>0</v>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c r="AA10" s="5">
        <v>0</v>
      </c>
      <c r="AB10" s="5">
        <v>0</v>
      </c>
      <c r="AC10" s="5">
        <v>0</v>
      </c>
      <c r="AD10" s="5">
        <v>0</v>
      </c>
      <c r="AE10" s="5">
        <v>0</v>
      </c>
      <c r="AF10" s="7">
        <v>3.2802454837634565E-5</v>
      </c>
      <c r="AG10" s="7">
        <v>3.2755266969488529E-5</v>
      </c>
      <c r="AH10" s="7">
        <v>3.2706321068699752E-5</v>
      </c>
      <c r="AI10" s="7">
        <v>3.2656624641005933E-5</v>
      </c>
      <c r="AJ10" s="7">
        <v>3.260643740378941E-5</v>
      </c>
      <c r="AK10" s="7">
        <v>3.2555832309377881E-5</v>
      </c>
      <c r="AL10" s="7">
        <v>3.2504830806027448E-5</v>
      </c>
      <c r="AM10" s="7">
        <v>3.2453563213083297E-5</v>
      </c>
      <c r="AN10" s="7">
        <v>3.2402197217146604E-5</v>
      </c>
      <c r="AO10" s="7">
        <v>3.2350813318517766E-5</v>
      </c>
      <c r="AP10" s="7">
        <v>3.2299550818264349E-5</v>
      </c>
      <c r="AQ10" s="7">
        <v>3.2248450854618708E-5</v>
      </c>
      <c r="AR10" s="7">
        <v>3.2197544023781722E-5</v>
      </c>
      <c r="AS10" s="7">
        <v>3.2146848160766819E-5</v>
      </c>
      <c r="AT10" s="7">
        <v>3.2096353689798707E-5</v>
      </c>
      <c r="AU10" s="7">
        <v>3.2046106955147048E-5</v>
      </c>
      <c r="AV10" s="7">
        <v>3.2141497387667968E-5</v>
      </c>
      <c r="AW10" s="7">
        <v>3.2237471864924206E-5</v>
      </c>
      <c r="AX10" s="7">
        <v>3.2333952858260567E-5</v>
      </c>
      <c r="AY10" s="7">
        <v>3.2430882594832423E-5</v>
      </c>
      <c r="AZ10" s="7">
        <v>3.252824084985104E-5</v>
      </c>
      <c r="BA10" s="7">
        <v>3.2626043771889077E-5</v>
      </c>
      <c r="BB10" s="7">
        <v>3.2724334507413949E-5</v>
      </c>
      <c r="BC10" s="7">
        <v>3.2823187104594656E-5</v>
      </c>
      <c r="BD10" s="7">
        <v>3.2922647348466289E-5</v>
      </c>
      <c r="BE10" s="7">
        <v>3.3022726225326942E-5</v>
      </c>
      <c r="BF10" s="7">
        <v>3.3123388546184533E-5</v>
      </c>
      <c r="BG10" s="7">
        <v>3.322460737319037E-5</v>
      </c>
      <c r="BH10" s="7">
        <v>3.3326353757518896E-5</v>
      </c>
      <c r="BI10" s="7">
        <v>3.3428611963271228E-5</v>
      </c>
      <c r="BJ10" s="7">
        <v>3.3531365432526505E-5</v>
      </c>
      <c r="BK10" s="7">
        <v>3.3634627298655102E-5</v>
      </c>
      <c r="BL10" s="7">
        <v>3.3738374843246775E-5</v>
      </c>
      <c r="BM10" s="7">
        <v>3.3842611651175989E-5</v>
      </c>
      <c r="BN10" s="7">
        <v>3.3947320107804405E-5</v>
      </c>
      <c r="BO10" s="7">
        <v>3.4052497461805553E-5</v>
      </c>
      <c r="BP10" s="7">
        <v>3.4158154753509541E-5</v>
      </c>
      <c r="BQ10" s="7">
        <v>3.4264307410199167E-5</v>
      </c>
      <c r="BR10" s="7">
        <v>3.4370998047757487E-5</v>
      </c>
      <c r="BS10" s="7">
        <v>3.4478230191624447E-5</v>
      </c>
      <c r="BT10" s="7">
        <v>3.4469664543903668E-5</v>
      </c>
      <c r="BU10" s="7">
        <v>3.4461668075945619E-5</v>
      </c>
      <c r="BV10" s="7">
        <v>3.4454247517864263E-5</v>
      </c>
      <c r="BW10" s="7">
        <v>3.4447403408481883E-5</v>
      </c>
      <c r="BX10" s="7">
        <v>3.4441135791052025E-5</v>
      </c>
      <c r="BY10" s="7">
        <v>3.4435448478624177E-5</v>
      </c>
      <c r="BZ10" s="7">
        <v>3.4430343478347179E-5</v>
      </c>
      <c r="CA10" s="7">
        <v>3.4425827145816816E-5</v>
      </c>
      <c r="CB10" s="7">
        <v>3.4421890084125702E-5</v>
      </c>
      <c r="CC10" s="7">
        <v>3.4418545168540914E-5</v>
      </c>
      <c r="CD10" s="7">
        <v>3.4415782411317079E-5</v>
      </c>
      <c r="CE10" s="7">
        <v>3.4413601966878305E-5</v>
      </c>
      <c r="CF10" s="7">
        <v>3.4412004723029851E-5</v>
      </c>
      <c r="CG10" s="7">
        <v>3.4410980572570303E-5</v>
      </c>
      <c r="CH10" s="7">
        <v>3.4410535088129198E-5</v>
      </c>
      <c r="CI10" s="7">
        <v>3.4410660375084007E-5</v>
      </c>
      <c r="CJ10" s="7">
        <v>3.441135368673192E-5</v>
      </c>
      <c r="CK10" s="7">
        <v>3.4412612432450478E-5</v>
      </c>
      <c r="CL10" s="7">
        <v>3.4414449591313397E-5</v>
      </c>
      <c r="CM10" s="7">
        <v>3.4416851623049204E-5</v>
      </c>
    </row>
    <row r="11" spans="1:91" x14ac:dyDescent="0.25">
      <c r="A11" s="2" t="s">
        <v>1</v>
      </c>
      <c r="B11" s="5">
        <v>0</v>
      </c>
      <c r="C11" s="5">
        <v>0</v>
      </c>
      <c r="D11" s="5">
        <v>0</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0</v>
      </c>
      <c r="AF11" s="7">
        <v>9.854236723099179E-6</v>
      </c>
      <c r="AG11" s="7">
        <v>9.9823313516283816E-6</v>
      </c>
      <c r="AH11" s="7">
        <v>1.0100376622903003E-5</v>
      </c>
      <c r="AI11" s="7">
        <v>1.0217954371032664E-5</v>
      </c>
      <c r="AJ11" s="7">
        <v>1.0335036222756833E-5</v>
      </c>
      <c r="AK11" s="7">
        <v>1.0451609591361124E-5</v>
      </c>
      <c r="AL11" s="7">
        <v>1.0567721275233579E-5</v>
      </c>
      <c r="AM11" s="7">
        <v>1.0683584645201572E-5</v>
      </c>
      <c r="AN11" s="7">
        <v>1.0799445063931594E-5</v>
      </c>
      <c r="AO11" s="7">
        <v>1.0915504194081234E-5</v>
      </c>
      <c r="AP11" s="7">
        <v>1.1031807456688384E-5</v>
      </c>
      <c r="AQ11" s="7">
        <v>1.1148309525294568E-5</v>
      </c>
      <c r="AR11" s="7">
        <v>1.1264870100794226E-5</v>
      </c>
      <c r="AS11" s="7">
        <v>1.1381328286422772E-5</v>
      </c>
      <c r="AT11" s="7">
        <v>1.1497512483415883E-5</v>
      </c>
      <c r="AU11" s="7">
        <v>1.1613397424679677E-5</v>
      </c>
      <c r="AV11" s="7">
        <v>1.1713798570050842E-5</v>
      </c>
      <c r="AW11" s="7">
        <v>1.1814470296277969E-5</v>
      </c>
      <c r="AX11" s="7">
        <v>1.191534638981658E-5</v>
      </c>
      <c r="AY11" s="7">
        <v>1.2016381020005536E-5</v>
      </c>
      <c r="AZ11" s="7">
        <v>1.2117558271218646E-5</v>
      </c>
      <c r="BA11" s="7">
        <v>1.2218890985596653E-5</v>
      </c>
      <c r="BB11" s="7">
        <v>1.2320406157975561E-5</v>
      </c>
      <c r="BC11" s="7">
        <v>1.2422163359147807E-5</v>
      </c>
      <c r="BD11" s="7">
        <v>1.2524187390788021E-5</v>
      </c>
      <c r="BE11" s="7">
        <v>1.2626483878628047E-5</v>
      </c>
      <c r="BF11" s="7">
        <v>1.2729030779148932E-5</v>
      </c>
      <c r="BG11" s="7">
        <v>1.2831824775562305E-5</v>
      </c>
      <c r="BH11" s="7">
        <v>1.293486824139877E-5</v>
      </c>
      <c r="BI11" s="7">
        <v>1.3038141931290572E-5</v>
      </c>
      <c r="BJ11" s="7">
        <v>1.3141646057248452E-5</v>
      </c>
      <c r="BK11" s="7">
        <v>1.324536198402301E-5</v>
      </c>
      <c r="BL11" s="7">
        <v>1.3349273223858244E-5</v>
      </c>
      <c r="BM11" s="7">
        <v>1.3453362055576217E-5</v>
      </c>
      <c r="BN11" s="7">
        <v>1.3557618363085972E-5</v>
      </c>
      <c r="BO11" s="7">
        <v>1.3662013491165603E-5</v>
      </c>
      <c r="BP11" s="7">
        <v>1.3766547886425956E-5</v>
      </c>
      <c r="BQ11" s="7">
        <v>1.3871201491620626E-5</v>
      </c>
      <c r="BR11" s="7">
        <v>1.3975979456877814E-5</v>
      </c>
      <c r="BS11" s="7">
        <v>1.408086503385868E-5</v>
      </c>
      <c r="BT11" s="7">
        <v>1.4176705987784486E-5</v>
      </c>
      <c r="BU11" s="7">
        <v>1.4272897661288029E-5</v>
      </c>
      <c r="BV11" s="7">
        <v>1.4369405170972683E-5</v>
      </c>
      <c r="BW11" s="7">
        <v>1.4466221110106797E-5</v>
      </c>
      <c r="BX11" s="7">
        <v>1.4563333182956466E-5</v>
      </c>
      <c r="BY11" s="7">
        <v>1.4660743453509237E-5</v>
      </c>
      <c r="BZ11" s="7">
        <v>1.4758440388510096E-5</v>
      </c>
      <c r="CA11" s="7">
        <v>1.485643337428682E-5</v>
      </c>
      <c r="CB11" s="7">
        <v>1.4954723711917591E-5</v>
      </c>
      <c r="CC11" s="7">
        <v>1.5053310912873919E-5</v>
      </c>
      <c r="CD11" s="7">
        <v>1.5152187297695958E-5</v>
      </c>
      <c r="CE11" s="7">
        <v>1.5251347954090991E-5</v>
      </c>
      <c r="CF11" s="7">
        <v>1.535078884672587E-5</v>
      </c>
      <c r="CG11" s="7">
        <v>1.5450503085557794E-5</v>
      </c>
      <c r="CH11" s="7">
        <v>1.5550493837403647E-5</v>
      </c>
      <c r="CI11" s="7">
        <v>1.5650748955160461E-5</v>
      </c>
      <c r="CJ11" s="7">
        <v>1.5751267258813495E-5</v>
      </c>
      <c r="CK11" s="7">
        <v>1.5852032855683394E-5</v>
      </c>
      <c r="CL11" s="7">
        <v>1.5953046526604541E-5</v>
      </c>
      <c r="CM11" s="7">
        <v>1.6054290103878199E-5</v>
      </c>
    </row>
    <row r="12" spans="1:91" x14ac:dyDescent="0.25">
      <c r="A12" s="2" t="s">
        <v>1</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7">
        <v>2.1546611417777664E-5</v>
      </c>
      <c r="AG12" s="7">
        <v>2.1548776353901259E-5</v>
      </c>
      <c r="AH12" s="7">
        <v>2.1529813843228388E-5</v>
      </c>
      <c r="AI12" s="7">
        <v>2.1511796280261009E-5</v>
      </c>
      <c r="AJ12" s="7">
        <v>2.1494294630538175E-5</v>
      </c>
      <c r="AK12" s="7">
        <v>2.1477258718884035E-5</v>
      </c>
      <c r="AL12" s="7">
        <v>2.1460780711870611E-5</v>
      </c>
      <c r="AM12" s="7">
        <v>2.1445238306112089E-5</v>
      </c>
      <c r="AN12" s="7">
        <v>2.1430974190250699E-5</v>
      </c>
      <c r="AO12" s="7">
        <v>2.1418246228484336E-5</v>
      </c>
      <c r="AP12" s="7">
        <v>2.1406989135757382E-5</v>
      </c>
      <c r="AQ12" s="7">
        <v>2.1396971476561034E-5</v>
      </c>
      <c r="AR12" s="7">
        <v>2.1387819441490876E-5</v>
      </c>
      <c r="AS12" s="7">
        <v>2.1379160748666734E-5</v>
      </c>
      <c r="AT12" s="7">
        <v>2.1370586114888923E-5</v>
      </c>
      <c r="AU12" s="7">
        <v>2.136207988774734E-5</v>
      </c>
      <c r="AV12" s="7">
        <v>2.1431219936181367E-5</v>
      </c>
      <c r="AW12" s="7">
        <v>2.1500621928855455E-5</v>
      </c>
      <c r="AX12" s="7">
        <v>2.1570179413566521E-5</v>
      </c>
      <c r="AY12" s="7">
        <v>2.1639821924105715E-5</v>
      </c>
      <c r="AZ12" s="7">
        <v>2.1709567707921659E-5</v>
      </c>
      <c r="BA12" s="7">
        <v>2.1779462959994464E-5</v>
      </c>
      <c r="BB12" s="7">
        <v>2.1849626776714623E-5</v>
      </c>
      <c r="BC12" s="7">
        <v>2.1920278464497534E-5</v>
      </c>
      <c r="BD12" s="7">
        <v>2.1991551238002374E-5</v>
      </c>
      <c r="BE12" s="7">
        <v>2.2063475894961098E-5</v>
      </c>
      <c r="BF12" s="7">
        <v>2.2136022770592723E-5</v>
      </c>
      <c r="BG12" s="7">
        <v>2.2209233349265895E-5</v>
      </c>
      <c r="BH12" s="7">
        <v>2.2283196844612381E-5</v>
      </c>
      <c r="BI12" s="7">
        <v>2.2357890539718146E-5</v>
      </c>
      <c r="BJ12" s="7">
        <v>2.2433347003655922E-5</v>
      </c>
      <c r="BK12" s="7">
        <v>2.2509532403832295E-5</v>
      </c>
      <c r="BL12" s="7">
        <v>2.2586360106813801E-5</v>
      </c>
      <c r="BM12" s="7">
        <v>2.266373951206043E-5</v>
      </c>
      <c r="BN12" s="7">
        <v>2.2741629068060705E-5</v>
      </c>
      <c r="BO12" s="7">
        <v>2.2819945752611374E-5</v>
      </c>
      <c r="BP12" s="7">
        <v>2.2898700583336664E-5</v>
      </c>
      <c r="BQ12" s="7">
        <v>2.2977838939417841E-5</v>
      </c>
      <c r="BR12" s="7">
        <v>2.3057373635006435E-5</v>
      </c>
      <c r="BS12" s="7">
        <v>2.3137229080172518E-5</v>
      </c>
      <c r="BT12" s="7">
        <v>2.322088460377657E-5</v>
      </c>
      <c r="BU12" s="7">
        <v>2.3304856513304948E-5</v>
      </c>
      <c r="BV12" s="7">
        <v>2.3389124320775309E-5</v>
      </c>
      <c r="BW12" s="7">
        <v>2.3473652943025843E-5</v>
      </c>
      <c r="BX12" s="7">
        <v>2.3558450585572394E-5</v>
      </c>
      <c r="BY12" s="7">
        <v>2.3643525071400696E-5</v>
      </c>
      <c r="BZ12" s="7">
        <v>2.3728839924302104E-5</v>
      </c>
      <c r="CA12" s="7">
        <v>2.3814449363319564E-5</v>
      </c>
      <c r="CB12" s="7">
        <v>2.3900368603731259E-5</v>
      </c>
      <c r="CC12" s="7">
        <v>2.398661922121495E-5</v>
      </c>
      <c r="CD12" s="7">
        <v>2.4073166653929001E-5</v>
      </c>
      <c r="CE12" s="7">
        <v>2.4160049413654472E-5</v>
      </c>
      <c r="CF12" s="7">
        <v>2.4247233568978547E-5</v>
      </c>
      <c r="CG12" s="7">
        <v>2.4334710078056624E-5</v>
      </c>
      <c r="CH12" s="7">
        <v>2.4422475304205185E-5</v>
      </c>
      <c r="CI12" s="7">
        <v>2.4510534334148943E-5</v>
      </c>
      <c r="CJ12" s="7">
        <v>2.4598868961428005E-5</v>
      </c>
      <c r="CK12" s="7">
        <v>2.4687474773804851E-5</v>
      </c>
      <c r="CL12" s="7">
        <v>2.4776359815924639E-5</v>
      </c>
      <c r="CM12" s="7">
        <v>2.4865496205584895E-5</v>
      </c>
    </row>
    <row r="14" spans="1:91" x14ac:dyDescent="0.25">
      <c r="A14" s="2" t="s">
        <v>4</v>
      </c>
      <c r="B14" s="5">
        <v>0</v>
      </c>
      <c r="C14" s="5">
        <v>0</v>
      </c>
      <c r="D14" s="5">
        <v>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7">
        <v>7.2579400635636128E-5</v>
      </c>
      <c r="AG14" s="7">
        <v>7.2710750357848772E-5</v>
      </c>
      <c r="AH14" s="7">
        <v>7.2835631481469562E-5</v>
      </c>
      <c r="AI14" s="7">
        <v>7.2966844650889425E-5</v>
      </c>
      <c r="AJ14" s="7">
        <v>7.3104359921105733E-5</v>
      </c>
      <c r="AK14" s="7">
        <v>7.3248246864508071E-5</v>
      </c>
      <c r="AL14" s="7">
        <v>7.3398754505103175E-5</v>
      </c>
      <c r="AM14" s="7">
        <v>7.3555626460515322E-5</v>
      </c>
      <c r="AN14" s="7">
        <v>7.3718630250443402E-5</v>
      </c>
      <c r="AO14" s="7">
        <v>7.3887930394828121E-5</v>
      </c>
      <c r="AP14" s="7">
        <v>7.4063048210976443E-5</v>
      </c>
      <c r="AQ14" s="7">
        <v>7.4244147109695115E-5</v>
      </c>
      <c r="AR14" s="7">
        <v>7.4431632375143155E-5</v>
      </c>
      <c r="AS14" s="7">
        <v>7.4625871636400709E-5</v>
      </c>
      <c r="AT14" s="7">
        <v>7.4827372348252132E-5</v>
      </c>
      <c r="AU14" s="7">
        <v>7.5036047961920654E-5</v>
      </c>
      <c r="AV14" s="7">
        <v>7.5196129754424222E-5</v>
      </c>
      <c r="AW14" s="7">
        <v>7.5362226892668419E-5</v>
      </c>
      <c r="AX14" s="7">
        <v>7.5533423136030673E-5</v>
      </c>
      <c r="AY14" s="7">
        <v>7.570918252286068E-5</v>
      </c>
      <c r="AZ14" s="7">
        <v>7.5889042320633371E-5</v>
      </c>
      <c r="BA14" s="7">
        <v>7.6072967370297419E-5</v>
      </c>
      <c r="BB14" s="7">
        <v>7.6260690065726422E-5</v>
      </c>
      <c r="BC14" s="7">
        <v>7.6451712192685824E-5</v>
      </c>
      <c r="BD14" s="7">
        <v>7.6645708716077289E-5</v>
      </c>
      <c r="BE14" s="7">
        <v>7.6842653727074298E-5</v>
      </c>
      <c r="BF14" s="7">
        <v>7.7042342470197924E-5</v>
      </c>
      <c r="BG14" s="7">
        <v>7.724507134193393E-5</v>
      </c>
      <c r="BH14" s="7">
        <v>7.7450697007099199E-5</v>
      </c>
      <c r="BI14" s="7">
        <v>7.7659336093488269E-5</v>
      </c>
      <c r="BJ14" s="7">
        <v>7.7871119041523682E-5</v>
      </c>
      <c r="BK14" s="7">
        <v>7.8085962512260875E-5</v>
      </c>
      <c r="BL14" s="7">
        <v>7.8304194048995108E-5</v>
      </c>
      <c r="BM14" s="7">
        <v>7.8526200171564843E-5</v>
      </c>
      <c r="BN14" s="7">
        <v>7.8752113447964735E-5</v>
      </c>
      <c r="BO14" s="7">
        <v>7.8982140394694782E-5</v>
      </c>
      <c r="BP14" s="7">
        <v>7.9215967873173866E-5</v>
      </c>
      <c r="BQ14" s="7">
        <v>7.9453663292605763E-5</v>
      </c>
      <c r="BR14" s="7">
        <v>7.9694685625893665E-5</v>
      </c>
      <c r="BS14" s="7">
        <v>8.0939140319541284E-5</v>
      </c>
      <c r="BT14" s="7">
        <v>8.1144580689791697E-5</v>
      </c>
      <c r="BU14" s="7">
        <v>8.1352255328899303E-5</v>
      </c>
      <c r="BV14" s="7">
        <v>8.1561589635048809E-5</v>
      </c>
      <c r="BW14" s="7">
        <v>8.1772238866018886E-5</v>
      </c>
      <c r="BX14" s="7">
        <v>8.1983732728382883E-5</v>
      </c>
      <c r="BY14" s="7">
        <v>8.2195784794655147E-5</v>
      </c>
      <c r="BZ14" s="7">
        <v>8.240854022039316E-5</v>
      </c>
      <c r="CA14" s="7">
        <v>8.2621769860770545E-5</v>
      </c>
      <c r="CB14" s="7">
        <v>8.2835636290142024E-5</v>
      </c>
      <c r="CC14" s="7">
        <v>8.3049975000763771E-5</v>
      </c>
      <c r="CD14" s="7">
        <v>8.3264965361052375E-5</v>
      </c>
      <c r="CE14" s="7">
        <v>8.3480476330671094E-5</v>
      </c>
      <c r="CF14" s="7">
        <v>8.3696427440170748E-5</v>
      </c>
      <c r="CG14" s="7">
        <v>8.3912861801149424E-5</v>
      </c>
      <c r="CH14" s="7">
        <v>8.4129687508903073E-5</v>
      </c>
      <c r="CI14" s="7">
        <v>8.4347050159480082E-5</v>
      </c>
      <c r="CJ14" s="7">
        <v>8.4564999780692071E-5</v>
      </c>
      <c r="CK14" s="7">
        <v>8.4783852786025421E-5</v>
      </c>
      <c r="CL14" s="7">
        <v>8.5003601175681514E-5</v>
      </c>
      <c r="CM14" s="7">
        <v>8.5224739069646827E-5</v>
      </c>
    </row>
    <row r="16" spans="1:91" x14ac:dyDescent="0.25">
      <c r="A16" s="8" t="s">
        <v>5</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9">
        <v>2.6047124150016419E-5</v>
      </c>
      <c r="AG16" s="9">
        <v>2.5931820509822103E-5</v>
      </c>
      <c r="AH16" s="9">
        <v>2.5817027287951345E-5</v>
      </c>
      <c r="AI16" s="9">
        <v>2.5702742224918969E-5</v>
      </c>
      <c r="AJ16" s="9">
        <v>2.5588963071241946E-5</v>
      </c>
      <c r="AK16" s="9">
        <v>2.5475687587395098E-5</v>
      </c>
      <c r="AL16" s="9">
        <v>2.5362913543767027E-5</v>
      </c>
      <c r="AM16" s="9">
        <v>2.5250638720616227E-5</v>
      </c>
      <c r="AN16" s="9">
        <v>2.5138860908027395E-5</v>
      </c>
      <c r="AO16" s="9">
        <v>2.5027577905867931E-5</v>
      </c>
      <c r="AP16" s="9">
        <v>2.4916787523744632E-5</v>
      </c>
      <c r="AQ16" s="9">
        <v>2.4806487580960574E-5</v>
      </c>
      <c r="AR16" s="9">
        <v>2.4696675906472202E-5</v>
      </c>
      <c r="AS16" s="9">
        <v>2.4587350338846587E-5</v>
      </c>
      <c r="AT16" s="9">
        <v>2.4478508726218878E-5</v>
      </c>
      <c r="AU16" s="9">
        <v>2.4370148926249962E-5</v>
      </c>
      <c r="AV16" s="9">
        <v>2.4378852289661097E-5</v>
      </c>
      <c r="AW16" s="9">
        <v>2.438755876132302E-5</v>
      </c>
      <c r="AX16" s="9">
        <v>2.4396268342345792E-5</v>
      </c>
      <c r="AY16" s="9">
        <v>2.4404981033839863E-5</v>
      </c>
      <c r="AZ16" s="9">
        <v>2.4413696836916083E-5</v>
      </c>
      <c r="BA16" s="9">
        <v>2.4422415752685697E-5</v>
      </c>
      <c r="BB16" s="9">
        <v>2.443113778226035E-5</v>
      </c>
      <c r="BC16" s="9">
        <v>2.4439862926752079E-5</v>
      </c>
      <c r="BD16" s="9">
        <v>2.4448591187273323E-5</v>
      </c>
      <c r="BE16" s="9">
        <v>2.4457322564936916E-5</v>
      </c>
      <c r="BF16" s="9">
        <v>2.4466057060856087E-5</v>
      </c>
      <c r="BG16" s="9">
        <v>2.4474794676144469E-5</v>
      </c>
      <c r="BH16" s="9">
        <v>2.4483535411916089E-5</v>
      </c>
      <c r="BI16" s="9">
        <v>2.4492279269285369E-5</v>
      </c>
      <c r="BJ16" s="9">
        <v>2.4501026249367136E-5</v>
      </c>
      <c r="BK16" s="9">
        <v>2.4509776353276607E-5</v>
      </c>
      <c r="BL16" s="9">
        <v>2.4518529582129402E-5</v>
      </c>
      <c r="BM16" s="9">
        <v>2.4527285937041538E-5</v>
      </c>
      <c r="BN16" s="9">
        <v>2.4536045419129436E-5</v>
      </c>
      <c r="BO16" s="9">
        <v>2.4544808029509907E-5</v>
      </c>
      <c r="BP16" s="9">
        <v>2.4553573769300165E-5</v>
      </c>
      <c r="BQ16" s="9">
        <v>2.4562342639617823E-5</v>
      </c>
      <c r="BR16" s="9">
        <v>2.4571114641580892E-5</v>
      </c>
      <c r="BS16" s="9">
        <v>2.4579889776307785E-5</v>
      </c>
      <c r="BT16" s="9">
        <v>2.4588668044917313E-5</v>
      </c>
      <c r="BU16" s="9">
        <v>2.4597449448528686E-5</v>
      </c>
      <c r="BV16" s="9">
        <v>2.460623398826151E-5</v>
      </c>
      <c r="BW16" s="9">
        <v>2.4615021665235799E-5</v>
      </c>
      <c r="BX16" s="9">
        <v>2.4623812480571962E-5</v>
      </c>
      <c r="BY16" s="9">
        <v>2.463260643539081E-5</v>
      </c>
      <c r="BZ16" s="9">
        <v>2.4641403530813551E-5</v>
      </c>
      <c r="CA16" s="9">
        <v>2.4650203767961796E-5</v>
      </c>
      <c r="CB16" s="9">
        <v>2.4659007147957558E-5</v>
      </c>
      <c r="CC16" s="9">
        <v>2.4667813671923248E-5</v>
      </c>
      <c r="CD16" s="9">
        <v>2.4676623340981674E-5</v>
      </c>
      <c r="CE16" s="9">
        <v>2.4685436156256055E-5</v>
      </c>
      <c r="CF16" s="9">
        <v>2.4694252118870006E-5</v>
      </c>
      <c r="CG16" s="9">
        <v>2.4703071229947542E-5</v>
      </c>
      <c r="CH16" s="9">
        <v>2.4711893490613081E-5</v>
      </c>
      <c r="CI16" s="9">
        <v>2.4720718901991441E-5</v>
      </c>
      <c r="CJ16" s="9">
        <v>2.4729547465207841E-5</v>
      </c>
      <c r="CK16" s="9">
        <v>2.4738379181387907E-5</v>
      </c>
      <c r="CL16" s="9">
        <v>2.4747214051657664E-5</v>
      </c>
      <c r="CM16" s="9">
        <v>2.4756052077143536E-5</v>
      </c>
    </row>
    <row r="17" spans="1:91" x14ac:dyDescent="0.25">
      <c r="A17" s="8" t="s">
        <v>1</v>
      </c>
      <c r="B17" s="5">
        <v>0</v>
      </c>
      <c r="C17" s="5">
        <v>0</v>
      </c>
      <c r="D17" s="5">
        <v>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10">
        <v>2.0100000000000001E-4</v>
      </c>
      <c r="AG17" s="10">
        <v>2.0106666666666668E-4</v>
      </c>
      <c r="AH17" s="10">
        <v>2.0113333333333333E-4</v>
      </c>
      <c r="AI17" s="10">
        <v>2.0120000000000001E-4</v>
      </c>
      <c r="AJ17" s="10">
        <v>2.0126666666666666E-4</v>
      </c>
      <c r="AK17" s="10">
        <v>2.0133333333333334E-4</v>
      </c>
      <c r="AL17" s="10">
        <v>2.0140000000000002E-4</v>
      </c>
      <c r="AM17" s="10">
        <v>2.0146666666666667E-4</v>
      </c>
      <c r="AN17" s="10">
        <v>2.0153333333333334E-4</v>
      </c>
      <c r="AO17" s="10">
        <v>2.0159999999999999E-4</v>
      </c>
      <c r="AP17" s="10">
        <v>2.0166666666666667E-4</v>
      </c>
      <c r="AQ17" s="10">
        <v>2.0173333333333335E-4</v>
      </c>
      <c r="AR17" s="10">
        <v>2.018E-4</v>
      </c>
      <c r="AS17" s="10">
        <v>2.0186666666666668E-4</v>
      </c>
      <c r="AT17" s="10">
        <v>2.0193333333333333E-4</v>
      </c>
      <c r="AU17" s="10">
        <v>2.02E-4</v>
      </c>
      <c r="AV17" s="10">
        <v>2.0254166666666668E-4</v>
      </c>
      <c r="AW17" s="10">
        <v>2.0308333333333333E-4</v>
      </c>
      <c r="AX17" s="10">
        <v>2.03625E-4</v>
      </c>
      <c r="AY17" s="10">
        <v>2.0416666666666668E-4</v>
      </c>
      <c r="AZ17" s="10">
        <v>2.0470833333333333E-4</v>
      </c>
      <c r="BA17" s="10">
        <v>2.0525E-4</v>
      </c>
      <c r="BB17" s="10">
        <v>2.0579166666666668E-4</v>
      </c>
      <c r="BC17" s="10">
        <v>2.0633333333333333E-4</v>
      </c>
      <c r="BD17" s="10">
        <v>2.06875E-4</v>
      </c>
      <c r="BE17" s="10">
        <v>2.0741666666666668E-4</v>
      </c>
      <c r="BF17" s="10">
        <v>2.0795833333333332E-4</v>
      </c>
      <c r="BG17" s="10">
        <v>2.085E-4</v>
      </c>
      <c r="BH17" s="10">
        <v>2.0904166666666667E-4</v>
      </c>
      <c r="BI17" s="10">
        <v>2.0958333333333332E-4</v>
      </c>
      <c r="BJ17" s="10">
        <v>2.10125E-4</v>
      </c>
      <c r="BK17" s="10">
        <v>2.1066666666666667E-4</v>
      </c>
      <c r="BL17" s="10">
        <v>2.1120833333333332E-4</v>
      </c>
      <c r="BM17" s="10">
        <v>2.1175E-4</v>
      </c>
      <c r="BN17" s="10">
        <v>2.1229166666666667E-4</v>
      </c>
      <c r="BO17" s="10">
        <v>2.1283333333333332E-4</v>
      </c>
      <c r="BP17" s="10">
        <v>2.13375E-4</v>
      </c>
      <c r="BQ17" s="10">
        <v>2.1391666666666667E-4</v>
      </c>
      <c r="BR17" s="10">
        <v>2.1445833333333332E-4</v>
      </c>
      <c r="BS17" s="10">
        <v>2.1499999999999999E-4</v>
      </c>
      <c r="BT17" s="10">
        <v>2.1535E-4</v>
      </c>
      <c r="BU17" s="10">
        <v>2.1569999999999998E-4</v>
      </c>
      <c r="BV17" s="10">
        <v>2.1604999999999999E-4</v>
      </c>
      <c r="BW17" s="10">
        <v>2.164E-4</v>
      </c>
      <c r="BX17" s="10">
        <v>2.1674999999999998E-4</v>
      </c>
      <c r="BY17" s="10">
        <v>2.1709999999999999E-4</v>
      </c>
      <c r="BZ17" s="10">
        <v>2.1745E-4</v>
      </c>
      <c r="CA17" s="10">
        <v>2.1780000000000001E-4</v>
      </c>
      <c r="CB17" s="10">
        <v>2.1814999999999999E-4</v>
      </c>
      <c r="CC17" s="10">
        <v>2.185E-4</v>
      </c>
      <c r="CD17" s="10">
        <v>2.1885000000000001E-4</v>
      </c>
      <c r="CE17" s="10">
        <v>2.1919999999999999E-4</v>
      </c>
      <c r="CF17" s="10">
        <v>2.1955E-4</v>
      </c>
      <c r="CG17" s="10">
        <v>2.1990000000000001E-4</v>
      </c>
      <c r="CH17" s="10">
        <v>2.2025000000000001E-4</v>
      </c>
      <c r="CI17" s="10">
        <v>2.206E-4</v>
      </c>
      <c r="CJ17" s="10">
        <v>2.2095E-4</v>
      </c>
      <c r="CK17" s="10">
        <v>2.2130000000000001E-4</v>
      </c>
      <c r="CL17" s="10">
        <v>2.2164999999999999E-4</v>
      </c>
      <c r="CM17" s="10">
        <v>2.22E-4</v>
      </c>
    </row>
    <row r="18" spans="1:91" x14ac:dyDescent="0.25">
      <c r="A18" s="8" t="s">
        <v>2</v>
      </c>
      <c r="B18" s="5">
        <v>0</v>
      </c>
      <c r="C18" s="5">
        <v>0</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9">
        <v>3.1090007506599416E-5</v>
      </c>
      <c r="AG18" s="9">
        <v>3.1214866974497405E-5</v>
      </c>
      <c r="AH18" s="9">
        <v>3.1340227886041568E-5</v>
      </c>
      <c r="AI18" s="9">
        <v>3.1466092255061819E-5</v>
      </c>
      <c r="AJ18" s="9">
        <v>3.1592462103475722E-5</v>
      </c>
      <c r="AK18" s="9">
        <v>3.1719339461321004E-5</v>
      </c>
      <c r="AL18" s="9">
        <v>3.1846726366788155E-5</v>
      </c>
      <c r="AM18" s="9">
        <v>3.1974624866253171E-5</v>
      </c>
      <c r="AN18" s="9">
        <v>3.2103037014310414E-5</v>
      </c>
      <c r="AO18" s="9">
        <v>3.2231964873805633E-5</v>
      </c>
      <c r="AP18" s="9">
        <v>3.2361410515869112E-5</v>
      </c>
      <c r="AQ18" s="9">
        <v>3.2491376019948906E-5</v>
      </c>
      <c r="AR18" s="9">
        <v>3.2621863473844284E-5</v>
      </c>
      <c r="AS18" s="9">
        <v>3.2752874973739242E-5</v>
      </c>
      <c r="AT18" s="9">
        <v>3.288441262423619E-5</v>
      </c>
      <c r="AU18" s="9">
        <v>3.3016478538389752E-5</v>
      </c>
      <c r="AV18" s="9">
        <v>3.3049495016928139E-5</v>
      </c>
      <c r="AW18" s="9">
        <v>3.3082544511945068E-5</v>
      </c>
      <c r="AX18" s="9">
        <v>3.3115627056457015E-5</v>
      </c>
      <c r="AY18" s="9">
        <v>3.3148742683513472E-5</v>
      </c>
      <c r="AZ18" s="9">
        <v>3.3181891426196984E-5</v>
      </c>
      <c r="BA18" s="9">
        <v>3.3215073317623179E-5</v>
      </c>
      <c r="BB18" s="9">
        <v>3.3248288390940805E-5</v>
      </c>
      <c r="BC18" s="9">
        <v>3.3281536679331748E-5</v>
      </c>
      <c r="BD18" s="9">
        <v>3.3314818216011078E-5</v>
      </c>
      <c r="BE18" s="9">
        <v>3.3348133034227087E-5</v>
      </c>
      <c r="BF18" s="9">
        <v>3.3381481167261313E-5</v>
      </c>
      <c r="BG18" s="9">
        <v>3.3414862648428577E-5</v>
      </c>
      <c r="BH18" s="9">
        <v>3.3448277511077007E-5</v>
      </c>
      <c r="BI18" s="9">
        <v>3.3481725788588084E-5</v>
      </c>
      <c r="BJ18" s="9">
        <v>3.3515207514376674E-5</v>
      </c>
      <c r="BK18" s="9">
        <v>3.3548722721891052E-5</v>
      </c>
      <c r="BL18" s="9">
        <v>3.3582271444612947E-5</v>
      </c>
      <c r="BM18" s="9">
        <v>3.361585371605756E-5</v>
      </c>
      <c r="BN18" s="9">
        <v>3.3649469569773618E-5</v>
      </c>
      <c r="BO18" s="9">
        <v>3.3683119039343394E-5</v>
      </c>
      <c r="BP18" s="9">
        <v>3.3716802158382734E-5</v>
      </c>
      <c r="BQ18" s="9">
        <v>3.3750518960541119E-5</v>
      </c>
      <c r="BR18" s="9">
        <v>3.3784269479501661E-5</v>
      </c>
      <c r="BS18" s="9">
        <v>3.3818053748981164E-5</v>
      </c>
      <c r="BT18" s="9">
        <v>3.3851871802730143E-5</v>
      </c>
      <c r="BU18" s="9">
        <v>3.3885723674532874E-5</v>
      </c>
      <c r="BV18" s="9">
        <v>3.3919609398207405E-5</v>
      </c>
      <c r="BW18" s="9">
        <v>3.3953529007605609E-5</v>
      </c>
      <c r="BX18" s="9">
        <v>3.3987482536613218E-5</v>
      </c>
      <c r="BY18" s="9">
        <v>3.4021470019149833E-5</v>
      </c>
      <c r="BZ18" s="9">
        <v>3.4055491489168982E-5</v>
      </c>
      <c r="CA18" s="9">
        <v>3.4089546980658153E-5</v>
      </c>
      <c r="CB18" s="9">
        <v>3.412363652763881E-5</v>
      </c>
      <c r="CC18" s="9">
        <v>3.4157760164166448E-5</v>
      </c>
      <c r="CD18" s="9">
        <v>3.4191917924330613E-5</v>
      </c>
      <c r="CE18" s="9">
        <v>3.4226109842254942E-5</v>
      </c>
      <c r="CF18" s="9">
        <v>3.4260335952097197E-5</v>
      </c>
      <c r="CG18" s="9">
        <v>3.4294596288049293E-5</v>
      </c>
      <c r="CH18" s="9">
        <v>3.4328890884337344E-5</v>
      </c>
      <c r="CI18" s="9">
        <v>3.4363219775221679E-5</v>
      </c>
      <c r="CJ18" s="9">
        <v>3.4397582994996899E-5</v>
      </c>
      <c r="CK18" s="9">
        <v>3.4431980577991895E-5</v>
      </c>
      <c r="CL18" s="9">
        <v>3.4466412558569886E-5</v>
      </c>
      <c r="CM18" s="9">
        <v>3.4500878971128458E-5</v>
      </c>
    </row>
    <row r="19" spans="1:91" x14ac:dyDescent="0.25">
      <c r="A19" s="8" t="s">
        <v>2</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9">
        <v>1.9058062501626263E-5</v>
      </c>
      <c r="AG19" s="9">
        <v>1.9367949696774658E-5</v>
      </c>
      <c r="AH19" s="9">
        <v>1.9682875708104327E-5</v>
      </c>
      <c r="AI19" s="9">
        <v>2.0002922467585699E-5</v>
      </c>
      <c r="AJ19" s="9">
        <v>2.0328173239416362E-5</v>
      </c>
      <c r="AK19" s="9">
        <v>2.0658712641683296E-5</v>
      </c>
      <c r="AL19" s="9">
        <v>2.0994626668377332E-5</v>
      </c>
      <c r="AM19" s="9">
        <v>2.1336002711765583E-5</v>
      </c>
      <c r="AN19" s="9">
        <v>2.1682929585127624E-5</v>
      </c>
      <c r="AO19" s="9">
        <v>2.2035497545861405E-5</v>
      </c>
      <c r="AP19" s="9">
        <v>2.2393798318964842E-5</v>
      </c>
      <c r="AQ19" s="9">
        <v>2.2757925120899231E-5</v>
      </c>
      <c r="AR19" s="9">
        <v>2.3127972683840682E-5</v>
      </c>
      <c r="AS19" s="9">
        <v>2.3504037280325898E-5</v>
      </c>
      <c r="AT19" s="9">
        <v>2.3886216748298676E-5</v>
      </c>
      <c r="AU19" s="9">
        <v>2.4274610516563694E-5</v>
      </c>
      <c r="AV19" s="9">
        <v>2.4444532790179639E-5</v>
      </c>
      <c r="AW19" s="9">
        <v>2.4615644519710897E-5</v>
      </c>
      <c r="AX19" s="9">
        <v>2.4787954031348874E-5</v>
      </c>
      <c r="AY19" s="9">
        <v>2.4961469709568316E-5</v>
      </c>
      <c r="AZ19" s="9">
        <v>2.5136199997535295E-5</v>
      </c>
      <c r="BA19" s="9">
        <v>2.5312153397518044E-5</v>
      </c>
      <c r="BB19" s="9">
        <v>2.5489338471300669E-5</v>
      </c>
      <c r="BC19" s="9">
        <v>2.5667763840599773E-5</v>
      </c>
      <c r="BD19" s="9">
        <v>2.5847438187483973E-5</v>
      </c>
      <c r="BE19" s="9">
        <v>2.6028370254796361E-5</v>
      </c>
      <c r="BF19" s="9">
        <v>2.6210568846579936E-5</v>
      </c>
      <c r="BG19" s="9">
        <v>2.6394042828505995E-5</v>
      </c>
      <c r="BH19" s="9">
        <v>2.6578801128305539E-5</v>
      </c>
      <c r="BI19" s="9">
        <v>2.6764852736203677E-5</v>
      </c>
      <c r="BJ19" s="9">
        <v>2.6952206705357104E-5</v>
      </c>
      <c r="BK19" s="9">
        <v>2.7140872152294603E-5</v>
      </c>
      <c r="BL19" s="9">
        <v>2.7330858257360666E-5</v>
      </c>
      <c r="BM19" s="9">
        <v>2.7522174265162191E-5</v>
      </c>
      <c r="BN19" s="9">
        <v>2.7714829485018327E-5</v>
      </c>
      <c r="BO19" s="9">
        <v>2.7908833291413456E-5</v>
      </c>
      <c r="BP19" s="9">
        <v>2.8104195124453349E-5</v>
      </c>
      <c r="BQ19" s="9">
        <v>2.8300924490324521E-5</v>
      </c>
      <c r="BR19" s="9">
        <v>2.8499030961756792E-5</v>
      </c>
      <c r="BS19" s="9">
        <v>2.8698524178489089E-5</v>
      </c>
      <c r="BT19" s="9">
        <v>2.8899413847738511E-5</v>
      </c>
      <c r="BU19" s="9">
        <v>2.9101709744672679E-5</v>
      </c>
      <c r="BV19" s="9">
        <v>2.9305421712885388E-5</v>
      </c>
      <c r="BW19" s="9">
        <v>2.9510559664875587E-5</v>
      </c>
      <c r="BX19" s="9">
        <v>2.9717133582529715E-5</v>
      </c>
      <c r="BY19" s="9">
        <v>2.9925153517607422E-5</v>
      </c>
      <c r="BZ19" s="9">
        <v>3.0134629592230675E-5</v>
      </c>
      <c r="CA19" s="9">
        <v>3.0345571999376289E-5</v>
      </c>
      <c r="CB19" s="9">
        <v>3.0557991003371919E-5</v>
      </c>
      <c r="CC19" s="9">
        <v>3.0771896940395526E-5</v>
      </c>
      <c r="CD19" s="9">
        <v>3.0987300218978292E-5</v>
      </c>
      <c r="CE19" s="9">
        <v>3.120421132051114E-5</v>
      </c>
      <c r="CF19" s="9">
        <v>3.1422640799754715E-5</v>
      </c>
      <c r="CG19" s="9">
        <v>3.1642599285352998E-5</v>
      </c>
      <c r="CH19" s="9">
        <v>3.1864097480350471E-5</v>
      </c>
      <c r="CI19" s="9">
        <v>3.2087146162712921E-5</v>
      </c>
      <c r="CJ19" s="9">
        <v>3.2311756185851908E-5</v>
      </c>
      <c r="CK19" s="9">
        <v>3.2537938479152873E-5</v>
      </c>
      <c r="CL19" s="9">
        <v>3.2765704048506942E-5</v>
      </c>
      <c r="CM19" s="9">
        <v>3.299506397684649E-5</v>
      </c>
    </row>
    <row r="21" spans="1:91" x14ac:dyDescent="0.25">
      <c r="A21" s="8" t="s">
        <v>6</v>
      </c>
      <c r="B21" s="5">
        <v>0</v>
      </c>
      <c r="C21" s="5">
        <v>0</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9">
        <v>3.7310549777117386E-5</v>
      </c>
      <c r="AG21" s="10">
        <v>3.7387320455671127E-5</v>
      </c>
      <c r="AH21" s="10">
        <v>3.7464091134224867E-5</v>
      </c>
      <c r="AI21" s="10">
        <v>3.7540861812778601E-5</v>
      </c>
      <c r="AJ21" s="10">
        <v>3.7617632491332342E-5</v>
      </c>
      <c r="AK21" s="10">
        <v>3.7694403169886082E-5</v>
      </c>
      <c r="AL21" s="10">
        <v>3.7771173848439823E-5</v>
      </c>
      <c r="AM21" s="10">
        <v>3.7847944526993563E-5</v>
      </c>
      <c r="AN21" s="10">
        <v>3.7924715205547297E-5</v>
      </c>
      <c r="AO21" s="10">
        <v>3.8001485884101038E-5</v>
      </c>
      <c r="AP21" s="10">
        <v>3.8078256562654778E-5</v>
      </c>
      <c r="AQ21" s="10">
        <v>3.8155027241208519E-5</v>
      </c>
      <c r="AR21" s="10">
        <v>3.823179791976226E-5</v>
      </c>
      <c r="AS21" s="10">
        <v>3.8308568598315993E-5</v>
      </c>
      <c r="AT21" s="10">
        <v>3.8385339276869734E-5</v>
      </c>
      <c r="AU21" s="9">
        <v>3.8462109955423475E-5</v>
      </c>
      <c r="AV21" s="10">
        <v>3.8690126860987058E-5</v>
      </c>
      <c r="AW21" s="10">
        <v>3.8918143766550648E-5</v>
      </c>
      <c r="AX21" s="10">
        <v>3.9146160672114232E-5</v>
      </c>
      <c r="AY21" s="10">
        <v>3.9374177577677815E-5</v>
      </c>
      <c r="AZ21" s="10">
        <v>3.9602194483241399E-5</v>
      </c>
      <c r="BA21" s="10">
        <v>3.9830211388804982E-5</v>
      </c>
      <c r="BB21" s="10">
        <v>4.0058228294368573E-5</v>
      </c>
      <c r="BC21" s="10">
        <v>4.0286245199932156E-5</v>
      </c>
      <c r="BD21" s="10">
        <v>4.051426210549574E-5</v>
      </c>
      <c r="BE21" s="10">
        <v>4.074227901105933E-5</v>
      </c>
      <c r="BF21" s="10">
        <v>4.0970295916622914E-5</v>
      </c>
      <c r="BG21" s="10">
        <v>4.1198312822186497E-5</v>
      </c>
      <c r="BH21" s="10">
        <v>4.1426329727750081E-5</v>
      </c>
      <c r="BI21" s="10">
        <v>4.1654346633313664E-5</v>
      </c>
      <c r="BJ21" s="10">
        <v>4.1882363538877255E-5</v>
      </c>
      <c r="BK21" s="10">
        <v>4.2110380444440838E-5</v>
      </c>
      <c r="BL21" s="10">
        <v>4.2338397350004422E-5</v>
      </c>
      <c r="BM21" s="10">
        <v>4.2566414255568012E-5</v>
      </c>
      <c r="BN21" s="10">
        <v>4.2794431161131595E-5</v>
      </c>
      <c r="BO21" s="10">
        <v>4.3022448066695179E-5</v>
      </c>
      <c r="BP21" s="10">
        <v>4.3250464972258763E-5</v>
      </c>
      <c r="BQ21" s="10">
        <v>4.3478481877822346E-5</v>
      </c>
      <c r="BR21" s="10">
        <v>4.3706498783385936E-5</v>
      </c>
      <c r="BS21" s="9">
        <v>4.393451568894952E-5</v>
      </c>
      <c r="BT21" s="10">
        <v>4.393451568894952E-5</v>
      </c>
      <c r="BU21" s="10">
        <v>4.393451568894952E-5</v>
      </c>
      <c r="BV21" s="10">
        <v>4.393451568894952E-5</v>
      </c>
      <c r="BW21" s="10">
        <v>4.393451568894952E-5</v>
      </c>
      <c r="BX21" s="10">
        <v>4.393451568894952E-5</v>
      </c>
      <c r="BY21" s="10">
        <v>4.393451568894952E-5</v>
      </c>
      <c r="BZ21" s="10">
        <v>4.393451568894952E-5</v>
      </c>
      <c r="CA21" s="10">
        <v>4.393451568894952E-5</v>
      </c>
      <c r="CB21" s="10">
        <v>4.393451568894952E-5</v>
      </c>
      <c r="CC21" s="10">
        <v>4.393451568894952E-5</v>
      </c>
      <c r="CD21" s="10">
        <v>4.393451568894952E-5</v>
      </c>
      <c r="CE21" s="10">
        <v>4.393451568894952E-5</v>
      </c>
      <c r="CF21" s="10">
        <v>4.393451568894952E-5</v>
      </c>
      <c r="CG21" s="10">
        <v>4.393451568894952E-5</v>
      </c>
      <c r="CH21" s="10">
        <v>4.393451568894952E-5</v>
      </c>
      <c r="CI21" s="10">
        <v>4.393451568894952E-5</v>
      </c>
      <c r="CJ21" s="10">
        <v>4.393451568894952E-5</v>
      </c>
      <c r="CK21" s="10">
        <v>4.393451568894952E-5</v>
      </c>
      <c r="CL21" s="10">
        <v>4.393451568894952E-5</v>
      </c>
      <c r="CM21" s="9">
        <v>4.393451568894952E-5</v>
      </c>
    </row>
    <row r="22" spans="1:91" x14ac:dyDescent="0.25">
      <c r="A22" s="8" t="s">
        <v>1</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9">
        <v>5.3438335809806834E-5</v>
      </c>
      <c r="AG22" s="10">
        <v>5.3548291233283803E-5</v>
      </c>
      <c r="AH22" s="10">
        <v>5.3658246656760772E-5</v>
      </c>
      <c r="AI22" s="10">
        <v>5.3768202080237741E-5</v>
      </c>
      <c r="AJ22" s="10">
        <v>5.3878157503714709E-5</v>
      </c>
      <c r="AK22" s="10">
        <v>5.3988112927191678E-5</v>
      </c>
      <c r="AL22" s="10">
        <v>5.4098068350668647E-5</v>
      </c>
      <c r="AM22" s="10">
        <v>5.4208023774145616E-5</v>
      </c>
      <c r="AN22" s="10">
        <v>5.4317979197622585E-5</v>
      </c>
      <c r="AO22" s="10">
        <v>5.4427934621099554E-5</v>
      </c>
      <c r="AP22" s="10">
        <v>5.4537890044576523E-5</v>
      </c>
      <c r="AQ22" s="10">
        <v>5.4647845468053492E-5</v>
      </c>
      <c r="AR22" s="10">
        <v>5.4757800891530461E-5</v>
      </c>
      <c r="AS22" s="10">
        <v>5.4867756315007429E-5</v>
      </c>
      <c r="AT22" s="10">
        <v>5.4977711738484398E-5</v>
      </c>
      <c r="AU22" s="9">
        <v>5.5087667161961367E-5</v>
      </c>
      <c r="AV22" s="10">
        <v>5.4915471844219341E-5</v>
      </c>
      <c r="AW22" s="10">
        <v>5.4743276526477322E-5</v>
      </c>
      <c r="AX22" s="10">
        <v>5.4571081208735296E-5</v>
      </c>
      <c r="AY22" s="10">
        <v>5.439888589099327E-5</v>
      </c>
      <c r="AZ22" s="10">
        <v>5.4226690573251244E-5</v>
      </c>
      <c r="BA22" s="10">
        <v>5.4054495255509225E-5</v>
      </c>
      <c r="BB22" s="10">
        <v>5.3882299937767199E-5</v>
      </c>
      <c r="BC22" s="10">
        <v>5.3710104620025173E-5</v>
      </c>
      <c r="BD22" s="10">
        <v>5.3537909302283154E-5</v>
      </c>
      <c r="BE22" s="10">
        <v>5.3365713984541128E-5</v>
      </c>
      <c r="BF22" s="10">
        <v>5.3193518666799102E-5</v>
      </c>
      <c r="BG22" s="10">
        <v>5.3021323349057076E-5</v>
      </c>
      <c r="BH22" s="10">
        <v>5.2849128031315057E-5</v>
      </c>
      <c r="BI22" s="10">
        <v>5.2676932713573031E-5</v>
      </c>
      <c r="BJ22" s="10">
        <v>5.2504737395831005E-5</v>
      </c>
      <c r="BK22" s="10">
        <v>5.2332542078088986E-5</v>
      </c>
      <c r="BL22" s="10">
        <v>5.216034676034696E-5</v>
      </c>
      <c r="BM22" s="10">
        <v>5.1988151442604934E-5</v>
      </c>
      <c r="BN22" s="10">
        <v>5.1815956124862915E-5</v>
      </c>
      <c r="BO22" s="10">
        <v>5.1643760807120889E-5</v>
      </c>
      <c r="BP22" s="10">
        <v>5.1471565489378863E-5</v>
      </c>
      <c r="BQ22" s="10">
        <v>5.1299370171636837E-5</v>
      </c>
      <c r="BR22" s="10">
        <v>5.1127174853894818E-5</v>
      </c>
      <c r="BS22" s="9">
        <v>5.0954979536152792E-5</v>
      </c>
      <c r="BT22" s="10">
        <v>5.0954979536152792E-5</v>
      </c>
      <c r="BU22" s="10">
        <v>5.0954979536152792E-5</v>
      </c>
      <c r="BV22" s="10">
        <v>5.0954979536152792E-5</v>
      </c>
      <c r="BW22" s="10">
        <v>5.0954979536152792E-5</v>
      </c>
      <c r="BX22" s="10">
        <v>5.0954979536152792E-5</v>
      </c>
      <c r="BY22" s="10">
        <v>5.0954979536152792E-5</v>
      </c>
      <c r="BZ22" s="10">
        <v>5.0954979536152792E-5</v>
      </c>
      <c r="CA22" s="10">
        <v>5.0954979536152792E-5</v>
      </c>
      <c r="CB22" s="10">
        <v>5.0954979536152792E-5</v>
      </c>
      <c r="CC22" s="10">
        <v>5.0954979536152792E-5</v>
      </c>
      <c r="CD22" s="10">
        <v>5.0954979536152792E-5</v>
      </c>
      <c r="CE22" s="10">
        <v>5.0954979536152792E-5</v>
      </c>
      <c r="CF22" s="10">
        <v>5.0954979536152792E-5</v>
      </c>
      <c r="CG22" s="10">
        <v>5.0954979536152792E-5</v>
      </c>
      <c r="CH22" s="10">
        <v>5.0954979536152792E-5</v>
      </c>
      <c r="CI22" s="10">
        <v>5.0954979536152792E-5</v>
      </c>
      <c r="CJ22" s="10">
        <v>5.0954979536152792E-5</v>
      </c>
      <c r="CK22" s="10">
        <v>5.0954979536152792E-5</v>
      </c>
      <c r="CL22" s="10">
        <v>5.0954979536152792E-5</v>
      </c>
      <c r="CM22" s="9">
        <v>5.0954979536152792E-5</v>
      </c>
    </row>
    <row r="23" spans="1:91" x14ac:dyDescent="0.25">
      <c r="A23" s="8" t="s">
        <v>1</v>
      </c>
      <c r="B23" s="5">
        <v>0</v>
      </c>
      <c r="C23" s="5">
        <v>0</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9">
        <v>3.8032689450222883E-5</v>
      </c>
      <c r="AG23" s="10">
        <v>3.8110946012877659E-5</v>
      </c>
      <c r="AH23" s="10">
        <v>3.8189202575532442E-5</v>
      </c>
      <c r="AI23" s="10">
        <v>3.8267459138187219E-5</v>
      </c>
      <c r="AJ23" s="10">
        <v>3.8345715700842002E-5</v>
      </c>
      <c r="AK23" s="10">
        <v>3.8423972263496778E-5</v>
      </c>
      <c r="AL23" s="10">
        <v>3.8502228826151561E-5</v>
      </c>
      <c r="AM23" s="10">
        <v>3.8580485388806337E-5</v>
      </c>
      <c r="AN23" s="10">
        <v>3.865874195146112E-5</v>
      </c>
      <c r="AO23" s="10">
        <v>3.8736998514115897E-5</v>
      </c>
      <c r="AP23" s="10">
        <v>3.881525507677068E-5</v>
      </c>
      <c r="AQ23" s="10">
        <v>3.8893511639425456E-5</v>
      </c>
      <c r="AR23" s="10">
        <v>3.8971768202080239E-5</v>
      </c>
      <c r="AS23" s="10">
        <v>3.9050024764735016E-5</v>
      </c>
      <c r="AT23" s="10">
        <v>3.9128281327389799E-5</v>
      </c>
      <c r="AU23" s="9">
        <v>3.9206537890044575E-5</v>
      </c>
      <c r="AV23" s="10">
        <v>3.9035528779460066E-5</v>
      </c>
      <c r="AW23" s="10">
        <v>3.8864519668875558E-5</v>
      </c>
      <c r="AX23" s="10">
        <v>3.8693510558291049E-5</v>
      </c>
      <c r="AY23" s="10">
        <v>3.8522501447706541E-5</v>
      </c>
      <c r="AZ23" s="10">
        <v>3.8351492337122032E-5</v>
      </c>
      <c r="BA23" s="10">
        <v>3.8180483226537523E-5</v>
      </c>
      <c r="BB23" s="10">
        <v>3.8009474115953015E-5</v>
      </c>
      <c r="BC23" s="10">
        <v>3.7838465005368506E-5</v>
      </c>
      <c r="BD23" s="10">
        <v>3.7667455894783998E-5</v>
      </c>
      <c r="BE23" s="10">
        <v>3.7496446784199489E-5</v>
      </c>
      <c r="BF23" s="10">
        <v>3.7325437673614981E-5</v>
      </c>
      <c r="BG23" s="10">
        <v>3.7154428563030472E-5</v>
      </c>
      <c r="BH23" s="10">
        <v>3.6983419452445963E-5</v>
      </c>
      <c r="BI23" s="10">
        <v>3.6812410341861455E-5</v>
      </c>
      <c r="BJ23" s="10">
        <v>3.6641401231276946E-5</v>
      </c>
      <c r="BK23" s="10">
        <v>3.6470392120692438E-5</v>
      </c>
      <c r="BL23" s="10">
        <v>3.6299383010107929E-5</v>
      </c>
      <c r="BM23" s="10">
        <v>3.612837389952342E-5</v>
      </c>
      <c r="BN23" s="10">
        <v>3.5957364788938912E-5</v>
      </c>
      <c r="BO23" s="10">
        <v>3.5786355678354403E-5</v>
      </c>
      <c r="BP23" s="10">
        <v>3.5615346567769895E-5</v>
      </c>
      <c r="BQ23" s="10">
        <v>3.5444337457185386E-5</v>
      </c>
      <c r="BR23" s="10">
        <v>3.5273328346600878E-5</v>
      </c>
      <c r="BS23" s="9">
        <v>3.5102319236016369E-5</v>
      </c>
      <c r="BT23" s="10">
        <v>3.5102319236016369E-5</v>
      </c>
      <c r="BU23" s="10">
        <v>3.5102319236016369E-5</v>
      </c>
      <c r="BV23" s="10">
        <v>3.5102319236016369E-5</v>
      </c>
      <c r="BW23" s="10">
        <v>3.5102319236016369E-5</v>
      </c>
      <c r="BX23" s="10">
        <v>3.5102319236016369E-5</v>
      </c>
      <c r="BY23" s="10">
        <v>3.5102319236016369E-5</v>
      </c>
      <c r="BZ23" s="10">
        <v>3.5102319236016369E-5</v>
      </c>
      <c r="CA23" s="10">
        <v>3.5102319236016369E-5</v>
      </c>
      <c r="CB23" s="10">
        <v>3.5102319236016369E-5</v>
      </c>
      <c r="CC23" s="10">
        <v>3.5102319236016369E-5</v>
      </c>
      <c r="CD23" s="10">
        <v>3.5102319236016369E-5</v>
      </c>
      <c r="CE23" s="10">
        <v>3.5102319236016369E-5</v>
      </c>
      <c r="CF23" s="10">
        <v>3.5102319236016369E-5</v>
      </c>
      <c r="CG23" s="10">
        <v>3.5102319236016369E-5</v>
      </c>
      <c r="CH23" s="10">
        <v>3.5102319236016369E-5</v>
      </c>
      <c r="CI23" s="10">
        <v>3.5102319236016369E-5</v>
      </c>
      <c r="CJ23" s="10">
        <v>3.5102319236016369E-5</v>
      </c>
      <c r="CK23" s="10">
        <v>3.5102319236016369E-5</v>
      </c>
      <c r="CL23" s="10">
        <v>3.5102319236016369E-5</v>
      </c>
      <c r="CM23" s="9">
        <v>3.5102319236016369E-5</v>
      </c>
    </row>
    <row r="24" spans="1:91" x14ac:dyDescent="0.25">
      <c r="A24" s="8" t="s">
        <v>1</v>
      </c>
      <c r="B24" s="5">
        <v>0</v>
      </c>
      <c r="C24" s="5">
        <v>0</v>
      </c>
      <c r="D24" s="5">
        <v>0</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9">
        <v>3.3218424962852898E-5</v>
      </c>
      <c r="AG24" s="10">
        <v>3.3286775631500744E-5</v>
      </c>
      <c r="AH24" s="10">
        <v>3.3355126300148591E-5</v>
      </c>
      <c r="AI24" s="10">
        <v>3.3423476968796431E-5</v>
      </c>
      <c r="AJ24" s="10">
        <v>3.3491827637444278E-5</v>
      </c>
      <c r="AK24" s="10">
        <v>3.3560178306092124E-5</v>
      </c>
      <c r="AL24" s="10">
        <v>3.3628528974739971E-5</v>
      </c>
      <c r="AM24" s="10">
        <v>3.3696879643387817E-5</v>
      </c>
      <c r="AN24" s="10">
        <v>3.3765230312035657E-5</v>
      </c>
      <c r="AO24" s="10">
        <v>3.3833580980683504E-5</v>
      </c>
      <c r="AP24" s="10">
        <v>3.3901931649331351E-5</v>
      </c>
      <c r="AQ24" s="10">
        <v>3.3970282317979197E-5</v>
      </c>
      <c r="AR24" s="10">
        <v>3.4038632986627044E-5</v>
      </c>
      <c r="AS24" s="10">
        <v>3.4106983655274884E-5</v>
      </c>
      <c r="AT24" s="10">
        <v>3.417533432392273E-5</v>
      </c>
      <c r="AU24" s="9">
        <v>3.4243684992570577E-5</v>
      </c>
      <c r="AV24" s="10">
        <v>3.4317205848666858E-5</v>
      </c>
      <c r="AW24" s="10">
        <v>3.4390726704763139E-5</v>
      </c>
      <c r="AX24" s="10">
        <v>3.446424756085942E-5</v>
      </c>
      <c r="AY24" s="10">
        <v>3.4537768416955701E-5</v>
      </c>
      <c r="AZ24" s="10">
        <v>3.4611289273051982E-5</v>
      </c>
      <c r="BA24" s="10">
        <v>3.4684810129148263E-5</v>
      </c>
      <c r="BB24" s="10">
        <v>3.4758330985244537E-5</v>
      </c>
      <c r="BC24" s="10">
        <v>3.4831851841340818E-5</v>
      </c>
      <c r="BD24" s="10">
        <v>3.4905372697437099E-5</v>
      </c>
      <c r="BE24" s="10">
        <v>3.497889355353338E-5</v>
      </c>
      <c r="BF24" s="10">
        <v>3.5052414409629662E-5</v>
      </c>
      <c r="BG24" s="10">
        <v>3.5125935265725943E-5</v>
      </c>
      <c r="BH24" s="10">
        <v>3.5199456121822224E-5</v>
      </c>
      <c r="BI24" s="10">
        <v>3.5272976977918505E-5</v>
      </c>
      <c r="BJ24" s="10">
        <v>3.5346497834014786E-5</v>
      </c>
      <c r="BK24" s="10">
        <v>3.5420018690111067E-5</v>
      </c>
      <c r="BL24" s="10">
        <v>3.5493539546207348E-5</v>
      </c>
      <c r="BM24" s="10">
        <v>3.5567060402303622E-5</v>
      </c>
      <c r="BN24" s="10">
        <v>3.5640581258399903E-5</v>
      </c>
      <c r="BO24" s="10">
        <v>3.5714102114496184E-5</v>
      </c>
      <c r="BP24" s="10">
        <v>3.5787622970592465E-5</v>
      </c>
      <c r="BQ24" s="10">
        <v>3.5861143826688746E-5</v>
      </c>
      <c r="BR24" s="10">
        <v>3.5934664682785027E-5</v>
      </c>
      <c r="BS24" s="9">
        <v>3.6008185538881308E-5</v>
      </c>
      <c r="BT24" s="10">
        <v>3.6008185538881308E-5</v>
      </c>
      <c r="BU24" s="10">
        <v>3.6008185538881308E-5</v>
      </c>
      <c r="BV24" s="10">
        <v>3.6008185538881308E-5</v>
      </c>
      <c r="BW24" s="10">
        <v>3.6008185538881308E-5</v>
      </c>
      <c r="BX24" s="10">
        <v>3.6008185538881308E-5</v>
      </c>
      <c r="BY24" s="10">
        <v>3.6008185538881308E-5</v>
      </c>
      <c r="BZ24" s="10">
        <v>3.6008185538881308E-5</v>
      </c>
      <c r="CA24" s="10">
        <v>3.6008185538881308E-5</v>
      </c>
      <c r="CB24" s="10">
        <v>3.6008185538881308E-5</v>
      </c>
      <c r="CC24" s="10">
        <v>3.6008185538881308E-5</v>
      </c>
      <c r="CD24" s="10">
        <v>3.6008185538881308E-5</v>
      </c>
      <c r="CE24" s="10">
        <v>3.6008185538881308E-5</v>
      </c>
      <c r="CF24" s="10">
        <v>3.6008185538881308E-5</v>
      </c>
      <c r="CG24" s="10">
        <v>3.6008185538881308E-5</v>
      </c>
      <c r="CH24" s="10">
        <v>3.6008185538881308E-5</v>
      </c>
      <c r="CI24" s="10">
        <v>3.6008185538881308E-5</v>
      </c>
      <c r="CJ24" s="10">
        <v>3.6008185538881308E-5</v>
      </c>
      <c r="CK24" s="10">
        <v>3.6008185538881308E-5</v>
      </c>
      <c r="CL24" s="10">
        <v>3.6008185538881308E-5</v>
      </c>
      <c r="CM24" s="9">
        <v>3.6008185538881308E-5</v>
      </c>
    </row>
    <row r="25" spans="1:91" x14ac:dyDescent="0.25">
      <c r="A25" s="8" t="s">
        <v>1</v>
      </c>
      <c r="B25" s="5">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9">
        <v>1.5999999999999999E-5</v>
      </c>
      <c r="AG25" s="10">
        <v>1.6200000000000001E-5</v>
      </c>
      <c r="AH25" s="10">
        <v>1.6399999999999999E-5</v>
      </c>
      <c r="AI25" s="10">
        <v>1.66E-5</v>
      </c>
      <c r="AJ25" s="10">
        <v>1.6799999999999998E-5</v>
      </c>
      <c r="AK25" s="10">
        <v>1.7E-5</v>
      </c>
      <c r="AL25" s="10">
        <v>1.7200000000000001E-5</v>
      </c>
      <c r="AM25" s="10">
        <v>1.7399999999999999E-5</v>
      </c>
      <c r="AN25" s="10">
        <v>1.7600000000000001E-5</v>
      </c>
      <c r="AO25" s="10">
        <v>1.7799999999999999E-5</v>
      </c>
      <c r="AP25" s="10">
        <v>1.8E-5</v>
      </c>
      <c r="AQ25" s="10">
        <v>1.8200000000000002E-5</v>
      </c>
      <c r="AR25" s="10">
        <v>1.84E-5</v>
      </c>
      <c r="AS25" s="10">
        <v>1.8600000000000001E-5</v>
      </c>
      <c r="AT25" s="10">
        <v>1.88E-5</v>
      </c>
      <c r="AU25" s="9">
        <v>1.9000000000000001E-5</v>
      </c>
      <c r="AV25" s="10">
        <v>1.9041666666666668E-5</v>
      </c>
      <c r="AW25" s="10">
        <v>1.9083333333333334E-5</v>
      </c>
      <c r="AX25" s="10">
        <v>1.9125000000000001E-5</v>
      </c>
      <c r="AY25" s="10">
        <v>1.9166666666666667E-5</v>
      </c>
      <c r="AZ25" s="10">
        <v>1.9208333333333334E-5</v>
      </c>
      <c r="BA25" s="10">
        <v>1.925E-5</v>
      </c>
      <c r="BB25" s="10">
        <v>1.9291666666666667E-5</v>
      </c>
      <c r="BC25" s="10">
        <v>1.9333333333333333E-5</v>
      </c>
      <c r="BD25" s="10">
        <v>1.9375E-5</v>
      </c>
      <c r="BE25" s="10">
        <v>1.9416666666666667E-5</v>
      </c>
      <c r="BF25" s="10">
        <v>1.9458333333333333E-5</v>
      </c>
      <c r="BG25" s="10">
        <v>1.95E-5</v>
      </c>
      <c r="BH25" s="10">
        <v>1.954166666666667E-5</v>
      </c>
      <c r="BI25" s="10">
        <v>1.9583333333333336E-5</v>
      </c>
      <c r="BJ25" s="10">
        <v>1.9625000000000003E-5</v>
      </c>
      <c r="BK25" s="10">
        <v>1.9666666666666669E-5</v>
      </c>
      <c r="BL25" s="10">
        <v>1.9708333333333336E-5</v>
      </c>
      <c r="BM25" s="10">
        <v>1.9750000000000002E-5</v>
      </c>
      <c r="BN25" s="10">
        <v>1.9791666666666669E-5</v>
      </c>
      <c r="BO25" s="10">
        <v>1.9833333333333335E-5</v>
      </c>
      <c r="BP25" s="10">
        <v>1.9875000000000002E-5</v>
      </c>
      <c r="BQ25" s="10">
        <v>1.9916666666666669E-5</v>
      </c>
      <c r="BR25" s="10">
        <v>1.9958333333333335E-5</v>
      </c>
      <c r="BS25" s="9">
        <v>2.0000000000000002E-5</v>
      </c>
      <c r="BT25" s="10">
        <v>2.0050000000000003E-5</v>
      </c>
      <c r="BU25" s="10">
        <v>2.0100000000000001E-5</v>
      </c>
      <c r="BV25" s="10">
        <v>2.0150000000000002E-5</v>
      </c>
      <c r="BW25" s="10">
        <v>2.02E-5</v>
      </c>
      <c r="BX25" s="10">
        <v>2.0250000000000001E-5</v>
      </c>
      <c r="BY25" s="10">
        <v>2.0300000000000002E-5</v>
      </c>
      <c r="BZ25" s="10">
        <v>2.035E-5</v>
      </c>
      <c r="CA25" s="10">
        <v>2.0400000000000001E-5</v>
      </c>
      <c r="CB25" s="10">
        <v>2.0449999999999999E-5</v>
      </c>
      <c r="CC25" s="10">
        <v>2.05E-5</v>
      </c>
      <c r="CD25" s="10">
        <v>2.0550000000000001E-5</v>
      </c>
      <c r="CE25" s="10">
        <v>2.0599999999999999E-5</v>
      </c>
      <c r="CF25" s="10">
        <v>2.065E-5</v>
      </c>
      <c r="CG25" s="10">
        <v>2.0699999999999998E-5</v>
      </c>
      <c r="CH25" s="10">
        <v>2.075E-5</v>
      </c>
      <c r="CI25" s="10">
        <v>2.0800000000000001E-5</v>
      </c>
      <c r="CJ25" s="10">
        <v>2.0849999999999999E-5</v>
      </c>
      <c r="CK25" s="10">
        <v>2.09E-5</v>
      </c>
      <c r="CL25" s="10">
        <v>2.0949999999999998E-5</v>
      </c>
      <c r="CM25" s="9">
        <v>2.0999999999999999E-5</v>
      </c>
    </row>
    <row r="26" spans="1:91" x14ac:dyDescent="0.25">
      <c r="A26" s="8" t="s">
        <v>1</v>
      </c>
      <c r="B26" s="5">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9">
        <v>3.6000000000000001E-5</v>
      </c>
      <c r="AG26" s="10">
        <v>3.5866666666666667E-5</v>
      </c>
      <c r="AH26" s="10">
        <v>3.5733333333333332E-5</v>
      </c>
      <c r="AI26" s="10">
        <v>3.5599999999999998E-5</v>
      </c>
      <c r="AJ26" s="10">
        <v>3.546666666666667E-5</v>
      </c>
      <c r="AK26" s="10">
        <v>3.5333333333333336E-5</v>
      </c>
      <c r="AL26" s="10">
        <v>3.5200000000000002E-5</v>
      </c>
      <c r="AM26" s="10">
        <v>3.5066666666666667E-5</v>
      </c>
      <c r="AN26" s="10">
        <v>3.4933333333333333E-5</v>
      </c>
      <c r="AO26" s="10">
        <v>3.4799999999999999E-5</v>
      </c>
      <c r="AP26" s="10">
        <v>3.4666666666666665E-5</v>
      </c>
      <c r="AQ26" s="10">
        <v>3.453333333333333E-5</v>
      </c>
      <c r="AR26" s="10">
        <v>3.4400000000000003E-5</v>
      </c>
      <c r="AS26" s="10">
        <v>3.4266666666666668E-5</v>
      </c>
      <c r="AT26" s="10">
        <v>3.4133333333333334E-5</v>
      </c>
      <c r="AU26" s="9">
        <v>3.4E-5</v>
      </c>
      <c r="AV26" s="10">
        <v>3.3958333333333337E-5</v>
      </c>
      <c r="AW26" s="10">
        <v>3.3916666666666667E-5</v>
      </c>
      <c r="AX26" s="10">
        <v>3.3874999999999997E-5</v>
      </c>
      <c r="AY26" s="10">
        <v>3.3833333333333334E-5</v>
      </c>
      <c r="AZ26" s="10">
        <v>3.379166666666667E-5</v>
      </c>
      <c r="BA26" s="10">
        <v>3.375E-5</v>
      </c>
      <c r="BB26" s="10">
        <v>3.370833333333333E-5</v>
      </c>
      <c r="BC26" s="10">
        <v>3.3666666666666667E-5</v>
      </c>
      <c r="BD26" s="10">
        <v>3.3625000000000004E-5</v>
      </c>
      <c r="BE26" s="10">
        <v>3.3583333333333334E-5</v>
      </c>
      <c r="BF26" s="10">
        <v>3.3541666666666664E-5</v>
      </c>
      <c r="BG26" s="10">
        <v>3.3500000000000001E-5</v>
      </c>
      <c r="BH26" s="10">
        <v>3.3458333333333338E-5</v>
      </c>
      <c r="BI26" s="10">
        <v>3.3416666666666668E-5</v>
      </c>
      <c r="BJ26" s="10">
        <v>3.3374999999999998E-5</v>
      </c>
      <c r="BK26" s="10">
        <v>3.3333333333333335E-5</v>
      </c>
      <c r="BL26" s="10">
        <v>3.3291666666666672E-5</v>
      </c>
      <c r="BM26" s="10">
        <v>3.3250000000000002E-5</v>
      </c>
      <c r="BN26" s="10">
        <v>3.3208333333333332E-5</v>
      </c>
      <c r="BO26" s="10">
        <v>3.3166666666666669E-5</v>
      </c>
      <c r="BP26" s="10">
        <v>3.3125000000000006E-5</v>
      </c>
      <c r="BQ26" s="10">
        <v>3.3083333333333336E-5</v>
      </c>
      <c r="BR26" s="10">
        <v>3.3041666666666666E-5</v>
      </c>
      <c r="BS26" s="9">
        <v>3.3000000000000003E-5</v>
      </c>
      <c r="BT26" s="10">
        <v>3.3000000000000003E-5</v>
      </c>
      <c r="BU26" s="10">
        <v>3.3000000000000003E-5</v>
      </c>
      <c r="BV26" s="10">
        <v>3.3000000000000003E-5</v>
      </c>
      <c r="BW26" s="10">
        <v>3.3000000000000003E-5</v>
      </c>
      <c r="BX26" s="10">
        <v>3.3000000000000003E-5</v>
      </c>
      <c r="BY26" s="10">
        <v>3.3000000000000003E-5</v>
      </c>
      <c r="BZ26" s="10">
        <v>3.3000000000000003E-5</v>
      </c>
      <c r="CA26" s="10">
        <v>3.3000000000000003E-5</v>
      </c>
      <c r="CB26" s="10">
        <v>3.3000000000000003E-5</v>
      </c>
      <c r="CC26" s="10">
        <v>3.3000000000000003E-5</v>
      </c>
      <c r="CD26" s="10">
        <v>3.3000000000000003E-5</v>
      </c>
      <c r="CE26" s="10">
        <v>3.3000000000000003E-5</v>
      </c>
      <c r="CF26" s="10">
        <v>3.3000000000000003E-5</v>
      </c>
      <c r="CG26" s="10">
        <v>3.3000000000000003E-5</v>
      </c>
      <c r="CH26" s="10">
        <v>3.3000000000000003E-5</v>
      </c>
      <c r="CI26" s="10">
        <v>3.3000000000000003E-5</v>
      </c>
      <c r="CJ26" s="10">
        <v>3.3000000000000003E-5</v>
      </c>
      <c r="CK26" s="10">
        <v>3.3000000000000003E-5</v>
      </c>
      <c r="CL26" s="10">
        <v>3.3000000000000003E-5</v>
      </c>
      <c r="CM26" s="9">
        <v>3.3000000000000003E-5</v>
      </c>
    </row>
    <row r="28" spans="1:91" x14ac:dyDescent="0.25">
      <c r="A28" s="8" t="s">
        <v>7</v>
      </c>
      <c r="B28" s="5">
        <v>0</v>
      </c>
      <c r="C28" s="5">
        <v>0</v>
      </c>
      <c r="D28" s="5">
        <v>0</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0</v>
      </c>
      <c r="AE28" s="5">
        <v>0</v>
      </c>
      <c r="AF28" s="9">
        <v>8.0900000000000001E-5</v>
      </c>
      <c r="AG28" s="10">
        <v>8.0833333333333338E-5</v>
      </c>
      <c r="AH28" s="10">
        <v>8.0766666666666674E-5</v>
      </c>
      <c r="AI28" s="10">
        <v>8.0699999999999996E-5</v>
      </c>
      <c r="AJ28" s="10">
        <v>8.0633333333333333E-5</v>
      </c>
      <c r="AK28" s="10">
        <v>8.0566666666666669E-5</v>
      </c>
      <c r="AL28" s="10">
        <v>8.0500000000000005E-5</v>
      </c>
      <c r="AM28" s="10">
        <v>8.0433333333333341E-5</v>
      </c>
      <c r="AN28" s="10">
        <v>8.0366666666666664E-5</v>
      </c>
      <c r="AO28" s="10">
        <v>8.03E-5</v>
      </c>
      <c r="AP28" s="10">
        <v>8.0233333333333337E-5</v>
      </c>
      <c r="AQ28" s="10">
        <v>8.0166666666666673E-5</v>
      </c>
      <c r="AR28" s="10">
        <v>8.0100000000000009E-5</v>
      </c>
      <c r="AS28" s="10">
        <v>8.0033333333333332E-5</v>
      </c>
      <c r="AT28" s="10">
        <v>7.9966666666666668E-5</v>
      </c>
      <c r="AU28" s="9">
        <v>7.9900000000000004E-5</v>
      </c>
      <c r="AV28" s="10">
        <v>7.9790909090909099E-5</v>
      </c>
      <c r="AW28" s="10">
        <v>7.9681818181818179E-5</v>
      </c>
      <c r="AX28" s="10">
        <v>7.9572727272727274E-5</v>
      </c>
      <c r="AY28" s="10">
        <v>7.9463636363636368E-5</v>
      </c>
      <c r="AZ28" s="10">
        <v>7.9354545454545463E-5</v>
      </c>
      <c r="BA28" s="10">
        <v>7.9245454545454544E-5</v>
      </c>
      <c r="BB28" s="10">
        <v>7.9136363636363638E-5</v>
      </c>
      <c r="BC28" s="10">
        <v>7.9027272727272732E-5</v>
      </c>
      <c r="BD28" s="10">
        <v>7.8918181818181827E-5</v>
      </c>
      <c r="BE28" s="10">
        <v>7.8809090909090908E-5</v>
      </c>
      <c r="BF28" s="10">
        <v>7.8700000000000002E-5</v>
      </c>
      <c r="BG28" s="10">
        <v>7.8590909090909096E-5</v>
      </c>
      <c r="BH28" s="10">
        <v>7.8481818181818177E-5</v>
      </c>
      <c r="BI28" s="10">
        <v>7.8372727272727272E-5</v>
      </c>
      <c r="BJ28" s="10">
        <v>7.8263636363636366E-5</v>
      </c>
      <c r="BK28" s="10">
        <v>7.8154545454545461E-5</v>
      </c>
      <c r="BL28" s="10">
        <v>7.8045454545454541E-5</v>
      </c>
      <c r="BM28" s="10">
        <v>7.7936363636363636E-5</v>
      </c>
      <c r="BN28" s="10">
        <v>7.782727272727273E-5</v>
      </c>
      <c r="BO28" s="10">
        <v>7.7718181818181825E-5</v>
      </c>
      <c r="BP28" s="10">
        <v>7.7609090909090906E-5</v>
      </c>
      <c r="BQ28" s="10">
        <v>7.75E-5</v>
      </c>
      <c r="BR28" s="10">
        <v>7.7390909090909094E-5</v>
      </c>
      <c r="BS28" s="9">
        <v>7.6000000000000004E-5</v>
      </c>
      <c r="BT28" s="10">
        <v>7.5955E-5</v>
      </c>
      <c r="BU28" s="10">
        <v>7.5909999999999997E-5</v>
      </c>
      <c r="BV28" s="10">
        <v>7.5865000000000006E-5</v>
      </c>
      <c r="BW28" s="10">
        <v>7.5820000000000003E-5</v>
      </c>
      <c r="BX28" s="10">
        <v>7.5774999999999999E-5</v>
      </c>
      <c r="BY28" s="10">
        <v>7.5730000000000008E-5</v>
      </c>
      <c r="BZ28" s="10">
        <v>7.5685000000000005E-5</v>
      </c>
      <c r="CA28" s="10">
        <v>7.5640000000000001E-5</v>
      </c>
      <c r="CB28" s="10">
        <v>7.5594999999999997E-5</v>
      </c>
      <c r="CC28" s="10">
        <v>7.5549999999999993E-5</v>
      </c>
      <c r="CD28" s="10">
        <v>7.5505000000000003E-5</v>
      </c>
      <c r="CE28" s="10">
        <v>7.5459999999999999E-5</v>
      </c>
      <c r="CF28" s="10">
        <v>7.5414999999999995E-5</v>
      </c>
      <c r="CG28" s="10">
        <v>7.5370000000000005E-5</v>
      </c>
      <c r="CH28" s="10">
        <v>7.5325000000000001E-5</v>
      </c>
      <c r="CI28" s="10">
        <v>7.5279999999999998E-5</v>
      </c>
      <c r="CJ28" s="10">
        <v>7.5234999999999994E-5</v>
      </c>
      <c r="CK28" s="10">
        <v>7.518999999999999E-5</v>
      </c>
      <c r="CL28" s="10">
        <v>7.5145E-5</v>
      </c>
      <c r="CM28" s="9">
        <v>7.5099999999999996E-5</v>
      </c>
    </row>
    <row r="30" spans="1:91" x14ac:dyDescent="0.25">
      <c r="A30" s="11" t="s">
        <v>13</v>
      </c>
      <c r="B30" s="5">
        <v>0</v>
      </c>
      <c r="C30" s="5">
        <v>0</v>
      </c>
      <c r="D30" s="5">
        <v>0</v>
      </c>
      <c r="E30" s="5">
        <v>0</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0</v>
      </c>
      <c r="AE30" s="5">
        <v>0</v>
      </c>
      <c r="AF30" s="47">
        <v>2.8586557155908612E-3</v>
      </c>
      <c r="AG30" s="47">
        <v>2.909963886131464E-3</v>
      </c>
      <c r="AH30" s="47">
        <v>2.9612720566720677E-3</v>
      </c>
      <c r="AI30" s="47">
        <v>3.0125802272126705E-3</v>
      </c>
      <c r="AJ30" s="47">
        <v>3.0638883977532742E-3</v>
      </c>
      <c r="AK30" s="47">
        <v>3.1151965682938766E-3</v>
      </c>
      <c r="AL30" s="47">
        <v>3.1665047388344802E-3</v>
      </c>
      <c r="AM30" s="47">
        <v>3.2178129093750835E-3</v>
      </c>
      <c r="AN30" s="47">
        <v>3.2691210799156863E-3</v>
      </c>
      <c r="AO30" s="47">
        <v>3.3204292504562887E-3</v>
      </c>
      <c r="AP30" s="47">
        <v>3.3717374209968911E-3</v>
      </c>
      <c r="AQ30" s="47">
        <v>3.4230455915374956E-3</v>
      </c>
      <c r="AR30" s="47">
        <v>3.474353762078098E-3</v>
      </c>
      <c r="AS30" s="47">
        <v>3.5256619326187004E-3</v>
      </c>
      <c r="AT30" s="47">
        <v>3.5769701031593041E-3</v>
      </c>
      <c r="AU30" s="47">
        <v>3.6282782736999073E-3</v>
      </c>
      <c r="AV30" s="47">
        <v>3.6601435786098075E-3</v>
      </c>
      <c r="AW30" s="47">
        <v>3.6920088835197063E-3</v>
      </c>
      <c r="AX30" s="47">
        <v>3.7238741884296055E-3</v>
      </c>
      <c r="AY30" s="47">
        <v>3.7557394933395052E-3</v>
      </c>
      <c r="AZ30" s="47">
        <v>3.7876047982494045E-3</v>
      </c>
      <c r="BA30" s="47">
        <v>3.8194701031593042E-3</v>
      </c>
      <c r="BB30" s="47">
        <v>3.8513354080692043E-3</v>
      </c>
      <c r="BC30" s="47">
        <v>3.8832007129791031E-3</v>
      </c>
      <c r="BD30" s="47">
        <v>3.9150660178890037E-3</v>
      </c>
      <c r="BE30" s="47">
        <v>3.9469313227989029E-3</v>
      </c>
      <c r="BF30" s="47">
        <v>3.9787966277088022E-3</v>
      </c>
      <c r="BG30" s="47">
        <v>4.0106619326187015E-3</v>
      </c>
      <c r="BH30" s="47">
        <v>4.0425272375286016E-3</v>
      </c>
      <c r="BI30" s="47">
        <v>4.0743925424385008E-3</v>
      </c>
      <c r="BJ30" s="47">
        <v>4.1062578473483992E-3</v>
      </c>
      <c r="BK30" s="47">
        <v>4.1381231522582993E-3</v>
      </c>
      <c r="BL30" s="47">
        <v>4.1699884571681986E-3</v>
      </c>
      <c r="BM30" s="47">
        <v>4.2018537620780979E-3</v>
      </c>
      <c r="BN30" s="47">
        <v>4.233719066987998E-3</v>
      </c>
      <c r="BO30" s="47">
        <v>4.2655843718978972E-3</v>
      </c>
      <c r="BP30" s="47">
        <v>4.2974496768077956E-3</v>
      </c>
      <c r="BQ30" s="47">
        <v>4.3293149817176958E-3</v>
      </c>
      <c r="BR30" s="47">
        <v>4.3611802866275959E-3</v>
      </c>
      <c r="BS30" s="47">
        <v>4.3930455915374969E-3</v>
      </c>
      <c r="BT30" s="47">
        <v>4.4249108964473944E-3</v>
      </c>
      <c r="BU30" s="47">
        <v>4.4567762013572945E-3</v>
      </c>
      <c r="BV30" s="47">
        <v>4.4886415062671938E-3</v>
      </c>
      <c r="BW30" s="47">
        <v>4.520506811177093E-3</v>
      </c>
      <c r="BX30" s="47">
        <v>4.5523721160869923E-3</v>
      </c>
      <c r="BY30" s="47">
        <v>4.5842374209968924E-3</v>
      </c>
      <c r="BZ30" s="47">
        <v>4.6161027259067908E-3</v>
      </c>
      <c r="CA30" s="47">
        <v>4.6479680308166918E-3</v>
      </c>
      <c r="CB30" s="47">
        <v>4.6798333357265902E-3</v>
      </c>
      <c r="CC30" s="47">
        <v>4.7116986406364903E-3</v>
      </c>
      <c r="CD30" s="47">
        <v>4.7435639455463896E-3</v>
      </c>
      <c r="CE30" s="47">
        <v>4.7754292504562897E-3</v>
      </c>
      <c r="CF30" s="47">
        <v>4.8072945553661881E-3</v>
      </c>
      <c r="CG30" s="47">
        <v>4.8391598602760891E-3</v>
      </c>
      <c r="CH30" s="47">
        <v>4.8710251651859866E-3</v>
      </c>
      <c r="CI30" s="47">
        <v>4.9028904700958876E-3</v>
      </c>
      <c r="CJ30" s="47">
        <v>4.9347557750057851E-3</v>
      </c>
      <c r="CK30" s="47">
        <v>4.9666210799156861E-3</v>
      </c>
      <c r="CL30" s="47">
        <v>4.9984863848255862E-3</v>
      </c>
      <c r="CM30" s="47">
        <v>5.0303516897354846E-3</v>
      </c>
    </row>
    <row r="31" spans="1:91" x14ac:dyDescent="0.25">
      <c r="A31" s="11" t="s">
        <v>1</v>
      </c>
      <c r="B31" s="5">
        <v>0</v>
      </c>
      <c r="C31" s="5">
        <v>0</v>
      </c>
      <c r="D31" s="5">
        <v>0</v>
      </c>
      <c r="E31" s="5">
        <v>0</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47">
        <v>2.21991625074704E-3</v>
      </c>
      <c r="AG31" s="47">
        <v>2.2566263371078163E-3</v>
      </c>
      <c r="AH31" s="47">
        <v>2.2933364234685931E-3</v>
      </c>
      <c r="AI31" s="47">
        <v>2.3300465098293689E-3</v>
      </c>
      <c r="AJ31" s="47">
        <v>2.3667565961901457E-3</v>
      </c>
      <c r="AK31" s="47">
        <v>2.403466682550922E-3</v>
      </c>
      <c r="AL31" s="47">
        <v>2.4401767689116983E-3</v>
      </c>
      <c r="AM31" s="47">
        <v>2.4768868552724754E-3</v>
      </c>
      <c r="AN31" s="47">
        <v>2.5135969416332517E-3</v>
      </c>
      <c r="AO31" s="47">
        <v>2.5503070279940276E-3</v>
      </c>
      <c r="AP31" s="47">
        <v>2.5870171143548043E-3</v>
      </c>
      <c r="AQ31" s="47">
        <v>2.6237272007155811E-3</v>
      </c>
      <c r="AR31" s="47">
        <v>2.6604372870763569E-3</v>
      </c>
      <c r="AS31" s="47">
        <v>2.6971473734371336E-3</v>
      </c>
      <c r="AT31" s="47">
        <v>2.7338574597979095E-3</v>
      </c>
      <c r="AU31" s="47">
        <v>2.7705675461586858E-3</v>
      </c>
      <c r="AV31" s="47">
        <v>2.7941732069956472E-3</v>
      </c>
      <c r="AW31" s="47">
        <v>2.8177788678326082E-3</v>
      </c>
      <c r="AX31" s="47">
        <v>2.8413845286695688E-3</v>
      </c>
      <c r="AY31" s="47">
        <v>2.8649901895065294E-3</v>
      </c>
      <c r="AZ31" s="47">
        <v>2.8885958503434904E-3</v>
      </c>
      <c r="BA31" s="47">
        <v>2.9122015111804514E-3</v>
      </c>
      <c r="BB31" s="47">
        <v>2.9358071720174115E-3</v>
      </c>
      <c r="BC31" s="47">
        <v>2.9594128328543738E-3</v>
      </c>
      <c r="BD31" s="47">
        <v>2.9830184936913344E-3</v>
      </c>
      <c r="BE31" s="47">
        <v>3.0066241545282949E-3</v>
      </c>
      <c r="BF31" s="47">
        <v>3.030229815365256E-3</v>
      </c>
      <c r="BG31" s="47">
        <v>3.0538354762022174E-3</v>
      </c>
      <c r="BH31" s="47">
        <v>3.0774411370391771E-3</v>
      </c>
      <c r="BI31" s="47">
        <v>3.1010467978761381E-3</v>
      </c>
      <c r="BJ31" s="47">
        <v>3.1246524587130987E-3</v>
      </c>
      <c r="BK31" s="47">
        <v>3.1482581195500597E-3</v>
      </c>
      <c r="BL31" s="47">
        <v>3.1718637803870211E-3</v>
      </c>
      <c r="BM31" s="47">
        <v>3.1954694412239821E-3</v>
      </c>
      <c r="BN31" s="47">
        <v>3.2190751020609435E-3</v>
      </c>
      <c r="BO31" s="47">
        <v>3.2426807628979037E-3</v>
      </c>
      <c r="BP31" s="47">
        <v>3.2662864237348651E-3</v>
      </c>
      <c r="BQ31" s="47">
        <v>3.2898920845718252E-3</v>
      </c>
      <c r="BR31" s="47">
        <v>3.3134977454087858E-3</v>
      </c>
      <c r="BS31" s="47">
        <v>3.3371034062457468E-3</v>
      </c>
      <c r="BT31" s="47">
        <v>3.3607090670827078E-3</v>
      </c>
      <c r="BU31" s="47">
        <v>3.3843147279196684E-3</v>
      </c>
      <c r="BV31" s="47">
        <v>3.4079203887566302E-3</v>
      </c>
      <c r="BW31" s="47">
        <v>3.4315260495935899E-3</v>
      </c>
      <c r="BX31" s="47">
        <v>3.4551317104305514E-3</v>
      </c>
      <c r="BY31" s="47">
        <v>3.4787373712675128E-3</v>
      </c>
      <c r="BZ31" s="47">
        <v>3.5023430321044729E-3</v>
      </c>
      <c r="CA31" s="47">
        <v>3.5259486929414339E-3</v>
      </c>
      <c r="CB31" s="47">
        <v>3.5495543537783945E-3</v>
      </c>
      <c r="CC31" s="47">
        <v>3.5731600146153551E-3</v>
      </c>
      <c r="CD31" s="47">
        <v>3.5967656754523165E-3</v>
      </c>
      <c r="CE31" s="47">
        <v>3.6203713362892771E-3</v>
      </c>
      <c r="CF31" s="47">
        <v>3.6439769971262381E-3</v>
      </c>
      <c r="CG31" s="47">
        <v>3.6675826579631995E-3</v>
      </c>
      <c r="CH31" s="47">
        <v>3.6911883188001609E-3</v>
      </c>
      <c r="CI31" s="47">
        <v>3.7147939796371206E-3</v>
      </c>
      <c r="CJ31" s="47">
        <v>3.7383996404740821E-3</v>
      </c>
      <c r="CK31" s="47">
        <v>3.7620053013110422E-3</v>
      </c>
      <c r="CL31" s="47">
        <v>3.7856109621480032E-3</v>
      </c>
      <c r="CM31" s="47">
        <v>3.8092166229849646E-3</v>
      </c>
    </row>
    <row r="32" spans="1:91" x14ac:dyDescent="0.25">
      <c r="A32" s="11" t="s">
        <v>1</v>
      </c>
      <c r="B32" s="5">
        <v>0</v>
      </c>
      <c r="C32" s="5">
        <v>0</v>
      </c>
      <c r="D32" s="5">
        <v>0</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0</v>
      </c>
      <c r="AF32" s="47">
        <v>3.2695631189309741E-3</v>
      </c>
      <c r="AG32" s="47">
        <v>3.3190680876783053E-3</v>
      </c>
      <c r="AH32" s="47">
        <v>3.3685730564256351E-3</v>
      </c>
      <c r="AI32" s="47">
        <v>3.4180780251729654E-3</v>
      </c>
      <c r="AJ32" s="47">
        <v>3.4675829939202975E-3</v>
      </c>
      <c r="AK32" s="47">
        <v>3.5170879626676278E-3</v>
      </c>
      <c r="AL32" s="47">
        <v>3.566592931414959E-3</v>
      </c>
      <c r="AM32" s="47">
        <v>3.6160979001622893E-3</v>
      </c>
      <c r="AN32" s="47">
        <v>3.66560286890962E-3</v>
      </c>
      <c r="AO32" s="47">
        <v>3.7151078376569512E-3</v>
      </c>
      <c r="AP32" s="47">
        <v>3.764612806404282E-3</v>
      </c>
      <c r="AQ32" s="47">
        <v>3.8141177751516123E-3</v>
      </c>
      <c r="AR32" s="47">
        <v>3.8636227438989435E-3</v>
      </c>
      <c r="AS32" s="47">
        <v>3.9131277126462733E-3</v>
      </c>
      <c r="AT32" s="47">
        <v>3.9626326813936045E-3</v>
      </c>
      <c r="AU32" s="47">
        <v>4.0121376501409357E-3</v>
      </c>
      <c r="AV32" s="47">
        <v>4.0409850921853223E-3</v>
      </c>
      <c r="AW32" s="47">
        <v>4.0698325342297097E-3</v>
      </c>
      <c r="AX32" s="47">
        <v>4.0986799762740963E-3</v>
      </c>
      <c r="AY32" s="47">
        <v>4.127527418318482E-3</v>
      </c>
      <c r="AZ32" s="47">
        <v>4.1563748603628704E-3</v>
      </c>
      <c r="BA32" s="47">
        <v>4.1852223024072561E-3</v>
      </c>
      <c r="BB32" s="47">
        <v>4.2140697444516435E-3</v>
      </c>
      <c r="BC32" s="47">
        <v>4.2429171864960301E-3</v>
      </c>
      <c r="BD32" s="47">
        <v>4.2717646285404158E-3</v>
      </c>
      <c r="BE32" s="47">
        <v>4.3006120705848042E-3</v>
      </c>
      <c r="BF32" s="47">
        <v>4.3294595126291899E-3</v>
      </c>
      <c r="BG32" s="47">
        <v>4.3583069546735782E-3</v>
      </c>
      <c r="BH32" s="47">
        <v>4.3871543967179639E-3</v>
      </c>
      <c r="BI32" s="47">
        <v>4.4160018387623514E-3</v>
      </c>
      <c r="BJ32" s="47">
        <v>4.444849280806738E-3</v>
      </c>
      <c r="BK32" s="47">
        <v>4.4736967228511245E-3</v>
      </c>
      <c r="BL32" s="47">
        <v>4.5025441648955111E-3</v>
      </c>
      <c r="BM32" s="47">
        <v>4.5313916069398994E-3</v>
      </c>
      <c r="BN32" s="47">
        <v>4.5602390489842852E-3</v>
      </c>
      <c r="BO32" s="47">
        <v>4.5890864910286726E-3</v>
      </c>
      <c r="BP32" s="47">
        <v>4.6179339330730601E-3</v>
      </c>
      <c r="BQ32" s="47">
        <v>4.6467813751174458E-3</v>
      </c>
      <c r="BR32" s="47">
        <v>4.6756288171618332E-3</v>
      </c>
      <c r="BS32" s="47">
        <v>4.7044762592062198E-3</v>
      </c>
      <c r="BT32" s="47">
        <v>4.7333237012506073E-3</v>
      </c>
      <c r="BU32" s="47">
        <v>4.762171143294993E-3</v>
      </c>
      <c r="BV32" s="47">
        <v>4.7910185853393805E-3</v>
      </c>
      <c r="BW32" s="47">
        <v>4.8198660273837679E-3</v>
      </c>
      <c r="BX32" s="47">
        <v>4.8487134694281545E-3</v>
      </c>
      <c r="BY32" s="47">
        <v>4.8775609114725419E-3</v>
      </c>
      <c r="BZ32" s="47">
        <v>4.9064083535169277E-3</v>
      </c>
      <c r="CA32" s="47">
        <v>4.9352557955613151E-3</v>
      </c>
      <c r="CB32" s="47">
        <v>4.9641032376057017E-3</v>
      </c>
      <c r="CC32" s="47">
        <v>4.9929506796500883E-3</v>
      </c>
      <c r="CD32" s="47">
        <v>5.0217981216944757E-3</v>
      </c>
      <c r="CE32" s="47">
        <v>5.0506455637388623E-3</v>
      </c>
      <c r="CF32" s="47">
        <v>5.0794930057832489E-3</v>
      </c>
      <c r="CG32" s="47">
        <v>5.1083404478276355E-3</v>
      </c>
      <c r="CH32" s="47">
        <v>5.1371878898720212E-3</v>
      </c>
      <c r="CI32" s="47">
        <v>5.1660353319164087E-3</v>
      </c>
      <c r="CJ32" s="47">
        <v>5.1948827739607961E-3</v>
      </c>
      <c r="CK32" s="47">
        <v>5.2237302160051836E-3</v>
      </c>
      <c r="CL32" s="47">
        <v>5.252577658049571E-3</v>
      </c>
      <c r="CM32" s="47">
        <v>5.2814251000939559E-3</v>
      </c>
    </row>
    <row r="33" spans="1:91" x14ac:dyDescent="0.25">
      <c r="A33" s="11" t="s">
        <v>1</v>
      </c>
      <c r="B33" s="5">
        <v>0</v>
      </c>
      <c r="C33" s="5">
        <v>0</v>
      </c>
      <c r="D33" s="5">
        <v>0</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0</v>
      </c>
      <c r="AF33" s="47">
        <v>1.4251346260975677E-3</v>
      </c>
      <c r="AG33" s="47">
        <v>1.4394010133432365E-3</v>
      </c>
      <c r="AH33" s="47">
        <v>1.4536674005889065E-3</v>
      </c>
      <c r="AI33" s="47">
        <v>1.4679337878345756E-3</v>
      </c>
      <c r="AJ33" s="47">
        <v>1.4822001750802451E-3</v>
      </c>
      <c r="AK33" s="47">
        <v>1.4964665623259147E-3</v>
      </c>
      <c r="AL33" s="47">
        <v>1.5107329495715842E-3</v>
      </c>
      <c r="AM33" s="47">
        <v>1.5249993368172535E-3</v>
      </c>
      <c r="AN33" s="47">
        <v>1.5392657240629226E-3</v>
      </c>
      <c r="AO33" s="47">
        <v>1.5535321113085924E-3</v>
      </c>
      <c r="AP33" s="47">
        <v>1.5677984985542617E-3</v>
      </c>
      <c r="AQ33" s="47">
        <v>1.5820648857999312E-3</v>
      </c>
      <c r="AR33" s="47">
        <v>1.5963312730456008E-3</v>
      </c>
      <c r="AS33" s="47">
        <v>1.6105976602912699E-3</v>
      </c>
      <c r="AT33" s="47">
        <v>1.6248640475369394E-3</v>
      </c>
      <c r="AU33" s="47">
        <v>1.6391304347826087E-3</v>
      </c>
      <c r="AV33" s="47">
        <v>1.6512056578914661E-3</v>
      </c>
      <c r="AW33" s="47">
        <v>1.6632808810003231E-3</v>
      </c>
      <c r="AX33" s="47">
        <v>1.6753561041091803E-3</v>
      </c>
      <c r="AY33" s="47">
        <v>1.6874313272180379E-3</v>
      </c>
      <c r="AZ33" s="47">
        <v>1.6995065503268951E-3</v>
      </c>
      <c r="BA33" s="47">
        <v>1.7115817734357521E-3</v>
      </c>
      <c r="BB33" s="47">
        <v>1.7236569965446093E-3</v>
      </c>
      <c r="BC33" s="47">
        <v>1.7357322196534667E-3</v>
      </c>
      <c r="BD33" s="47">
        <v>1.7478074427623236E-3</v>
      </c>
      <c r="BE33" s="47">
        <v>1.759882665871181E-3</v>
      </c>
      <c r="BF33" s="47">
        <v>1.7719578889800382E-3</v>
      </c>
      <c r="BG33" s="47">
        <v>1.7840331120888959E-3</v>
      </c>
      <c r="BH33" s="47">
        <v>1.7961083351977531E-3</v>
      </c>
      <c r="BI33" s="47">
        <v>1.8081835583066094E-3</v>
      </c>
      <c r="BJ33" s="47">
        <v>1.8202587814154672E-3</v>
      </c>
      <c r="BK33" s="47">
        <v>1.8323340045243244E-3</v>
      </c>
      <c r="BL33" s="47">
        <v>1.844409227633182E-3</v>
      </c>
      <c r="BM33" s="47">
        <v>1.8564844507420388E-3</v>
      </c>
      <c r="BN33" s="47">
        <v>1.8685596738508962E-3</v>
      </c>
      <c r="BO33" s="47">
        <v>1.8806348969597534E-3</v>
      </c>
      <c r="BP33" s="47">
        <v>1.8927101200686108E-3</v>
      </c>
      <c r="BQ33" s="47">
        <v>1.9047853431774678E-3</v>
      </c>
      <c r="BR33" s="47">
        <v>1.9168605662863256E-3</v>
      </c>
      <c r="BS33" s="47">
        <v>1.9289357893951824E-3</v>
      </c>
      <c r="BT33" s="47">
        <v>1.9410110125040402E-3</v>
      </c>
      <c r="BU33" s="47">
        <v>1.9530862356128972E-3</v>
      </c>
      <c r="BV33" s="47">
        <v>1.9651614587217541E-3</v>
      </c>
      <c r="BW33" s="47">
        <v>1.9772366818306113E-3</v>
      </c>
      <c r="BX33" s="47">
        <v>1.989311904939469E-3</v>
      </c>
      <c r="BY33" s="47">
        <v>2.0013871280483257E-3</v>
      </c>
      <c r="BZ33" s="47">
        <v>2.0134623511571829E-3</v>
      </c>
      <c r="CA33" s="47">
        <v>2.0255375742660405E-3</v>
      </c>
      <c r="CB33" s="47">
        <v>2.0376127973748973E-3</v>
      </c>
      <c r="CC33" s="47">
        <v>2.0496880204837549E-3</v>
      </c>
      <c r="CD33" s="47">
        <v>2.0617632435926121E-3</v>
      </c>
      <c r="CE33" s="47">
        <v>2.0738384667014697E-3</v>
      </c>
      <c r="CF33" s="47">
        <v>2.0859136898103261E-3</v>
      </c>
      <c r="CG33" s="47">
        <v>2.0979889129191837E-3</v>
      </c>
      <c r="CH33" s="47">
        <v>2.1100641360280409E-3</v>
      </c>
      <c r="CI33" s="47">
        <v>2.1221393591368985E-3</v>
      </c>
      <c r="CJ33" s="47">
        <v>2.1342145822457557E-3</v>
      </c>
      <c r="CK33" s="47">
        <v>2.1462898053546129E-3</v>
      </c>
      <c r="CL33" s="47">
        <v>2.1583650284634701E-3</v>
      </c>
      <c r="CM33" s="47">
        <v>2.1704402515723277E-3</v>
      </c>
    </row>
    <row r="34" spans="1:91" x14ac:dyDescent="0.25">
      <c r="A34" s="11" t="s">
        <v>1</v>
      </c>
      <c r="B34" s="5">
        <v>0</v>
      </c>
      <c r="C34" s="5">
        <v>0</v>
      </c>
      <c r="D34" s="5">
        <v>0</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47">
        <v>1.6577549140049134E-3</v>
      </c>
      <c r="AG34" s="47">
        <v>1.6804361179361179E-3</v>
      </c>
      <c r="AH34" s="47">
        <v>1.7031173218673219E-3</v>
      </c>
      <c r="AI34" s="47">
        <v>1.7257985257985258E-3</v>
      </c>
      <c r="AJ34" s="47">
        <v>1.7484797297297294E-3</v>
      </c>
      <c r="AK34" s="47">
        <v>1.7711609336609332E-3</v>
      </c>
      <c r="AL34" s="47">
        <v>1.7938421375921377E-3</v>
      </c>
      <c r="AM34" s="47">
        <v>1.8165233415233415E-3</v>
      </c>
      <c r="AN34" s="47">
        <v>1.8392045454545453E-3</v>
      </c>
      <c r="AO34" s="47">
        <v>1.8618857493857496E-3</v>
      </c>
      <c r="AP34" s="47">
        <v>1.8845669533169532E-3</v>
      </c>
      <c r="AQ34" s="47">
        <v>1.9072481572481575E-3</v>
      </c>
      <c r="AR34" s="47">
        <v>1.9299293611793611E-3</v>
      </c>
      <c r="AS34" s="47">
        <v>1.9526105651105647E-3</v>
      </c>
      <c r="AT34" s="47">
        <v>1.9752917690417696E-3</v>
      </c>
      <c r="AU34" s="47">
        <v>1.9979729729729728E-3</v>
      </c>
      <c r="AV34" s="47">
        <v>2.0184735872235877E-3</v>
      </c>
      <c r="AW34" s="47">
        <v>2.0389742014742013E-3</v>
      </c>
      <c r="AX34" s="47">
        <v>2.0594748157248153E-3</v>
      </c>
      <c r="AY34" s="47">
        <v>2.0799754299754298E-3</v>
      </c>
      <c r="AZ34" s="47">
        <v>2.1004760442260443E-3</v>
      </c>
      <c r="BA34" s="47">
        <v>2.1209766584766587E-3</v>
      </c>
      <c r="BB34" s="47">
        <v>2.1414772727272723E-3</v>
      </c>
      <c r="BC34" s="47">
        <v>2.1619778869778868E-3</v>
      </c>
      <c r="BD34" s="47">
        <v>2.1824785012285013E-3</v>
      </c>
      <c r="BE34" s="47">
        <v>2.2029791154791153E-3</v>
      </c>
      <c r="BF34" s="47">
        <v>2.2234797297297293E-3</v>
      </c>
      <c r="BG34" s="47">
        <v>2.2439803439803438E-3</v>
      </c>
      <c r="BH34" s="47">
        <v>2.2644809582309583E-3</v>
      </c>
      <c r="BI34" s="47">
        <v>2.2849815724815723E-3</v>
      </c>
      <c r="BJ34" s="47">
        <v>2.3054821867321868E-3</v>
      </c>
      <c r="BK34" s="47">
        <v>2.3259828009828008E-3</v>
      </c>
      <c r="BL34" s="47">
        <v>2.3464834152334153E-3</v>
      </c>
      <c r="BM34" s="47">
        <v>2.3669840294840293E-3</v>
      </c>
      <c r="BN34" s="47">
        <v>2.3874846437346438E-3</v>
      </c>
      <c r="BO34" s="47">
        <v>2.4079852579852574E-3</v>
      </c>
      <c r="BP34" s="47">
        <v>2.4284858722358718E-3</v>
      </c>
      <c r="BQ34" s="47">
        <v>2.4489864864864859E-3</v>
      </c>
      <c r="BR34" s="47">
        <v>2.4694871007371003E-3</v>
      </c>
      <c r="BS34" s="47">
        <v>2.4899877149877148E-3</v>
      </c>
      <c r="BT34" s="47">
        <v>2.5104883292383293E-3</v>
      </c>
      <c r="BU34" s="47">
        <v>2.5309889434889433E-3</v>
      </c>
      <c r="BV34" s="47">
        <v>2.5514895577395573E-3</v>
      </c>
      <c r="BW34" s="47">
        <v>2.5719901719901722E-3</v>
      </c>
      <c r="BX34" s="47">
        <v>2.5924907862407863E-3</v>
      </c>
      <c r="BY34" s="47">
        <v>2.6129914004914007E-3</v>
      </c>
      <c r="BZ34" s="47">
        <v>2.6334920147420139E-3</v>
      </c>
      <c r="CA34" s="47">
        <v>2.6539926289926284E-3</v>
      </c>
      <c r="CB34" s="47">
        <v>2.6744932432432428E-3</v>
      </c>
      <c r="CC34" s="47">
        <v>2.6949938574938573E-3</v>
      </c>
      <c r="CD34" s="47">
        <v>2.7154944717444713E-3</v>
      </c>
      <c r="CE34" s="47">
        <v>2.7359950859950858E-3</v>
      </c>
      <c r="CF34" s="47">
        <v>2.7564957002457007E-3</v>
      </c>
      <c r="CG34" s="47">
        <v>2.7769963144963143E-3</v>
      </c>
      <c r="CH34" s="47">
        <v>2.7974969287469288E-3</v>
      </c>
      <c r="CI34" s="47">
        <v>2.8179975429975424E-3</v>
      </c>
      <c r="CJ34" s="47">
        <v>2.8384981572481573E-3</v>
      </c>
      <c r="CK34" s="47">
        <v>2.8589987714987713E-3</v>
      </c>
      <c r="CL34" s="47">
        <v>2.8794993857493853E-3</v>
      </c>
      <c r="CM34" s="47">
        <v>2.8999999999999998E-3</v>
      </c>
    </row>
    <row r="35" spans="1:91" x14ac:dyDescent="0.25">
      <c r="A35" s="11" t="s">
        <v>1</v>
      </c>
      <c r="B35" s="5">
        <v>0</v>
      </c>
      <c r="C35" s="5">
        <v>0</v>
      </c>
      <c r="D35" s="5">
        <v>0</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47">
        <v>6.1522727272727278E-2</v>
      </c>
      <c r="AG35" s="47">
        <v>6.1954545454545457E-2</v>
      </c>
      <c r="AH35" s="47">
        <v>6.2386363636363643E-2</v>
      </c>
      <c r="AI35" s="47">
        <v>6.2818181818181829E-2</v>
      </c>
      <c r="AJ35" s="47">
        <v>6.3250000000000001E-2</v>
      </c>
      <c r="AK35" s="47">
        <v>6.3681818181818187E-2</v>
      </c>
      <c r="AL35" s="47">
        <v>6.4113636363636373E-2</v>
      </c>
      <c r="AM35" s="47">
        <v>6.4545454545454545E-2</v>
      </c>
      <c r="AN35" s="47">
        <v>6.4977272727272731E-2</v>
      </c>
      <c r="AO35" s="47">
        <v>6.5409090909090917E-2</v>
      </c>
      <c r="AP35" s="47">
        <v>6.5840909090909089E-2</v>
      </c>
      <c r="AQ35" s="47">
        <v>6.6272727272727275E-2</v>
      </c>
      <c r="AR35" s="47">
        <v>6.6704545454545461E-2</v>
      </c>
      <c r="AS35" s="47">
        <v>6.7136363636363633E-2</v>
      </c>
      <c r="AT35" s="47">
        <v>6.7568181818181819E-2</v>
      </c>
      <c r="AU35" s="47">
        <v>6.8000000000000005E-2</v>
      </c>
      <c r="AV35" s="47">
        <v>6.881818181818182E-2</v>
      </c>
      <c r="AW35" s="47">
        <v>6.9636363636363635E-2</v>
      </c>
      <c r="AX35" s="47">
        <v>7.0454545454545464E-2</v>
      </c>
      <c r="AY35" s="47">
        <v>7.1272727272727279E-2</v>
      </c>
      <c r="AZ35" s="47">
        <v>7.2090909090909094E-2</v>
      </c>
      <c r="BA35" s="47">
        <v>7.290909090909091E-2</v>
      </c>
      <c r="BB35" s="47">
        <v>7.3727272727272725E-2</v>
      </c>
      <c r="BC35" s="47">
        <v>7.4545454545454554E-2</v>
      </c>
      <c r="BD35" s="47">
        <v>7.5363636363636369E-2</v>
      </c>
      <c r="BE35" s="47">
        <v>7.6181818181818184E-2</v>
      </c>
      <c r="BF35" s="47">
        <v>7.6999999999999999E-2</v>
      </c>
      <c r="BG35" s="47">
        <v>7.7818181818181814E-2</v>
      </c>
      <c r="BH35" s="47">
        <v>7.8636363636363643E-2</v>
      </c>
      <c r="BI35" s="47">
        <v>7.9454545454545458E-2</v>
      </c>
      <c r="BJ35" s="47">
        <v>8.0272727272727273E-2</v>
      </c>
      <c r="BK35" s="47">
        <v>8.1090909090909088E-2</v>
      </c>
      <c r="BL35" s="47">
        <v>8.1909090909090904E-2</v>
      </c>
      <c r="BM35" s="47">
        <v>8.2727272727272733E-2</v>
      </c>
      <c r="BN35" s="47">
        <v>8.3545454545454548E-2</v>
      </c>
      <c r="BO35" s="47">
        <v>8.4363636363636363E-2</v>
      </c>
      <c r="BP35" s="47">
        <v>8.5181818181818178E-2</v>
      </c>
      <c r="BQ35" s="47">
        <v>8.5999999999999993E-2</v>
      </c>
      <c r="BR35" s="47">
        <v>8.6818181818181822E-2</v>
      </c>
      <c r="BS35" s="47">
        <v>8.7636363636363637E-2</v>
      </c>
      <c r="BT35" s="47">
        <v>8.8454545454545452E-2</v>
      </c>
      <c r="BU35" s="47">
        <v>8.9272727272727267E-2</v>
      </c>
      <c r="BV35" s="47">
        <v>9.0090909090909083E-2</v>
      </c>
      <c r="BW35" s="47">
        <v>9.0909090909090912E-2</v>
      </c>
      <c r="BX35" s="47">
        <v>9.1727272727272727E-2</v>
      </c>
      <c r="BY35" s="47">
        <v>9.2545454545454542E-2</v>
      </c>
      <c r="BZ35" s="47">
        <v>9.3363636363636357E-2</v>
      </c>
      <c r="CA35" s="47">
        <v>9.4181818181818172E-2</v>
      </c>
      <c r="CB35" s="47">
        <v>9.5000000000000001E-2</v>
      </c>
      <c r="CC35" s="47">
        <v>9.5818181818181816E-2</v>
      </c>
      <c r="CD35" s="47">
        <v>9.6636363636363631E-2</v>
      </c>
      <c r="CE35" s="47">
        <v>9.7454545454545446E-2</v>
      </c>
      <c r="CF35" s="47">
        <v>9.8272727272727262E-2</v>
      </c>
      <c r="CG35" s="47">
        <v>9.9090909090909091E-2</v>
      </c>
      <c r="CH35" s="47">
        <v>9.9909090909090906E-2</v>
      </c>
      <c r="CI35" s="47">
        <v>0.10072727272727272</v>
      </c>
      <c r="CJ35" s="47">
        <v>0.10154545454545455</v>
      </c>
      <c r="CK35" s="47">
        <v>0.10236363636363635</v>
      </c>
      <c r="CL35" s="47">
        <v>0.10318181818181818</v>
      </c>
      <c r="CM35" s="47">
        <v>0.104</v>
      </c>
    </row>
    <row r="37" spans="1:91" x14ac:dyDescent="0.25">
      <c r="A37" s="12" t="s">
        <v>15</v>
      </c>
      <c r="B37" s="5">
        <v>0</v>
      </c>
      <c r="C37" s="5">
        <v>0</v>
      </c>
      <c r="D37" s="5">
        <v>0</v>
      </c>
      <c r="E37" s="5">
        <v>0</v>
      </c>
      <c r="F37" s="5">
        <v>0</v>
      </c>
      <c r="G37" s="5">
        <v>0</v>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0</v>
      </c>
      <c r="AE37" s="5">
        <v>0</v>
      </c>
      <c r="AF37" s="14">
        <v>9.6590909090909095E-4</v>
      </c>
      <c r="AG37" s="14">
        <v>9.6818181818181823E-4</v>
      </c>
      <c r="AH37" s="14">
        <v>9.704545454545454E-4</v>
      </c>
      <c r="AI37" s="14">
        <v>9.7272727272727268E-4</v>
      </c>
      <c r="AJ37" s="14">
        <v>9.7499999999999996E-4</v>
      </c>
      <c r="AK37" s="14">
        <v>9.7727272727272723E-4</v>
      </c>
      <c r="AL37" s="14">
        <v>9.7954545454545451E-4</v>
      </c>
      <c r="AM37" s="14">
        <v>9.8181818181818179E-4</v>
      </c>
      <c r="AN37" s="14">
        <v>9.8409090909090907E-4</v>
      </c>
      <c r="AO37" s="14">
        <v>9.8636363636363635E-4</v>
      </c>
      <c r="AP37" s="14">
        <v>9.8863636363636363E-4</v>
      </c>
      <c r="AQ37" s="14">
        <v>9.9090909090909091E-4</v>
      </c>
      <c r="AR37" s="14">
        <v>9.9318181818181818E-4</v>
      </c>
      <c r="AS37" s="14">
        <v>9.9545454545454546E-4</v>
      </c>
      <c r="AT37" s="14">
        <v>9.9772727272727274E-4</v>
      </c>
      <c r="AU37" s="14">
        <v>1E-3</v>
      </c>
      <c r="AV37" s="14">
        <v>1.0363636363636365E-3</v>
      </c>
      <c r="AW37" s="14">
        <v>1.0727272727272727E-3</v>
      </c>
      <c r="AX37" s="14">
        <v>1.1090909090909092E-3</v>
      </c>
      <c r="AY37" s="14">
        <v>1.1454545454545454E-3</v>
      </c>
      <c r="AZ37" s="14">
        <v>1.1818181818181819E-3</v>
      </c>
      <c r="BA37" s="14">
        <v>1.2181818181818181E-3</v>
      </c>
      <c r="BB37" s="14">
        <v>1.2545454545454546E-3</v>
      </c>
      <c r="BC37" s="14">
        <v>1.2909090909090908E-3</v>
      </c>
      <c r="BD37" s="14">
        <v>1.3272727272727273E-3</v>
      </c>
      <c r="BE37" s="14">
        <v>1.3636363636363635E-3</v>
      </c>
      <c r="BF37" s="14">
        <v>1.4E-3</v>
      </c>
      <c r="BG37" s="14">
        <v>1.4363636363636362E-3</v>
      </c>
      <c r="BH37" s="14">
        <v>1.4727272727272727E-3</v>
      </c>
      <c r="BI37" s="14">
        <v>1.5090909090909091E-3</v>
      </c>
      <c r="BJ37" s="14">
        <v>1.5454545454545454E-3</v>
      </c>
      <c r="BK37" s="14">
        <v>1.5818181818181816E-3</v>
      </c>
      <c r="BL37" s="14">
        <v>1.6181818181818181E-3</v>
      </c>
      <c r="BM37" s="14">
        <v>1.6545454545454545E-3</v>
      </c>
      <c r="BN37" s="14">
        <v>1.6909090909090908E-3</v>
      </c>
      <c r="BO37" s="14">
        <v>1.727272727272727E-3</v>
      </c>
      <c r="BP37" s="14">
        <v>1.7636363636363635E-3</v>
      </c>
      <c r="BQ37" s="14">
        <v>1.8E-3</v>
      </c>
      <c r="BR37" s="14">
        <v>1.8363636363636362E-3</v>
      </c>
      <c r="BS37" s="14">
        <v>1.8727272727272727E-3</v>
      </c>
      <c r="BT37" s="14">
        <v>1.9090909090909089E-3</v>
      </c>
      <c r="BU37" s="14">
        <v>1.9454545454545454E-3</v>
      </c>
      <c r="BV37" s="14">
        <v>1.9818181818181818E-3</v>
      </c>
      <c r="BW37" s="14">
        <v>2.0181818181818183E-3</v>
      </c>
      <c r="BX37" s="14">
        <v>2.0545454545454543E-3</v>
      </c>
      <c r="BY37" s="14">
        <v>2.0909090909090908E-3</v>
      </c>
      <c r="BZ37" s="14">
        <v>2.1272727272727268E-3</v>
      </c>
      <c r="CA37" s="14">
        <v>2.1636363636363632E-3</v>
      </c>
      <c r="CB37" s="14">
        <v>2.1999999999999997E-3</v>
      </c>
      <c r="CC37" s="14">
        <v>2.2363636363636362E-3</v>
      </c>
      <c r="CD37" s="14">
        <v>2.2727272727272726E-3</v>
      </c>
      <c r="CE37" s="14">
        <v>2.3090909090909091E-3</v>
      </c>
      <c r="CF37" s="14">
        <v>2.3454545454545455E-3</v>
      </c>
      <c r="CG37" s="14">
        <v>2.3818181818181816E-3</v>
      </c>
      <c r="CH37" s="14">
        <v>2.418181818181818E-3</v>
      </c>
      <c r="CI37" s="14">
        <v>2.454545454545454E-3</v>
      </c>
      <c r="CJ37" s="14">
        <v>2.4909090909090905E-3</v>
      </c>
      <c r="CK37" s="14">
        <v>2.527272727272727E-3</v>
      </c>
      <c r="CL37" s="14">
        <v>2.5636363636363634E-3</v>
      </c>
      <c r="CM37" s="14">
        <v>2.5999999999999999E-3</v>
      </c>
    </row>
    <row r="38" spans="1:91" x14ac:dyDescent="0.25">
      <c r="A38" s="12"/>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row>
    <row r="39" spans="1:91" x14ac:dyDescent="0.25">
      <c r="A39" s="12" t="s">
        <v>14</v>
      </c>
      <c r="B39" s="5">
        <v>0</v>
      </c>
      <c r="C39" s="5">
        <v>0</v>
      </c>
      <c r="D39" s="5">
        <v>0</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14">
        <v>8.6618671127481966E-4</v>
      </c>
      <c r="AG39" s="14">
        <v>8.7332065560907562E-4</v>
      </c>
      <c r="AH39" s="14">
        <v>8.8045459994333169E-4</v>
      </c>
      <c r="AI39" s="14">
        <v>8.8758854427758765E-4</v>
      </c>
      <c r="AJ39" s="14">
        <v>8.9472248861184372E-4</v>
      </c>
      <c r="AK39" s="14">
        <v>9.0185643294609969E-4</v>
      </c>
      <c r="AL39" s="14">
        <v>9.0899037728035576E-4</v>
      </c>
      <c r="AM39" s="14">
        <v>9.1612432161461172E-4</v>
      </c>
      <c r="AN39" s="14">
        <v>9.2325826594886768E-4</v>
      </c>
      <c r="AO39" s="14">
        <v>9.3039221028312375E-4</v>
      </c>
      <c r="AP39" s="14">
        <v>9.3752615461737982E-4</v>
      </c>
      <c r="AQ39" s="14">
        <v>9.4466009895163578E-4</v>
      </c>
      <c r="AR39" s="14">
        <v>9.5179404328589175E-4</v>
      </c>
      <c r="AS39" s="14">
        <v>9.5892798762014782E-4</v>
      </c>
      <c r="AT39" s="14">
        <v>9.6606193195440389E-4</v>
      </c>
      <c r="AU39" s="14">
        <v>9.7319587628865985E-4</v>
      </c>
      <c r="AV39" s="14">
        <v>9.9072164948453621E-4</v>
      </c>
      <c r="AW39" s="14">
        <v>1.0082474226804125E-3</v>
      </c>
      <c r="AX39" s="14">
        <v>1.0257731958762887E-3</v>
      </c>
      <c r="AY39" s="14">
        <v>1.043298969072165E-3</v>
      </c>
      <c r="AZ39" s="14">
        <v>1.0608247422680412E-3</v>
      </c>
      <c r="BA39" s="14">
        <v>1.0783505154639175E-3</v>
      </c>
      <c r="BB39" s="14">
        <v>1.095876288659794E-3</v>
      </c>
      <c r="BC39" s="14">
        <v>1.1134020618556702E-3</v>
      </c>
      <c r="BD39" s="14">
        <v>1.1309278350515465E-3</v>
      </c>
      <c r="BE39" s="14">
        <v>1.1484536082474227E-3</v>
      </c>
      <c r="BF39" s="14">
        <v>1.165979381443299E-3</v>
      </c>
      <c r="BG39" s="14">
        <v>1.1835051546391752E-3</v>
      </c>
      <c r="BH39" s="14">
        <v>1.2010309278350515E-3</v>
      </c>
      <c r="BI39" s="14">
        <v>1.2185567010309277E-3</v>
      </c>
      <c r="BJ39" s="14">
        <v>1.236082474226804E-3</v>
      </c>
      <c r="BK39" s="14">
        <v>1.2536082474226805E-3</v>
      </c>
      <c r="BL39" s="14">
        <v>1.2711340206185567E-3</v>
      </c>
      <c r="BM39" s="14">
        <v>1.288659793814433E-3</v>
      </c>
      <c r="BN39" s="14">
        <v>1.3061855670103092E-3</v>
      </c>
      <c r="BO39" s="14">
        <v>1.3237113402061855E-3</v>
      </c>
      <c r="BP39" s="14">
        <v>1.3412371134020619E-3</v>
      </c>
      <c r="BQ39" s="14">
        <v>1.3587628865979382E-3</v>
      </c>
      <c r="BR39" s="14">
        <v>1.3762886597938145E-3</v>
      </c>
      <c r="BS39" s="14">
        <v>1.3938144329896907E-3</v>
      </c>
      <c r="BT39" s="14">
        <v>1.411340206185567E-3</v>
      </c>
      <c r="BU39" s="14">
        <v>1.4288659793814432E-3</v>
      </c>
      <c r="BV39" s="14">
        <v>1.4463917525773195E-3</v>
      </c>
      <c r="BW39" s="14">
        <v>1.4639175257731957E-3</v>
      </c>
      <c r="BX39" s="14">
        <v>1.481443298969072E-3</v>
      </c>
      <c r="BY39" s="14">
        <v>1.4989690721649482E-3</v>
      </c>
      <c r="BZ39" s="14">
        <v>1.5164948453608247E-3</v>
      </c>
      <c r="CA39" s="14">
        <v>1.534020618556701E-3</v>
      </c>
      <c r="CB39" s="14">
        <v>1.5515463917525772E-3</v>
      </c>
      <c r="CC39" s="14">
        <v>1.5690721649484537E-3</v>
      </c>
      <c r="CD39" s="14">
        <v>1.5865979381443299E-3</v>
      </c>
      <c r="CE39" s="14">
        <v>1.6041237113402062E-3</v>
      </c>
      <c r="CF39" s="14">
        <v>1.6216494845360824E-3</v>
      </c>
      <c r="CG39" s="14">
        <v>1.6391752577319587E-3</v>
      </c>
      <c r="CH39" s="14">
        <v>1.656701030927835E-3</v>
      </c>
      <c r="CI39" s="14">
        <v>1.6742268041237112E-3</v>
      </c>
      <c r="CJ39" s="14">
        <v>1.6917525773195875E-3</v>
      </c>
      <c r="CK39" s="14">
        <v>1.7092783505154637E-3</v>
      </c>
      <c r="CL39" s="14">
        <v>1.72680412371134E-3</v>
      </c>
      <c r="CM39" s="14">
        <v>1.7443298969072164E-3</v>
      </c>
    </row>
    <row r="41" spans="1:91" x14ac:dyDescent="0.25">
      <c r="A41" s="15" t="s">
        <v>16</v>
      </c>
      <c r="B41" s="5">
        <v>0</v>
      </c>
      <c r="C41" s="5">
        <v>0</v>
      </c>
      <c r="D41" s="5">
        <v>0</v>
      </c>
      <c r="E41" s="5">
        <v>0</v>
      </c>
      <c r="F41" s="5">
        <v>0</v>
      </c>
      <c r="G41" s="5">
        <v>0</v>
      </c>
      <c r="H41" s="5">
        <v>0</v>
      </c>
      <c r="I41" s="5">
        <v>0</v>
      </c>
      <c r="J41" s="5">
        <v>0</v>
      </c>
      <c r="K41" s="5">
        <v>0</v>
      </c>
      <c r="L41" s="5">
        <v>0</v>
      </c>
      <c r="M41" s="5">
        <v>0</v>
      </c>
      <c r="N41" s="5">
        <v>0</v>
      </c>
      <c r="O41" s="5">
        <v>0</v>
      </c>
      <c r="P41" s="5">
        <v>0</v>
      </c>
      <c r="Q41" s="5">
        <v>0</v>
      </c>
      <c r="R41" s="5">
        <v>0</v>
      </c>
      <c r="S41" s="5">
        <v>0</v>
      </c>
      <c r="T41" s="5">
        <v>0</v>
      </c>
      <c r="U41" s="5">
        <v>0</v>
      </c>
      <c r="V41" s="5">
        <v>0</v>
      </c>
      <c r="W41" s="5">
        <v>0</v>
      </c>
      <c r="X41" s="5">
        <v>0</v>
      </c>
      <c r="Y41" s="5">
        <v>0</v>
      </c>
      <c r="Z41" s="5">
        <v>0</v>
      </c>
      <c r="AA41" s="5">
        <v>0</v>
      </c>
      <c r="AB41" s="5">
        <v>0</v>
      </c>
      <c r="AC41" s="5">
        <v>0</v>
      </c>
      <c r="AD41" s="5">
        <v>0</v>
      </c>
      <c r="AE41" s="5">
        <v>0</v>
      </c>
      <c r="AF41" s="19">
        <v>5.0675000000000008E-3</v>
      </c>
      <c r="AG41" s="19">
        <v>5.1450000000000003E-3</v>
      </c>
      <c r="AH41" s="19">
        <v>5.2225000000000006E-3</v>
      </c>
      <c r="AI41" s="19">
        <v>5.3000000000000009E-3</v>
      </c>
      <c r="AJ41" s="19">
        <v>5.3775000000000003E-3</v>
      </c>
      <c r="AK41" s="19">
        <v>5.4550000000000006E-3</v>
      </c>
      <c r="AL41" s="19">
        <v>5.532500000000001E-3</v>
      </c>
      <c r="AM41" s="19">
        <v>5.6100000000000004E-3</v>
      </c>
      <c r="AN41" s="19">
        <v>5.6874999999999998E-3</v>
      </c>
      <c r="AO41" s="19">
        <v>5.765000000000001E-3</v>
      </c>
      <c r="AP41" s="19">
        <v>5.8425000000000005E-3</v>
      </c>
      <c r="AQ41" s="19">
        <v>5.9199999999999999E-3</v>
      </c>
      <c r="AR41" s="19">
        <v>5.9975000000000011E-3</v>
      </c>
      <c r="AS41" s="19">
        <v>6.0750000000000005E-3</v>
      </c>
      <c r="AT41" s="19">
        <v>6.1525E-3</v>
      </c>
      <c r="AU41" s="19">
        <v>6.2300000000000003E-3</v>
      </c>
      <c r="AV41" s="19">
        <v>6.2575E-3</v>
      </c>
      <c r="AW41" s="19">
        <v>6.2850000000000007E-3</v>
      </c>
      <c r="AX41" s="19">
        <v>6.3125000000000004E-3</v>
      </c>
      <c r="AY41" s="19">
        <v>6.3400000000000001E-3</v>
      </c>
      <c r="AZ41" s="19">
        <v>6.3674999999999999E-3</v>
      </c>
      <c r="BA41" s="19">
        <v>6.3950000000000005E-3</v>
      </c>
      <c r="BB41" s="19">
        <v>6.4225000000000003E-3</v>
      </c>
      <c r="BC41" s="19">
        <v>6.45E-3</v>
      </c>
      <c r="BD41" s="19">
        <v>6.4774999999999998E-3</v>
      </c>
      <c r="BE41" s="19">
        <v>6.5050000000000004E-3</v>
      </c>
      <c r="BF41" s="19">
        <v>6.5325000000000001E-3</v>
      </c>
      <c r="BG41" s="19">
        <v>6.5599999999999999E-3</v>
      </c>
      <c r="BH41" s="19">
        <v>6.5875000000000005E-3</v>
      </c>
      <c r="BI41" s="19">
        <v>6.6150000000000002E-3</v>
      </c>
      <c r="BJ41" s="19">
        <v>6.6425E-3</v>
      </c>
      <c r="BK41" s="19">
        <v>6.6699999999999997E-3</v>
      </c>
      <c r="BL41" s="19">
        <v>6.6975000000000003E-3</v>
      </c>
      <c r="BM41" s="19">
        <v>6.7250000000000001E-3</v>
      </c>
      <c r="BN41" s="19">
        <v>6.7524999999999998E-3</v>
      </c>
      <c r="BO41" s="19">
        <v>6.7799999999999996E-3</v>
      </c>
      <c r="BP41" s="19">
        <v>6.8075000000000002E-3</v>
      </c>
      <c r="BQ41" s="19">
        <v>6.8349999999999999E-3</v>
      </c>
      <c r="BR41" s="19">
        <v>6.8624999999999997E-3</v>
      </c>
      <c r="BS41" s="19">
        <v>6.8900000000000003E-3</v>
      </c>
      <c r="BT41" s="19">
        <v>6.9175E-3</v>
      </c>
      <c r="BU41" s="19">
        <v>6.9449999999999998E-3</v>
      </c>
      <c r="BV41" s="19">
        <v>6.9724999999999995E-3</v>
      </c>
      <c r="BW41" s="19">
        <v>7.0000000000000001E-3</v>
      </c>
      <c r="BX41" s="19">
        <v>7.0274999999999999E-3</v>
      </c>
      <c r="BY41" s="19">
        <v>7.0549999999999996E-3</v>
      </c>
      <c r="BZ41" s="19">
        <v>7.0825000000000003E-3</v>
      </c>
      <c r="CA41" s="19">
        <v>7.11E-3</v>
      </c>
      <c r="CB41" s="19">
        <v>7.1374999999999997E-3</v>
      </c>
      <c r="CC41" s="19">
        <v>7.1649999999999995E-3</v>
      </c>
      <c r="CD41" s="19">
        <v>7.1925000000000001E-3</v>
      </c>
      <c r="CE41" s="19">
        <v>7.2199999999999999E-3</v>
      </c>
      <c r="CF41" s="19">
        <v>7.2474999999999996E-3</v>
      </c>
      <c r="CG41" s="19">
        <v>7.2750000000000002E-3</v>
      </c>
      <c r="CH41" s="19">
        <v>7.3025E-3</v>
      </c>
      <c r="CI41" s="19">
        <v>7.3299999999999997E-3</v>
      </c>
      <c r="CJ41" s="19">
        <v>7.3574999999999995E-3</v>
      </c>
      <c r="CK41" s="19">
        <v>7.3849999999999992E-3</v>
      </c>
      <c r="CL41" s="19">
        <v>7.4124999999999998E-3</v>
      </c>
      <c r="CM41" s="19">
        <v>7.4399999999999996E-3</v>
      </c>
    </row>
    <row r="42" spans="1:91" x14ac:dyDescent="0.25">
      <c r="A42" s="15" t="s">
        <v>1</v>
      </c>
      <c r="B42" s="5">
        <v>0</v>
      </c>
      <c r="C42" s="5">
        <v>0</v>
      </c>
      <c r="D42" s="5">
        <v>0</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19">
        <v>2.3129545454545456E-3</v>
      </c>
      <c r="AG42" s="19">
        <v>2.3440909090909094E-3</v>
      </c>
      <c r="AH42" s="19">
        <v>2.3752272727272728E-3</v>
      </c>
      <c r="AI42" s="19">
        <v>2.4063636363636366E-3</v>
      </c>
      <c r="AJ42" s="19">
        <v>2.4375000000000004E-3</v>
      </c>
      <c r="AK42" s="19">
        <v>2.4686363636363638E-3</v>
      </c>
      <c r="AL42" s="19">
        <v>2.4997727272727276E-3</v>
      </c>
      <c r="AM42" s="19">
        <v>2.5309090909090915E-3</v>
      </c>
      <c r="AN42" s="19">
        <v>2.5620454545454549E-3</v>
      </c>
      <c r="AO42" s="19">
        <v>2.5931818181818183E-3</v>
      </c>
      <c r="AP42" s="19">
        <v>2.6243181818181821E-3</v>
      </c>
      <c r="AQ42" s="19">
        <v>2.6554545454545459E-3</v>
      </c>
      <c r="AR42" s="19">
        <v>2.6865909090909093E-3</v>
      </c>
      <c r="AS42" s="19">
        <v>2.7177272727272731E-3</v>
      </c>
      <c r="AT42" s="19">
        <v>2.748863636363637E-3</v>
      </c>
      <c r="AU42" s="19">
        <v>2.7800000000000004E-3</v>
      </c>
      <c r="AV42" s="19">
        <v>2.7993181818181823E-3</v>
      </c>
      <c r="AW42" s="19">
        <v>2.8186363636363639E-3</v>
      </c>
      <c r="AX42" s="19">
        <v>2.8379545454545459E-3</v>
      </c>
      <c r="AY42" s="19">
        <v>2.8572727272727274E-3</v>
      </c>
      <c r="AZ42" s="19">
        <v>2.8765909090909094E-3</v>
      </c>
      <c r="BA42" s="19">
        <v>2.8959090909090913E-3</v>
      </c>
      <c r="BB42" s="19">
        <v>2.9152272727272729E-3</v>
      </c>
      <c r="BC42" s="19">
        <v>2.9345454545454549E-3</v>
      </c>
      <c r="BD42" s="19">
        <v>2.9538636363636368E-3</v>
      </c>
      <c r="BE42" s="19">
        <v>2.9731818181818184E-3</v>
      </c>
      <c r="BF42" s="19">
        <v>2.9925000000000004E-3</v>
      </c>
      <c r="BG42" s="19">
        <v>3.0118181818181819E-3</v>
      </c>
      <c r="BH42" s="19">
        <v>3.0311363636363639E-3</v>
      </c>
      <c r="BI42" s="19">
        <v>3.0504545454545459E-3</v>
      </c>
      <c r="BJ42" s="19">
        <v>3.0697727272727274E-3</v>
      </c>
      <c r="BK42" s="19">
        <v>3.0890909090909094E-3</v>
      </c>
      <c r="BL42" s="19">
        <v>3.1084090909090914E-3</v>
      </c>
      <c r="BM42" s="19">
        <v>3.1277272727272729E-3</v>
      </c>
      <c r="BN42" s="19">
        <v>3.1470454545454549E-3</v>
      </c>
      <c r="BO42" s="19">
        <v>3.1663636363636364E-3</v>
      </c>
      <c r="BP42" s="19">
        <v>3.1856818181818184E-3</v>
      </c>
      <c r="BQ42" s="19">
        <v>3.2050000000000004E-3</v>
      </c>
      <c r="BR42" s="19">
        <v>3.2243181818181819E-3</v>
      </c>
      <c r="BS42" s="19">
        <v>3.2436363636363639E-3</v>
      </c>
      <c r="BT42" s="19">
        <v>3.2629545454545454E-3</v>
      </c>
      <c r="BU42" s="19">
        <v>3.2822727272727274E-3</v>
      </c>
      <c r="BV42" s="19">
        <v>3.3015909090909094E-3</v>
      </c>
      <c r="BW42" s="19">
        <v>3.3209090909090909E-3</v>
      </c>
      <c r="BX42" s="19">
        <v>3.3402272727272729E-3</v>
      </c>
      <c r="BY42" s="19">
        <v>3.3595454545454545E-3</v>
      </c>
      <c r="BZ42" s="19">
        <v>3.3788636363636364E-3</v>
      </c>
      <c r="CA42" s="19">
        <v>3.3981818181818184E-3</v>
      </c>
      <c r="CB42" s="19">
        <v>3.4175E-3</v>
      </c>
      <c r="CC42" s="19">
        <v>3.4368181818181819E-3</v>
      </c>
      <c r="CD42" s="19">
        <v>3.4561363636363635E-3</v>
      </c>
      <c r="CE42" s="19">
        <v>3.4754545454545455E-3</v>
      </c>
      <c r="CF42" s="19">
        <v>3.4947727272727274E-3</v>
      </c>
      <c r="CG42" s="19">
        <v>3.5140909090909094E-3</v>
      </c>
      <c r="CH42" s="19">
        <v>3.533409090909091E-3</v>
      </c>
      <c r="CI42" s="19">
        <v>3.5527272727272729E-3</v>
      </c>
      <c r="CJ42" s="19">
        <v>3.5720454545454545E-3</v>
      </c>
      <c r="CK42" s="19">
        <v>3.5913636363636365E-3</v>
      </c>
      <c r="CL42" s="19">
        <v>3.6106818181818184E-3</v>
      </c>
      <c r="CM42" s="19">
        <v>3.63E-3</v>
      </c>
    </row>
    <row r="43" spans="1:91" x14ac:dyDescent="0.25">
      <c r="A43" s="15" t="s">
        <v>1</v>
      </c>
      <c r="B43" s="5">
        <v>0</v>
      </c>
      <c r="C43" s="5">
        <v>0</v>
      </c>
      <c r="D43" s="5">
        <v>0</v>
      </c>
      <c r="E43" s="5">
        <v>0</v>
      </c>
      <c r="F43" s="5">
        <v>0</v>
      </c>
      <c r="G43" s="5">
        <v>0</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0</v>
      </c>
      <c r="AC43" s="5">
        <v>0</v>
      </c>
      <c r="AD43" s="5">
        <v>0</v>
      </c>
      <c r="AE43" s="5">
        <v>0</v>
      </c>
      <c r="AF43" s="19">
        <v>3.4209090909090912E-3</v>
      </c>
      <c r="AG43" s="19">
        <v>3.4681818181818186E-3</v>
      </c>
      <c r="AH43" s="19">
        <v>3.5154545454545456E-3</v>
      </c>
      <c r="AI43" s="19">
        <v>3.562727272727273E-3</v>
      </c>
      <c r="AJ43" s="19">
        <v>3.6100000000000004E-3</v>
      </c>
      <c r="AK43" s="19">
        <v>3.6572727272727278E-3</v>
      </c>
      <c r="AL43" s="19">
        <v>3.7045454545454552E-3</v>
      </c>
      <c r="AM43" s="19">
        <v>3.7518181818181826E-3</v>
      </c>
      <c r="AN43" s="19">
        <v>3.7990909090909099E-3</v>
      </c>
      <c r="AO43" s="19">
        <v>3.8463636363636369E-3</v>
      </c>
      <c r="AP43" s="19">
        <v>3.8936363636363643E-3</v>
      </c>
      <c r="AQ43" s="19">
        <v>3.9409090909090913E-3</v>
      </c>
      <c r="AR43" s="19">
        <v>3.9881818181818187E-3</v>
      </c>
      <c r="AS43" s="19">
        <v>4.0354545454545461E-3</v>
      </c>
      <c r="AT43" s="19">
        <v>4.0827272727272735E-3</v>
      </c>
      <c r="AU43" s="19">
        <v>4.1300000000000009E-3</v>
      </c>
      <c r="AV43" s="19">
        <v>4.1579545454545463E-3</v>
      </c>
      <c r="AW43" s="19">
        <v>4.1859090909090917E-3</v>
      </c>
      <c r="AX43" s="19">
        <v>4.2138636363636371E-3</v>
      </c>
      <c r="AY43" s="19">
        <v>4.2418181818181825E-3</v>
      </c>
      <c r="AZ43" s="19">
        <v>4.269772727272728E-3</v>
      </c>
      <c r="BA43" s="19">
        <v>4.2977272727272734E-3</v>
      </c>
      <c r="BB43" s="19">
        <v>4.3256818181818188E-3</v>
      </c>
      <c r="BC43" s="19">
        <v>4.3536363636363642E-3</v>
      </c>
      <c r="BD43" s="19">
        <v>4.3815909090909096E-3</v>
      </c>
      <c r="BE43" s="19">
        <v>4.4095454545454551E-3</v>
      </c>
      <c r="BF43" s="19">
        <v>4.4375000000000005E-3</v>
      </c>
      <c r="BG43" s="19">
        <v>4.4654545454545459E-3</v>
      </c>
      <c r="BH43" s="19">
        <v>4.4934090909090913E-3</v>
      </c>
      <c r="BI43" s="19">
        <v>4.5213636363636367E-3</v>
      </c>
      <c r="BJ43" s="19">
        <v>4.5493181818181821E-3</v>
      </c>
      <c r="BK43" s="19">
        <v>4.5772727272727276E-3</v>
      </c>
      <c r="BL43" s="19">
        <v>4.605227272727273E-3</v>
      </c>
      <c r="BM43" s="19">
        <v>4.6331818181818184E-3</v>
      </c>
      <c r="BN43" s="19">
        <v>4.6611363636363638E-3</v>
      </c>
      <c r="BO43" s="19">
        <v>4.6890909090909101E-3</v>
      </c>
      <c r="BP43" s="19">
        <v>4.7170454545454547E-3</v>
      </c>
      <c r="BQ43" s="19">
        <v>4.745000000000001E-3</v>
      </c>
      <c r="BR43" s="19">
        <v>4.7729545454545455E-3</v>
      </c>
      <c r="BS43" s="19">
        <v>4.8009090909090918E-3</v>
      </c>
      <c r="BT43" s="19">
        <v>4.8288636363636372E-3</v>
      </c>
      <c r="BU43" s="19">
        <v>4.8568181818181826E-3</v>
      </c>
      <c r="BV43" s="19">
        <v>4.8847727272727281E-3</v>
      </c>
      <c r="BW43" s="19">
        <v>4.9127272727272735E-3</v>
      </c>
      <c r="BX43" s="19">
        <v>4.9406818181818189E-3</v>
      </c>
      <c r="BY43" s="19">
        <v>4.9686363636363643E-3</v>
      </c>
      <c r="BZ43" s="19">
        <v>4.9965909090909097E-3</v>
      </c>
      <c r="CA43" s="19">
        <v>5.0245454545454551E-3</v>
      </c>
      <c r="CB43" s="19">
        <v>5.0525000000000006E-3</v>
      </c>
      <c r="CC43" s="19">
        <v>5.080454545454546E-3</v>
      </c>
      <c r="CD43" s="19">
        <v>5.1084090909090914E-3</v>
      </c>
      <c r="CE43" s="19">
        <v>5.1363636363636368E-3</v>
      </c>
      <c r="CF43" s="19">
        <v>5.1643181818181822E-3</v>
      </c>
      <c r="CG43" s="19">
        <v>5.1922727272727277E-3</v>
      </c>
      <c r="CH43" s="19">
        <v>5.2202272727272731E-3</v>
      </c>
      <c r="CI43" s="19">
        <v>5.2481818181818185E-3</v>
      </c>
      <c r="CJ43" s="19">
        <v>5.2761363636363639E-3</v>
      </c>
      <c r="CK43" s="19">
        <v>5.3040909090909093E-3</v>
      </c>
      <c r="CL43" s="19">
        <v>5.3320454545454548E-3</v>
      </c>
      <c r="CM43" s="19">
        <v>5.3600000000000002E-3</v>
      </c>
    </row>
    <row r="44" spans="1:91" x14ac:dyDescent="0.25">
      <c r="A44" s="15" t="s">
        <v>1</v>
      </c>
      <c r="B44" s="5">
        <v>0</v>
      </c>
      <c r="C44" s="5">
        <v>0</v>
      </c>
      <c r="D44" s="5">
        <v>0</v>
      </c>
      <c r="E44" s="5">
        <v>0</v>
      </c>
      <c r="F44" s="5">
        <v>0</v>
      </c>
      <c r="G44" s="5">
        <v>0</v>
      </c>
      <c r="H44" s="5">
        <v>0</v>
      </c>
      <c r="I44" s="5">
        <v>0</v>
      </c>
      <c r="J44" s="5">
        <v>0</v>
      </c>
      <c r="K44" s="5">
        <v>0</v>
      </c>
      <c r="L44" s="5">
        <v>0</v>
      </c>
      <c r="M44" s="5">
        <v>0</v>
      </c>
      <c r="N44" s="5">
        <v>0</v>
      </c>
      <c r="O44" s="5">
        <v>0</v>
      </c>
      <c r="P44" s="5">
        <v>0</v>
      </c>
      <c r="Q44" s="5">
        <v>0</v>
      </c>
      <c r="R44" s="5">
        <v>0</v>
      </c>
      <c r="S44" s="5">
        <v>0</v>
      </c>
      <c r="T44" s="5">
        <v>0</v>
      </c>
      <c r="U44" s="5">
        <v>0</v>
      </c>
      <c r="V44" s="5">
        <v>0</v>
      </c>
      <c r="W44" s="5">
        <v>0</v>
      </c>
      <c r="X44" s="5">
        <v>0</v>
      </c>
      <c r="Y44" s="5">
        <v>0</v>
      </c>
      <c r="Z44" s="5">
        <v>0</v>
      </c>
      <c r="AA44" s="5">
        <v>0</v>
      </c>
      <c r="AB44" s="5">
        <v>0</v>
      </c>
      <c r="AC44" s="5">
        <v>0</v>
      </c>
      <c r="AD44" s="5">
        <v>0</v>
      </c>
      <c r="AE44" s="5">
        <v>0</v>
      </c>
      <c r="AF44" s="19">
        <v>1.4251346260975674E-3</v>
      </c>
      <c r="AG44" s="19">
        <v>1.4394010133432368E-3</v>
      </c>
      <c r="AH44" s="19">
        <v>1.4536674005889063E-3</v>
      </c>
      <c r="AI44" s="19">
        <v>1.4679337878345756E-3</v>
      </c>
      <c r="AJ44" s="19">
        <v>1.4822001750802451E-3</v>
      </c>
      <c r="AK44" s="19">
        <v>1.4964665623259145E-3</v>
      </c>
      <c r="AL44" s="19">
        <v>1.510732949571584E-3</v>
      </c>
      <c r="AM44" s="19">
        <v>1.5249993368172533E-3</v>
      </c>
      <c r="AN44" s="19">
        <v>1.5392657240629226E-3</v>
      </c>
      <c r="AO44" s="19">
        <v>1.5535321113085922E-3</v>
      </c>
      <c r="AP44" s="19">
        <v>1.5677984985542617E-3</v>
      </c>
      <c r="AQ44" s="19">
        <v>1.582064885799931E-3</v>
      </c>
      <c r="AR44" s="19">
        <v>1.5963312730456003E-3</v>
      </c>
      <c r="AS44" s="19">
        <v>1.6105976602912699E-3</v>
      </c>
      <c r="AT44" s="19">
        <v>1.6248640475369394E-3</v>
      </c>
      <c r="AU44" s="19">
        <v>1.6391304347826087E-3</v>
      </c>
      <c r="AV44" s="19">
        <v>1.6512056578914659E-3</v>
      </c>
      <c r="AW44" s="19">
        <v>1.6632808810003231E-3</v>
      </c>
      <c r="AX44" s="19">
        <v>1.6753561041091805E-3</v>
      </c>
      <c r="AY44" s="19">
        <v>1.6874313272180377E-3</v>
      </c>
      <c r="AZ44" s="19">
        <v>1.6995065503268949E-3</v>
      </c>
      <c r="BA44" s="19">
        <v>1.7115817734357521E-3</v>
      </c>
      <c r="BB44" s="19">
        <v>1.7236569965446095E-3</v>
      </c>
      <c r="BC44" s="19">
        <v>1.7357322196534667E-3</v>
      </c>
      <c r="BD44" s="19">
        <v>1.7478074427623239E-3</v>
      </c>
      <c r="BE44" s="19">
        <v>1.759882665871181E-3</v>
      </c>
      <c r="BF44" s="19">
        <v>1.7719578889800382E-3</v>
      </c>
      <c r="BG44" s="19">
        <v>1.7840331120888956E-3</v>
      </c>
      <c r="BH44" s="19">
        <v>1.7961083351977528E-3</v>
      </c>
      <c r="BI44" s="19">
        <v>1.80818355830661E-3</v>
      </c>
      <c r="BJ44" s="19">
        <v>1.8202587814154672E-3</v>
      </c>
      <c r="BK44" s="19">
        <v>1.8323340045243246E-3</v>
      </c>
      <c r="BL44" s="19">
        <v>1.8444092276331818E-3</v>
      </c>
      <c r="BM44" s="19">
        <v>1.856484450742039E-3</v>
      </c>
      <c r="BN44" s="19">
        <v>1.8685596738508962E-3</v>
      </c>
      <c r="BO44" s="19">
        <v>1.8806348969597534E-3</v>
      </c>
      <c r="BP44" s="19">
        <v>1.8927101200686108E-3</v>
      </c>
      <c r="BQ44" s="19">
        <v>1.904785343177468E-3</v>
      </c>
      <c r="BR44" s="19">
        <v>1.9168605662863252E-3</v>
      </c>
      <c r="BS44" s="19">
        <v>1.9289357893951826E-3</v>
      </c>
      <c r="BT44" s="19">
        <v>1.9410110125040398E-3</v>
      </c>
      <c r="BU44" s="19">
        <v>1.953086235612897E-3</v>
      </c>
      <c r="BV44" s="19">
        <v>1.9651614587217541E-3</v>
      </c>
      <c r="BW44" s="19">
        <v>1.9772366818306113E-3</v>
      </c>
      <c r="BX44" s="19">
        <v>1.9893119049394685E-3</v>
      </c>
      <c r="BY44" s="19">
        <v>2.0013871280483257E-3</v>
      </c>
      <c r="BZ44" s="19">
        <v>2.0134623511571829E-3</v>
      </c>
      <c r="CA44" s="19">
        <v>2.0255375742660405E-3</v>
      </c>
      <c r="CB44" s="19">
        <v>2.0376127973748977E-3</v>
      </c>
      <c r="CC44" s="19">
        <v>2.0496880204837549E-3</v>
      </c>
      <c r="CD44" s="19">
        <v>2.0617632435926121E-3</v>
      </c>
      <c r="CE44" s="19">
        <v>2.0738384667014693E-3</v>
      </c>
      <c r="CF44" s="19">
        <v>2.0859136898103265E-3</v>
      </c>
      <c r="CG44" s="19">
        <v>2.0979889129191837E-3</v>
      </c>
      <c r="CH44" s="19">
        <v>2.1100641360280409E-3</v>
      </c>
      <c r="CI44" s="19">
        <v>2.1221393591368985E-3</v>
      </c>
      <c r="CJ44" s="19">
        <v>2.1342145822457557E-3</v>
      </c>
      <c r="CK44" s="19">
        <v>2.1462898053546129E-3</v>
      </c>
      <c r="CL44" s="19">
        <v>2.1583650284634701E-3</v>
      </c>
      <c r="CM44" s="19">
        <v>2.1704402515723272E-3</v>
      </c>
    </row>
    <row r="45" spans="1:91" x14ac:dyDescent="0.25">
      <c r="A45" s="15" t="s">
        <v>1</v>
      </c>
      <c r="B45" s="5">
        <v>0</v>
      </c>
      <c r="C45" s="5">
        <v>0</v>
      </c>
      <c r="D45" s="5">
        <v>0</v>
      </c>
      <c r="E45" s="5">
        <v>0</v>
      </c>
      <c r="F45" s="5">
        <v>0</v>
      </c>
      <c r="G45" s="5">
        <v>0</v>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v>
      </c>
      <c r="AD45" s="5">
        <v>0</v>
      </c>
      <c r="AE45" s="5">
        <v>0</v>
      </c>
      <c r="AF45" s="19">
        <v>1.6577549140049139E-3</v>
      </c>
      <c r="AG45" s="19">
        <v>1.6804361179361179E-3</v>
      </c>
      <c r="AH45" s="19">
        <v>1.7031173218673219E-3</v>
      </c>
      <c r="AI45" s="19">
        <v>1.7257985257985258E-3</v>
      </c>
      <c r="AJ45" s="19">
        <v>1.7484797297297296E-3</v>
      </c>
      <c r="AK45" s="19">
        <v>1.7711609336609336E-3</v>
      </c>
      <c r="AL45" s="19">
        <v>1.7938421375921377E-3</v>
      </c>
      <c r="AM45" s="19">
        <v>1.8165233415233415E-3</v>
      </c>
      <c r="AN45" s="19">
        <v>1.8392045454545453E-3</v>
      </c>
      <c r="AO45" s="19">
        <v>1.8618857493857494E-3</v>
      </c>
      <c r="AP45" s="19">
        <v>1.8845669533169532E-3</v>
      </c>
      <c r="AQ45" s="19">
        <v>1.907248157248157E-3</v>
      </c>
      <c r="AR45" s="19">
        <v>1.9299293611793611E-3</v>
      </c>
      <c r="AS45" s="19">
        <v>1.9526105651105651E-3</v>
      </c>
      <c r="AT45" s="19">
        <v>1.9752917690417692E-3</v>
      </c>
      <c r="AU45" s="19">
        <v>1.9979729729729728E-3</v>
      </c>
      <c r="AV45" s="19">
        <v>2.0184735872235873E-3</v>
      </c>
      <c r="AW45" s="19">
        <v>2.0389742014742013E-3</v>
      </c>
      <c r="AX45" s="19">
        <v>2.0594748157248153E-3</v>
      </c>
      <c r="AY45" s="19">
        <v>2.0799754299754298E-3</v>
      </c>
      <c r="AZ45" s="19">
        <v>2.1004760442260443E-3</v>
      </c>
      <c r="BA45" s="19">
        <v>2.1209766584766583E-3</v>
      </c>
      <c r="BB45" s="19">
        <v>2.1414772727272723E-3</v>
      </c>
      <c r="BC45" s="19">
        <v>2.1619778869778868E-3</v>
      </c>
      <c r="BD45" s="19">
        <v>2.1824785012285013E-3</v>
      </c>
      <c r="BE45" s="19">
        <v>2.2029791154791153E-3</v>
      </c>
      <c r="BF45" s="19">
        <v>2.2234797297297293E-3</v>
      </c>
      <c r="BG45" s="19">
        <v>2.2439803439803438E-3</v>
      </c>
      <c r="BH45" s="19">
        <v>2.2644809582309583E-3</v>
      </c>
      <c r="BI45" s="19">
        <v>2.2849815724815723E-3</v>
      </c>
      <c r="BJ45" s="19">
        <v>2.3054821867321863E-3</v>
      </c>
      <c r="BK45" s="19">
        <v>2.3259828009828008E-3</v>
      </c>
      <c r="BL45" s="19">
        <v>2.3464834152334153E-3</v>
      </c>
      <c r="BM45" s="19">
        <v>2.3669840294840293E-3</v>
      </c>
      <c r="BN45" s="19">
        <v>2.3874846437346433E-3</v>
      </c>
      <c r="BO45" s="19">
        <v>2.4079852579852578E-3</v>
      </c>
      <c r="BP45" s="19">
        <v>2.4284858722358723E-3</v>
      </c>
      <c r="BQ45" s="19">
        <v>2.4489864864864863E-3</v>
      </c>
      <c r="BR45" s="19">
        <v>2.4694871007371003E-3</v>
      </c>
      <c r="BS45" s="19">
        <v>2.4899877149877148E-3</v>
      </c>
      <c r="BT45" s="19">
        <v>2.5104883292383293E-3</v>
      </c>
      <c r="BU45" s="19">
        <v>2.5309889434889433E-3</v>
      </c>
      <c r="BV45" s="19">
        <v>2.5514895577395573E-3</v>
      </c>
      <c r="BW45" s="19">
        <v>2.5719901719901718E-3</v>
      </c>
      <c r="BX45" s="19">
        <v>2.5924907862407863E-3</v>
      </c>
      <c r="BY45" s="19">
        <v>2.6129914004914003E-3</v>
      </c>
      <c r="BZ45" s="19">
        <v>2.6334920147420143E-3</v>
      </c>
      <c r="CA45" s="19">
        <v>2.6539926289926288E-3</v>
      </c>
      <c r="CB45" s="19">
        <v>2.6744932432432433E-3</v>
      </c>
      <c r="CC45" s="19">
        <v>2.6949938574938573E-3</v>
      </c>
      <c r="CD45" s="19">
        <v>2.7154944717444713E-3</v>
      </c>
      <c r="CE45" s="19">
        <v>2.7359950859950858E-3</v>
      </c>
      <c r="CF45" s="19">
        <v>2.7564957002457003E-3</v>
      </c>
      <c r="CG45" s="19">
        <v>2.7769963144963143E-3</v>
      </c>
      <c r="CH45" s="19">
        <v>2.7974969287469283E-3</v>
      </c>
      <c r="CI45" s="19">
        <v>2.8179975429975428E-3</v>
      </c>
      <c r="CJ45" s="19">
        <v>2.8384981572481573E-3</v>
      </c>
      <c r="CK45" s="19">
        <v>2.8589987714987713E-3</v>
      </c>
      <c r="CL45" s="19">
        <v>2.8794993857493853E-3</v>
      </c>
      <c r="CM45" s="19">
        <v>2.8999999999999998E-3</v>
      </c>
    </row>
    <row r="46" spans="1:91" x14ac:dyDescent="0.25">
      <c r="A46" s="15" t="s">
        <v>1</v>
      </c>
      <c r="B46" s="5">
        <v>0</v>
      </c>
      <c r="C46" s="5">
        <v>0</v>
      </c>
      <c r="D46" s="5">
        <v>0</v>
      </c>
      <c r="E46" s="5">
        <v>0</v>
      </c>
      <c r="F46" s="5">
        <v>0</v>
      </c>
      <c r="G46" s="5">
        <v>0</v>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c r="AA46" s="5">
        <v>0</v>
      </c>
      <c r="AB46" s="5">
        <v>0</v>
      </c>
      <c r="AC46" s="5">
        <v>0</v>
      </c>
      <c r="AD46" s="5">
        <v>0</v>
      </c>
      <c r="AE46" s="5">
        <v>0</v>
      </c>
      <c r="AF46" s="19">
        <v>6.1522727272727278E-2</v>
      </c>
      <c r="AG46" s="19">
        <v>6.1954545454545457E-2</v>
      </c>
      <c r="AH46" s="19">
        <v>6.2386363636363643E-2</v>
      </c>
      <c r="AI46" s="19">
        <v>6.2818181818181829E-2</v>
      </c>
      <c r="AJ46" s="19">
        <v>6.3250000000000001E-2</v>
      </c>
      <c r="AK46" s="19">
        <v>6.3681818181818187E-2</v>
      </c>
      <c r="AL46" s="19">
        <v>6.4113636363636373E-2</v>
      </c>
      <c r="AM46" s="19">
        <v>6.4545454545454545E-2</v>
      </c>
      <c r="AN46" s="19">
        <v>6.4977272727272731E-2</v>
      </c>
      <c r="AO46" s="19">
        <v>6.5409090909090917E-2</v>
      </c>
      <c r="AP46" s="19">
        <v>6.5840909090909089E-2</v>
      </c>
      <c r="AQ46" s="19">
        <v>6.6272727272727275E-2</v>
      </c>
      <c r="AR46" s="19">
        <v>6.6704545454545461E-2</v>
      </c>
      <c r="AS46" s="19">
        <v>6.7136363636363633E-2</v>
      </c>
      <c r="AT46" s="19">
        <v>6.7568181818181819E-2</v>
      </c>
      <c r="AU46" s="19">
        <v>6.8000000000000005E-2</v>
      </c>
      <c r="AV46" s="19">
        <v>6.881818181818182E-2</v>
      </c>
      <c r="AW46" s="19">
        <v>6.9636363636363635E-2</v>
      </c>
      <c r="AX46" s="19">
        <v>7.0454545454545464E-2</v>
      </c>
      <c r="AY46" s="19">
        <v>7.1272727272727279E-2</v>
      </c>
      <c r="AZ46" s="19">
        <v>7.2090909090909094E-2</v>
      </c>
      <c r="BA46" s="19">
        <v>7.290909090909091E-2</v>
      </c>
      <c r="BB46" s="19">
        <v>7.3727272727272725E-2</v>
      </c>
      <c r="BC46" s="19">
        <v>7.4545454545454554E-2</v>
      </c>
      <c r="BD46" s="19">
        <v>7.5363636363636369E-2</v>
      </c>
      <c r="BE46" s="19">
        <v>7.6181818181818184E-2</v>
      </c>
      <c r="BF46" s="19">
        <v>7.6999999999999999E-2</v>
      </c>
      <c r="BG46" s="19">
        <v>7.7818181818181814E-2</v>
      </c>
      <c r="BH46" s="19">
        <v>7.8636363636363643E-2</v>
      </c>
      <c r="BI46" s="19">
        <v>7.9454545454545458E-2</v>
      </c>
      <c r="BJ46" s="19">
        <v>8.0272727272727273E-2</v>
      </c>
      <c r="BK46" s="19">
        <v>8.1090909090909088E-2</v>
      </c>
      <c r="BL46" s="19">
        <v>8.1909090909090904E-2</v>
      </c>
      <c r="BM46" s="19">
        <v>8.2727272727272733E-2</v>
      </c>
      <c r="BN46" s="19">
        <v>8.3545454545454548E-2</v>
      </c>
      <c r="BO46" s="19">
        <v>8.4363636363636363E-2</v>
      </c>
      <c r="BP46" s="19">
        <v>8.5181818181818178E-2</v>
      </c>
      <c r="BQ46" s="19">
        <v>8.5999999999999993E-2</v>
      </c>
      <c r="BR46" s="19">
        <v>8.6818181818181822E-2</v>
      </c>
      <c r="BS46" s="19">
        <v>8.7636363636363637E-2</v>
      </c>
      <c r="BT46" s="19">
        <v>8.8454545454545452E-2</v>
      </c>
      <c r="BU46" s="19">
        <v>8.9272727272727267E-2</v>
      </c>
      <c r="BV46" s="19">
        <v>9.0090909090909083E-2</v>
      </c>
      <c r="BW46" s="19">
        <v>9.0909090909090912E-2</v>
      </c>
      <c r="BX46" s="19">
        <v>9.1727272727272727E-2</v>
      </c>
      <c r="BY46" s="19">
        <v>9.2545454545454542E-2</v>
      </c>
      <c r="BZ46" s="19">
        <v>9.3363636363636357E-2</v>
      </c>
      <c r="CA46" s="19">
        <v>9.4181818181818172E-2</v>
      </c>
      <c r="CB46" s="19">
        <v>9.5000000000000001E-2</v>
      </c>
      <c r="CC46" s="19">
        <v>9.5818181818181816E-2</v>
      </c>
      <c r="CD46" s="19">
        <v>9.6636363636363631E-2</v>
      </c>
      <c r="CE46" s="19">
        <v>9.7454545454545446E-2</v>
      </c>
      <c r="CF46" s="19">
        <v>9.8272727272727262E-2</v>
      </c>
      <c r="CG46" s="19">
        <v>9.9090909090909091E-2</v>
      </c>
      <c r="CH46" s="19">
        <v>9.9909090909090906E-2</v>
      </c>
      <c r="CI46" s="19">
        <v>0.10072727272727272</v>
      </c>
      <c r="CJ46" s="19">
        <v>0.10154545454545455</v>
      </c>
      <c r="CK46" s="19">
        <v>0.10236363636363635</v>
      </c>
      <c r="CL46" s="19">
        <v>0.10318181818181818</v>
      </c>
      <c r="CM46" s="19">
        <v>0.104</v>
      </c>
    </row>
    <row r="47" spans="1:91" x14ac:dyDescent="0.25">
      <c r="A47" s="15"/>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row>
    <row r="48" spans="1:91" x14ac:dyDescent="0.25">
      <c r="A48" s="15" t="s">
        <v>17</v>
      </c>
      <c r="B48" s="5">
        <v>0</v>
      </c>
      <c r="C48" s="5">
        <v>0</v>
      </c>
      <c r="D48" s="5">
        <v>0</v>
      </c>
      <c r="E48" s="5">
        <v>0</v>
      </c>
      <c r="F48" s="5">
        <v>0</v>
      </c>
      <c r="G48" s="5">
        <v>0</v>
      </c>
      <c r="H48" s="5">
        <v>0</v>
      </c>
      <c r="I48" s="5">
        <v>0</v>
      </c>
      <c r="J48" s="5">
        <v>0</v>
      </c>
      <c r="K48" s="5">
        <v>0</v>
      </c>
      <c r="L48" s="5">
        <v>0</v>
      </c>
      <c r="M48" s="5">
        <v>0</v>
      </c>
      <c r="N48" s="5">
        <v>0</v>
      </c>
      <c r="O48" s="5">
        <v>0</v>
      </c>
      <c r="P48" s="5">
        <v>0</v>
      </c>
      <c r="Q48" s="5">
        <v>0</v>
      </c>
      <c r="R48" s="5">
        <v>0</v>
      </c>
      <c r="S48" s="5">
        <v>0</v>
      </c>
      <c r="T48" s="5">
        <v>0</v>
      </c>
      <c r="U48" s="5">
        <v>0</v>
      </c>
      <c r="V48" s="5">
        <v>0</v>
      </c>
      <c r="W48" s="5">
        <v>0</v>
      </c>
      <c r="X48" s="5">
        <v>0</v>
      </c>
      <c r="Y48" s="5">
        <v>0</v>
      </c>
      <c r="Z48" s="5">
        <v>0</v>
      </c>
      <c r="AA48" s="5">
        <v>0</v>
      </c>
      <c r="AB48" s="5">
        <v>0</v>
      </c>
      <c r="AC48" s="5">
        <v>0</v>
      </c>
      <c r="AD48" s="5">
        <v>0</v>
      </c>
      <c r="AE48" s="5">
        <v>0</v>
      </c>
      <c r="AF48" s="19">
        <v>3.0288636363636368E-3</v>
      </c>
      <c r="AG48" s="19">
        <v>3.1022727272727278E-3</v>
      </c>
      <c r="AH48" s="19">
        <v>3.1756818181818188E-3</v>
      </c>
      <c r="AI48" s="19">
        <v>3.2490909090909098E-3</v>
      </c>
      <c r="AJ48" s="19">
        <v>3.3225000000000008E-3</v>
      </c>
      <c r="AK48" s="19">
        <v>3.3959090909090918E-3</v>
      </c>
      <c r="AL48" s="19">
        <v>3.4693181818181828E-3</v>
      </c>
      <c r="AM48" s="19">
        <v>3.5427272727272738E-3</v>
      </c>
      <c r="AN48" s="19">
        <v>3.6161363636363648E-3</v>
      </c>
      <c r="AO48" s="19">
        <v>3.6895454545454558E-3</v>
      </c>
      <c r="AP48" s="19">
        <v>3.7629545454545468E-3</v>
      </c>
      <c r="AQ48" s="19">
        <v>3.8363636363636378E-3</v>
      </c>
      <c r="AR48" s="19">
        <v>3.9097727272727287E-3</v>
      </c>
      <c r="AS48" s="19">
        <v>3.9831818181818197E-3</v>
      </c>
      <c r="AT48" s="19">
        <v>4.0565909090909107E-3</v>
      </c>
      <c r="AU48" s="19">
        <v>4.1300000000000009E-3</v>
      </c>
      <c r="AV48" s="19">
        <v>4.1579545454545463E-3</v>
      </c>
      <c r="AW48" s="19">
        <v>4.1859090909090917E-3</v>
      </c>
      <c r="AX48" s="19">
        <v>4.2138636363636371E-3</v>
      </c>
      <c r="AY48" s="19">
        <v>4.2418181818181825E-3</v>
      </c>
      <c r="AZ48" s="19">
        <v>4.269772727272728E-3</v>
      </c>
      <c r="BA48" s="19">
        <v>4.2977272727272734E-3</v>
      </c>
      <c r="BB48" s="19">
        <v>4.3256818181818188E-3</v>
      </c>
      <c r="BC48" s="19">
        <v>4.3536363636363642E-3</v>
      </c>
      <c r="BD48" s="19">
        <v>4.3815909090909096E-3</v>
      </c>
      <c r="BE48" s="19">
        <v>4.4095454545454551E-3</v>
      </c>
      <c r="BF48" s="19">
        <v>4.4375000000000005E-3</v>
      </c>
      <c r="BG48" s="19">
        <v>4.4654545454545459E-3</v>
      </c>
      <c r="BH48" s="19">
        <v>4.4934090909090913E-3</v>
      </c>
      <c r="BI48" s="19">
        <v>4.5213636363636367E-3</v>
      </c>
      <c r="BJ48" s="19">
        <v>4.5493181818181821E-3</v>
      </c>
      <c r="BK48" s="19">
        <v>4.5772727272727276E-3</v>
      </c>
      <c r="BL48" s="19">
        <v>4.605227272727273E-3</v>
      </c>
      <c r="BM48" s="19">
        <v>4.6331818181818184E-3</v>
      </c>
      <c r="BN48" s="19">
        <v>4.6611363636363638E-3</v>
      </c>
      <c r="BO48" s="19">
        <v>4.6890909090909101E-3</v>
      </c>
      <c r="BP48" s="19">
        <v>4.7170454545454547E-3</v>
      </c>
      <c r="BQ48" s="19">
        <v>4.745000000000001E-3</v>
      </c>
      <c r="BR48" s="19">
        <v>4.7729545454545455E-3</v>
      </c>
      <c r="BS48" s="19">
        <v>4.8009090909090918E-3</v>
      </c>
      <c r="BT48" s="19">
        <v>4.8288636363636372E-3</v>
      </c>
      <c r="BU48" s="19">
        <v>4.8568181818181826E-3</v>
      </c>
      <c r="BV48" s="19">
        <v>4.8847727272727281E-3</v>
      </c>
      <c r="BW48" s="19">
        <v>4.9127272727272735E-3</v>
      </c>
      <c r="BX48" s="19">
        <v>4.9406818181818189E-3</v>
      </c>
      <c r="BY48" s="19">
        <v>4.9686363636363643E-3</v>
      </c>
      <c r="BZ48" s="19">
        <v>4.9965909090909097E-3</v>
      </c>
      <c r="CA48" s="19">
        <v>5.0245454545454551E-3</v>
      </c>
      <c r="CB48" s="19">
        <v>5.0525000000000006E-3</v>
      </c>
      <c r="CC48" s="19">
        <v>5.080454545454546E-3</v>
      </c>
      <c r="CD48" s="19">
        <v>5.1084090909090914E-3</v>
      </c>
      <c r="CE48" s="19">
        <v>5.1363636363636368E-3</v>
      </c>
      <c r="CF48" s="19">
        <v>5.1643181818181822E-3</v>
      </c>
      <c r="CG48" s="19">
        <v>5.1922727272727277E-3</v>
      </c>
      <c r="CH48" s="19">
        <v>5.2202272727272731E-3</v>
      </c>
      <c r="CI48" s="19">
        <v>5.2481818181818185E-3</v>
      </c>
      <c r="CJ48" s="19">
        <v>5.2761363636363639E-3</v>
      </c>
      <c r="CK48" s="19">
        <v>5.3040909090909093E-3</v>
      </c>
      <c r="CL48" s="19">
        <v>5.3320454545454548E-3</v>
      </c>
      <c r="CM48" s="19">
        <v>5.3600000000000002E-3</v>
      </c>
    </row>
    <row r="49" spans="1:91" x14ac:dyDescent="0.25">
      <c r="A49" s="15"/>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row>
    <row r="50" spans="1:91" x14ac:dyDescent="0.25">
      <c r="A50" s="15" t="s">
        <v>18</v>
      </c>
      <c r="B50" s="5">
        <v>0</v>
      </c>
      <c r="C50" s="5">
        <v>0</v>
      </c>
      <c r="D50" s="5">
        <v>0</v>
      </c>
      <c r="E50" s="5">
        <v>0</v>
      </c>
      <c r="F50" s="5">
        <v>0</v>
      </c>
      <c r="G50" s="5">
        <v>0</v>
      </c>
      <c r="H50" s="5">
        <v>0</v>
      </c>
      <c r="I50" s="5">
        <v>0</v>
      </c>
      <c r="J50" s="5">
        <v>0</v>
      </c>
      <c r="K50" s="5">
        <v>0</v>
      </c>
      <c r="L50" s="5">
        <v>0</v>
      </c>
      <c r="M50" s="5">
        <v>0</v>
      </c>
      <c r="N50" s="5">
        <v>0</v>
      </c>
      <c r="O50" s="5">
        <v>0</v>
      </c>
      <c r="P50" s="5">
        <v>0</v>
      </c>
      <c r="Q50" s="5">
        <v>0</v>
      </c>
      <c r="R50" s="5">
        <v>0</v>
      </c>
      <c r="S50" s="5">
        <v>0</v>
      </c>
      <c r="T50" s="5">
        <v>0</v>
      </c>
      <c r="U50" s="5">
        <v>0</v>
      </c>
      <c r="V50" s="5">
        <v>0</v>
      </c>
      <c r="W50" s="5">
        <v>0</v>
      </c>
      <c r="X50" s="5">
        <v>0</v>
      </c>
      <c r="Y50" s="5">
        <v>0</v>
      </c>
      <c r="Z50" s="5">
        <v>0</v>
      </c>
      <c r="AA50" s="5">
        <v>0</v>
      </c>
      <c r="AB50" s="5">
        <v>0</v>
      </c>
      <c r="AC50" s="5">
        <v>0</v>
      </c>
      <c r="AD50" s="5">
        <v>0</v>
      </c>
      <c r="AE50" s="5">
        <v>0</v>
      </c>
      <c r="AF50" s="19">
        <v>8.6618671127481966E-4</v>
      </c>
      <c r="AG50" s="19">
        <v>8.7332065560907562E-4</v>
      </c>
      <c r="AH50" s="19">
        <v>8.8045459994333169E-4</v>
      </c>
      <c r="AI50" s="19">
        <v>8.8758854427758765E-4</v>
      </c>
      <c r="AJ50" s="19">
        <v>8.9472248861184372E-4</v>
      </c>
      <c r="AK50" s="19">
        <v>9.0185643294609969E-4</v>
      </c>
      <c r="AL50" s="19">
        <v>9.0899037728035576E-4</v>
      </c>
      <c r="AM50" s="19">
        <v>9.1612432161461172E-4</v>
      </c>
      <c r="AN50" s="19">
        <v>9.2325826594886768E-4</v>
      </c>
      <c r="AO50" s="19">
        <v>9.3039221028312375E-4</v>
      </c>
      <c r="AP50" s="19">
        <v>9.3752615461737982E-4</v>
      </c>
      <c r="AQ50" s="19">
        <v>9.4466009895163578E-4</v>
      </c>
      <c r="AR50" s="19">
        <v>9.5179404328589175E-4</v>
      </c>
      <c r="AS50" s="19">
        <v>9.5892798762014782E-4</v>
      </c>
      <c r="AT50" s="19">
        <v>9.6606193195440389E-4</v>
      </c>
      <c r="AU50" s="19">
        <v>9.7319587628865985E-4</v>
      </c>
      <c r="AV50" s="19">
        <v>9.9072164948453621E-4</v>
      </c>
      <c r="AW50" s="19">
        <v>1.0082474226804125E-3</v>
      </c>
      <c r="AX50" s="19">
        <v>1.0257731958762887E-3</v>
      </c>
      <c r="AY50" s="19">
        <v>1.043298969072165E-3</v>
      </c>
      <c r="AZ50" s="19">
        <v>1.0608247422680412E-3</v>
      </c>
      <c r="BA50" s="19">
        <v>1.0783505154639175E-3</v>
      </c>
      <c r="BB50" s="19">
        <v>1.095876288659794E-3</v>
      </c>
      <c r="BC50" s="19">
        <v>1.1134020618556702E-3</v>
      </c>
      <c r="BD50" s="19">
        <v>1.1309278350515465E-3</v>
      </c>
      <c r="BE50" s="19">
        <v>1.1484536082474227E-3</v>
      </c>
      <c r="BF50" s="19">
        <v>1.165979381443299E-3</v>
      </c>
      <c r="BG50" s="19">
        <v>1.1835051546391752E-3</v>
      </c>
      <c r="BH50" s="19">
        <v>1.2010309278350515E-3</v>
      </c>
      <c r="BI50" s="19">
        <v>1.2185567010309277E-3</v>
      </c>
      <c r="BJ50" s="19">
        <v>1.236082474226804E-3</v>
      </c>
      <c r="BK50" s="19">
        <v>1.2536082474226805E-3</v>
      </c>
      <c r="BL50" s="19">
        <v>1.2711340206185567E-3</v>
      </c>
      <c r="BM50" s="19">
        <v>1.288659793814433E-3</v>
      </c>
      <c r="BN50" s="19">
        <v>1.3061855670103092E-3</v>
      </c>
      <c r="BO50" s="19">
        <v>1.3237113402061855E-3</v>
      </c>
      <c r="BP50" s="19">
        <v>1.3412371134020619E-3</v>
      </c>
      <c r="BQ50" s="19">
        <v>1.3587628865979382E-3</v>
      </c>
      <c r="BR50" s="19">
        <v>1.3762886597938145E-3</v>
      </c>
      <c r="BS50" s="19">
        <v>1.3938144329896907E-3</v>
      </c>
      <c r="BT50" s="19">
        <v>1.411340206185567E-3</v>
      </c>
      <c r="BU50" s="19">
        <v>1.4288659793814432E-3</v>
      </c>
      <c r="BV50" s="19">
        <v>1.4463917525773195E-3</v>
      </c>
      <c r="BW50" s="19">
        <v>1.4639175257731957E-3</v>
      </c>
      <c r="BX50" s="19">
        <v>1.481443298969072E-3</v>
      </c>
      <c r="BY50" s="19">
        <v>1.4989690721649482E-3</v>
      </c>
      <c r="BZ50" s="19">
        <v>1.5164948453608247E-3</v>
      </c>
      <c r="CA50" s="19">
        <v>1.534020618556701E-3</v>
      </c>
      <c r="CB50" s="19">
        <v>1.5515463917525772E-3</v>
      </c>
      <c r="CC50" s="19">
        <v>1.5690721649484537E-3</v>
      </c>
      <c r="CD50" s="19">
        <v>1.5865979381443299E-3</v>
      </c>
      <c r="CE50" s="19">
        <v>1.6041237113402062E-3</v>
      </c>
      <c r="CF50" s="19">
        <v>1.6216494845360824E-3</v>
      </c>
      <c r="CG50" s="19">
        <v>1.6391752577319587E-3</v>
      </c>
      <c r="CH50" s="19">
        <v>1.656701030927835E-3</v>
      </c>
      <c r="CI50" s="19">
        <v>1.6742268041237112E-3</v>
      </c>
      <c r="CJ50" s="19">
        <v>1.6917525773195875E-3</v>
      </c>
      <c r="CK50" s="19">
        <v>1.7092783505154637E-3</v>
      </c>
      <c r="CL50" s="19">
        <v>1.72680412371134E-3</v>
      </c>
      <c r="CM50" s="19">
        <v>1.7443298969072164E-3</v>
      </c>
    </row>
    <row r="52" spans="1:91" x14ac:dyDescent="0.25">
      <c r="A52" s="25" t="s">
        <v>33</v>
      </c>
      <c r="B52" s="5">
        <f>'WAO Scenario Ag'!B23</f>
        <v>0</v>
      </c>
      <c r="C52" s="5">
        <f>'WAO Scenario Ag'!C23</f>
        <v>0</v>
      </c>
      <c r="D52" s="5">
        <f>'WAO Scenario Ag'!D23</f>
        <v>0</v>
      </c>
      <c r="E52" s="5">
        <f>'WAO Scenario Ag'!E23</f>
        <v>0</v>
      </c>
      <c r="F52" s="5">
        <f>'WAO Scenario Ag'!F23</f>
        <v>0</v>
      </c>
      <c r="G52" s="5">
        <f>'WAO Scenario Ag'!G23</f>
        <v>0</v>
      </c>
      <c r="H52" s="5">
        <f>'WAO Scenario Ag'!H23</f>
        <v>0</v>
      </c>
      <c r="I52" s="5">
        <f>'WAO Scenario Ag'!I23</f>
        <v>0</v>
      </c>
      <c r="J52" s="5">
        <f>'WAO Scenario Ag'!J23</f>
        <v>0</v>
      </c>
      <c r="K52" s="5">
        <f>'WAO Scenario Ag'!K23</f>
        <v>0</v>
      </c>
      <c r="L52" s="5">
        <f>'WAO Scenario Ag'!L23</f>
        <v>0</v>
      </c>
      <c r="M52" s="5">
        <f>'WAO Scenario Ag'!M23</f>
        <v>0</v>
      </c>
      <c r="N52" s="5">
        <f>'WAO Scenario Ag'!N23</f>
        <v>0</v>
      </c>
      <c r="O52" s="5">
        <f>'WAO Scenario Ag'!O23</f>
        <v>0</v>
      </c>
      <c r="P52" s="5">
        <f>'WAO Scenario Ag'!P23</f>
        <v>0</v>
      </c>
      <c r="Q52" s="5">
        <f>'WAO Scenario Ag'!Q23</f>
        <v>0</v>
      </c>
      <c r="R52" s="5">
        <f>'WAO Scenario Ag'!R23</f>
        <v>0</v>
      </c>
      <c r="S52" s="5">
        <f>'WAO Scenario Ag'!S23</f>
        <v>0</v>
      </c>
      <c r="T52" s="5">
        <f>'WAO Scenario Ag'!T23</f>
        <v>0</v>
      </c>
      <c r="U52" s="5">
        <f>'WAO Scenario Ag'!U23</f>
        <v>0</v>
      </c>
      <c r="V52" s="5">
        <f>'WAO Scenario Ag'!V23</f>
        <v>0</v>
      </c>
      <c r="W52" s="5">
        <f>'WAO Scenario Ag'!W23</f>
        <v>0</v>
      </c>
      <c r="X52" s="5">
        <f>'WAO Scenario Ag'!X23</f>
        <v>0</v>
      </c>
      <c r="Y52" s="5">
        <f>'WAO Scenario Ag'!Y23</f>
        <v>0</v>
      </c>
      <c r="Z52" s="5">
        <f>'WAO Scenario Ag'!Z23</f>
        <v>0</v>
      </c>
      <c r="AA52" s="5">
        <f>'WAO Scenario Ag'!AA23</f>
        <v>0</v>
      </c>
      <c r="AB52" s="5">
        <f>'WAO Scenario Ag'!AB23</f>
        <v>0</v>
      </c>
      <c r="AC52" s="5">
        <f>'WAO Scenario Ag'!AC23</f>
        <v>0</v>
      </c>
      <c r="AD52" s="5">
        <f>'WAO Scenario Ag'!AD23</f>
        <v>0</v>
      </c>
      <c r="AE52" s="5">
        <f>'WAO Scenario Ag'!AE23</f>
        <v>0</v>
      </c>
      <c r="AF52" s="42">
        <f>'WAO Scenario Ag'!AF23</f>
        <v>264298.13384870189</v>
      </c>
      <c r="AG52" s="42">
        <f>'WAO Scenario Ag'!AG23</f>
        <v>520633.93324715138</v>
      </c>
      <c r="AH52" s="42">
        <f>'WAO Scenario Ag'!AH23</f>
        <v>769361.87263473251</v>
      </c>
      <c r="AI52" s="42">
        <f>'WAO Scenario Ag'!AI23</f>
        <v>1010815.693040224</v>
      </c>
      <c r="AJ52" s="42">
        <f>'WAO Scenario Ag'!AJ23</f>
        <v>1245309.8961211501</v>
      </c>
      <c r="AK52" s="42">
        <f>'WAO Scenario Ag'!AK23</f>
        <v>1473141.1108468894</v>
      </c>
      <c r="AL52" s="42">
        <f>'WAO Scenario Ag'!AL23</f>
        <v>1694589.3453137057</v>
      </c>
      <c r="AM52" s="42">
        <f>'WAO Scenario Ag'!AM23</f>
        <v>1909919.13479971</v>
      </c>
      <c r="AN52" s="42">
        <f>'WAO Scenario Ag'!AN23</f>
        <v>2119380.5959568662</v>
      </c>
      <c r="AO52" s="42">
        <f>'WAO Scenario Ag'!AO23</f>
        <v>2323210.3959727613</v>
      </c>
      <c r="AP52" s="42">
        <f>'WAO Scenario Ag'!AP23</f>
        <v>2528030.7295535938</v>
      </c>
      <c r="AQ52" s="42">
        <f>'WAO Scenario Ag'!AQ23</f>
        <v>3025243.1509060082</v>
      </c>
      <c r="AR52" s="42">
        <f>'WAO Scenario Ag'!AR23</f>
        <v>3914439.356290834</v>
      </c>
      <c r="AS52" s="42">
        <f>'WAO Scenario Ag'!AS23</f>
        <v>4710896.3697284199</v>
      </c>
      <c r="AT52" s="42">
        <f>'WAO Scenario Ag'!AT23</f>
        <v>5525197.0183615312</v>
      </c>
      <c r="AU52" s="42">
        <f>'WAO Scenario Ag'!AU23</f>
        <v>7231647.8086248199</v>
      </c>
      <c r="AV52" s="42">
        <f>'WAO Scenario Ag'!AV23</f>
        <v>10062408.411293173</v>
      </c>
      <c r="AW52" s="42">
        <f>'WAO Scenario Ag'!AW23</f>
        <v>13916648.357646741</v>
      </c>
      <c r="AX52" s="42">
        <f>'WAO Scenario Ag'!AX23</f>
        <v>14989749.552085569</v>
      </c>
      <c r="AY52" s="42">
        <f>'WAO Scenario Ag'!AY23</f>
        <v>16052595.374386443</v>
      </c>
      <c r="AZ52" s="42">
        <f>'WAO Scenario Ag'!AZ23</f>
        <v>17105346.28058739</v>
      </c>
      <c r="BA52" s="42">
        <f>'WAO Scenario Ag'!BA23</f>
        <v>18148158.904882386</v>
      </c>
      <c r="BB52" s="42">
        <f>'WAO Scenario Ag'!BB23</f>
        <v>19181186.192052074</v>
      </c>
      <c r="BC52" s="42">
        <f>'WAO Scenario Ag'!BC23</f>
        <v>20204577.523639631</v>
      </c>
      <c r="BD52" s="42">
        <f>'WAO Scenario Ag'!BD23</f>
        <v>21218478.838245515</v>
      </c>
      <c r="BE52" s="42">
        <f>'WAO Scenario Ag'!BE23</f>
        <v>22223032.746287949</v>
      </c>
      <c r="BF52" s="42">
        <f>'WAO Scenario Ag'!BF23</f>
        <v>23218378.639551979</v>
      </c>
      <c r="BG52" s="42">
        <f>'WAO Scenario Ag'!BG23</f>
        <v>24204652.795827199</v>
      </c>
      <c r="BH52" s="42">
        <f>'WAO Scenario Ag'!BH23</f>
        <v>25181987.072291125</v>
      </c>
      <c r="BI52" s="42">
        <f>'WAO Scenario Ag'!BI23</f>
        <v>25064612.762262426</v>
      </c>
      <c r="BJ52" s="42">
        <f>'WAO Scenario Ag'!BJ23</f>
        <v>24948435.012843952</v>
      </c>
      <c r="BK52" s="42">
        <f>'WAO Scenario Ag'!BK23</f>
        <v>24833433.107161608</v>
      </c>
      <c r="BL52" s="42">
        <f>'WAO Scenario Ag'!BL23</f>
        <v>24719586.874522451</v>
      </c>
      <c r="BM52" s="42">
        <f>'WAO Scenario Ag'!BM23</f>
        <v>24606876.670366194</v>
      </c>
      <c r="BN52" s="42">
        <f>'WAO Scenario Ag'!BN23</f>
        <v>24495283.357162248</v>
      </c>
      <c r="BO52" s="42">
        <f>'WAO Scenario Ag'!BO23</f>
        <v>24384788.286198508</v>
      </c>
      <c r="BP52" s="42">
        <f>'WAO Scenario Ag'!BP23</f>
        <v>24275373.280211478</v>
      </c>
      <c r="BQ52" s="42">
        <f>'WAO Scenario Ag'!BQ23</f>
        <v>24167020.616810769</v>
      </c>
      <c r="BR52" s="42">
        <f>'WAO Scenario Ag'!BR23</f>
        <v>24059713.012653835</v>
      </c>
      <c r="BS52" s="42">
        <f>'WAO Scenario Ag'!BS23</f>
        <v>23953433.608330019</v>
      </c>
      <c r="BT52" s="42">
        <f>'WAO Scenario Ag'!BT23</f>
        <v>23848165.953915156</v>
      </c>
      <c r="BU52" s="42">
        <f>'WAO Scenario Ag'!BU23</f>
        <v>23743893.99516074</v>
      </c>
      <c r="BV52" s="42">
        <f>'WAO Scenario Ag'!BV23</f>
        <v>23640602.060283817</v>
      </c>
      <c r="BW52" s="42">
        <f>'WAO Scenario Ag'!BW23</f>
        <v>23538274.847325832</v>
      </c>
      <c r="BX52" s="42">
        <f>'WAO Scenario Ag'!BX23</f>
        <v>23436897.412050642</v>
      </c>
      <c r="BY52" s="42">
        <f>'WAO Scenario Ag'!BY23</f>
        <v>23336455.156353746</v>
      </c>
      <c r="BZ52" s="42">
        <f>'WAO Scenario Ag'!BZ23</f>
        <v>23236933.81715643</v>
      </c>
      <c r="CA52" s="42">
        <f>'WAO Scenario Ag'!CA23</f>
        <v>23138319.455760162</v>
      </c>
      <c r="CB52" s="42">
        <f>'WAO Scenario Ag'!CB23</f>
        <v>23040598.447637934</v>
      </c>
      <c r="CC52" s="42">
        <f>'WAO Scenario Ag'!CC23</f>
        <v>22943757.472640749</v>
      </c>
      <c r="CD52" s="42">
        <f>'WAO Scenario Ag'!CD23</f>
        <v>22847783.505598642</v>
      </c>
      <c r="CE52" s="42">
        <f>'WAO Scenario Ag'!CE23</f>
        <v>22752663.807296842</v>
      </c>
      <c r="CF52" s="42">
        <f>'WAO Scenario Ag'!CF23</f>
        <v>22658385.915808756</v>
      </c>
      <c r="CG52" s="42">
        <f>'WAO Scenario Ag'!CG23</f>
        <v>22564937.638168637</v>
      </c>
      <c r="CH52" s="42">
        <f>'WAO Scenario Ag'!CH23</f>
        <v>22472307.042367555</v>
      </c>
      <c r="CI52" s="42">
        <f>'WAO Scenario Ag'!CI23</f>
        <v>22380482.449657399</v>
      </c>
      <c r="CJ52" s="42">
        <f>'WAO Scenario Ag'!CJ23</f>
        <v>22289452.427148387</v>
      </c>
      <c r="CK52" s="42">
        <f>'WAO Scenario Ag'!CK23</f>
        <v>22199205.780686386</v>
      </c>
      <c r="CL52" s="42">
        <f>'WAO Scenario Ag'!CL23</f>
        <v>22109731.547997098</v>
      </c>
      <c r="CM52" s="42">
        <f>'WAO Scenario Ag'!CM23</f>
        <v>22021018.992084838</v>
      </c>
    </row>
    <row r="53" spans="1:91" s="41" customFormat="1" x14ac:dyDescent="0.2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row>
    <row r="54" spans="1:91" x14ac:dyDescent="0.25">
      <c r="A54" s="25" t="s">
        <v>22</v>
      </c>
      <c r="B54" s="5">
        <f>'WAO Scenario Ag'!B24</f>
        <v>0</v>
      </c>
      <c r="C54" s="5">
        <f>'WAO Scenario Ag'!C24</f>
        <v>0</v>
      </c>
      <c r="D54" s="5">
        <f>'WAO Scenario Ag'!D24</f>
        <v>0</v>
      </c>
      <c r="E54" s="5">
        <f>'WAO Scenario Ag'!E24</f>
        <v>0</v>
      </c>
      <c r="F54" s="5">
        <f>'WAO Scenario Ag'!F24</f>
        <v>0</v>
      </c>
      <c r="G54" s="5">
        <f>'WAO Scenario Ag'!G24</f>
        <v>0</v>
      </c>
      <c r="H54" s="5">
        <f>'WAO Scenario Ag'!H24</f>
        <v>0</v>
      </c>
      <c r="I54" s="5">
        <f>'WAO Scenario Ag'!I24</f>
        <v>0</v>
      </c>
      <c r="J54" s="5">
        <f>'WAO Scenario Ag'!J24</f>
        <v>0</v>
      </c>
      <c r="K54" s="5">
        <f>'WAO Scenario Ag'!K24</f>
        <v>0</v>
      </c>
      <c r="L54" s="5">
        <f>'WAO Scenario Ag'!L24</f>
        <v>0</v>
      </c>
      <c r="M54" s="5">
        <f>'WAO Scenario Ag'!M24</f>
        <v>0</v>
      </c>
      <c r="N54" s="5">
        <f>'WAO Scenario Ag'!N24</f>
        <v>0</v>
      </c>
      <c r="O54" s="5">
        <f>'WAO Scenario Ag'!O24</f>
        <v>0</v>
      </c>
      <c r="P54" s="5">
        <f>'WAO Scenario Ag'!P24</f>
        <v>0</v>
      </c>
      <c r="Q54" s="5">
        <f>'WAO Scenario Ag'!Q24</f>
        <v>0</v>
      </c>
      <c r="R54" s="5">
        <f>'WAO Scenario Ag'!R24</f>
        <v>0</v>
      </c>
      <c r="S54" s="5">
        <f>'WAO Scenario Ag'!S24</f>
        <v>0</v>
      </c>
      <c r="T54" s="5">
        <f>'WAO Scenario Ag'!T24</f>
        <v>0</v>
      </c>
      <c r="U54" s="5">
        <f>'WAO Scenario Ag'!U24</f>
        <v>0</v>
      </c>
      <c r="V54" s="5">
        <f>'WAO Scenario Ag'!V24</f>
        <v>0</v>
      </c>
      <c r="W54" s="5">
        <f>'WAO Scenario Ag'!W24</f>
        <v>0</v>
      </c>
      <c r="X54" s="5">
        <f>'WAO Scenario Ag'!X24</f>
        <v>0</v>
      </c>
      <c r="Y54" s="5">
        <f>'WAO Scenario Ag'!Y24</f>
        <v>0</v>
      </c>
      <c r="Z54" s="5">
        <f>'WAO Scenario Ag'!Z24</f>
        <v>0</v>
      </c>
      <c r="AA54" s="5">
        <f>'WAO Scenario Ag'!AA24</f>
        <v>0</v>
      </c>
      <c r="AB54" s="5">
        <f>'WAO Scenario Ag'!AB24</f>
        <v>0</v>
      </c>
      <c r="AC54" s="5">
        <f>'WAO Scenario Ag'!AC24</f>
        <v>0</v>
      </c>
      <c r="AD54" s="5">
        <f>'WAO Scenario Ag'!AD24</f>
        <v>0</v>
      </c>
      <c r="AE54" s="5">
        <f>'WAO Scenario Ag'!AE24</f>
        <v>0</v>
      </c>
      <c r="AF54" s="43">
        <f>'WAO Scenario Ag'!AF24</f>
        <v>777759.74624482286</v>
      </c>
      <c r="AG54" s="43">
        <f>'WAO Scenario Ag'!AG24</f>
        <v>1533792.1904538609</v>
      </c>
      <c r="AH54" s="43">
        <f>'WAO Scenario Ag'!AH24</f>
        <v>2269044.276230094</v>
      </c>
      <c r="AI54" s="43">
        <f>'WAO Scenario Ag'!AI24</f>
        <v>2984406.6930602789</v>
      </c>
      <c r="AJ54" s="43">
        <f>'WAO Scenario Ag'!AJ24</f>
        <v>3680718.1010939237</v>
      </c>
      <c r="AK54" s="43">
        <f>'WAO Scenario Ag'!AK24</f>
        <v>4358768.9738319088</v>
      </c>
      <c r="AL54" s="43">
        <f>'WAO Scenario Ag'!AL24</f>
        <v>5019305.098966619</v>
      </c>
      <c r="AM54" s="43">
        <f>'WAO Scenario Ag'!AM24</f>
        <v>5663030.772797944</v>
      </c>
      <c r="AN54" s="43">
        <f>'WAO Scenario Ag'!AN24</f>
        <v>6290611.7194757117</v>
      </c>
      <c r="AO54" s="43">
        <f>'WAO Scenario Ag'!AO24</f>
        <v>6902677.7626944361</v>
      </c>
      <c r="AP54" s="43">
        <f>'WAO Scenario Ag'!AP24</f>
        <v>7508541.5116121201</v>
      </c>
      <c r="AQ54" s="43">
        <f>'WAO Scenario Ag'!AQ24</f>
        <v>8605931.4565988872</v>
      </c>
      <c r="AR54" s="43">
        <f>'WAO Scenario Ag'!AR24</f>
        <v>10082151.800710507</v>
      </c>
      <c r="AS54" s="43">
        <f>'WAO Scenario Ag'!AS24</f>
        <v>10285869.821985975</v>
      </c>
      <c r="AT54" s="43">
        <f>'WAO Scenario Ag'!AT24</f>
        <v>12902610.85683178</v>
      </c>
      <c r="AU54" s="43">
        <f>'WAO Scenario Ag'!AU24</f>
        <v>17390371.995686293</v>
      </c>
      <c r="AV54" s="43">
        <f>'WAO Scenario Ag'!AV24</f>
        <v>22066463.194527514</v>
      </c>
      <c r="AW54" s="43">
        <f>'WAO Scenario Ag'!AW24</f>
        <v>30990901.786748089</v>
      </c>
      <c r="AX54" s="43">
        <f>'WAO Scenario Ag'!AX24</f>
        <v>35552080.06755881</v>
      </c>
      <c r="AY54" s="43">
        <f>'WAO Scenario Ag'!AY24</f>
        <v>40030396.551835775</v>
      </c>
      <c r="AZ54" s="43">
        <f>'WAO Scenario Ag'!AZ24</f>
        <v>44428125.276055232</v>
      </c>
      <c r="BA54" s="43">
        <f>'WAO Scenario Ag'!BA24</f>
        <v>48747456.841562301</v>
      </c>
      <c r="BB54" s="43">
        <f>'WAO Scenario Ag'!BB24</f>
        <v>52990502.245586351</v>
      </c>
      <c r="BC54" s="43">
        <f>'WAO Scenario Ag'!BC24</f>
        <v>57159296.501211599</v>
      </c>
      <c r="BD54" s="43">
        <f>'WAO Scenario Ag'!BD24</f>
        <v>61255802.059848338</v>
      </c>
      <c r="BE54" s="43">
        <f>'WAO Scenario Ag'!BE24</f>
        <v>65281912.04875882</v>
      </c>
      <c r="BF54" s="43">
        <f>'WAO Scenario Ag'!BF24</f>
        <v>69239453.335282221</v>
      </c>
      <c r="BG54" s="43">
        <f>'WAO Scenario Ag'!BG24</f>
        <v>73130189.428567305</v>
      </c>
      <c r="BH54" s="43">
        <f>'WAO Scenario Ag'!BH24</f>
        <v>76955814.75744161</v>
      </c>
      <c r="BI54" s="43">
        <f>'WAO Scenario Ag'!BI24</f>
        <v>76318164.428839087</v>
      </c>
      <c r="BJ54" s="43">
        <f>'WAO Scenario Ag'!BJ24</f>
        <v>75691155.723274812</v>
      </c>
      <c r="BK54" s="43">
        <f>'WAO Scenario Ag'!BK24</f>
        <v>75074521.600511879</v>
      </c>
      <c r="BL54" s="43">
        <f>'WAO Scenario Ag'!BL24</f>
        <v>74468003.965958089</v>
      </c>
      <c r="BM54" s="43">
        <f>'WAO Scenario Ag'!BM24</f>
        <v>73871353.296032876</v>
      </c>
      <c r="BN54" s="43">
        <f>'WAO Scenario Ag'!BN24</f>
        <v>73284328.282345057</v>
      </c>
      <c r="BO54" s="43">
        <f>'WAO Scenario Ag'!BO24</f>
        <v>72706695.493581548</v>
      </c>
      <c r="BP54" s="43">
        <f>'WAO Scenario Ag'!BP24</f>
        <v>72138229.054080173</v>
      </c>
      <c r="BQ54" s="43">
        <f>'WAO Scenario Ag'!BQ24</f>
        <v>71578710.338127732</v>
      </c>
      <c r="BR54" s="43">
        <f>'WAO Scenario Ag'!BR24</f>
        <v>71027927.679087177</v>
      </c>
      <c r="BS54" s="43">
        <f>'WAO Scenario Ag'!BS24</f>
        <v>70485676.092516273</v>
      </c>
      <c r="BT54" s="43">
        <f>'WAO Scenario Ag'!BT24</f>
        <v>69951757.012493655</v>
      </c>
      <c r="BU54" s="43">
        <f>'WAO Scenario Ag'!BU24</f>
        <v>69425978.04041858</v>
      </c>
      <c r="BV54" s="43">
        <f>'WAO Scenario Ag'!BV24</f>
        <v>68908152.705597222</v>
      </c>
      <c r="BW54" s="43">
        <f>'WAO Scenario Ag'!BW24</f>
        <v>68398100.236971125</v>
      </c>
      <c r="BX54" s="43">
        <f>'WAO Scenario Ag'!BX24</f>
        <v>67895645.345384061</v>
      </c>
      <c r="BY54" s="43">
        <f>'WAO Scenario Ag'!BY24</f>
        <v>67400618.015820414</v>
      </c>
      <c r="BZ54" s="43">
        <f>'WAO Scenario Ag'!BZ24</f>
        <v>66912853.309083536</v>
      </c>
      <c r="CA54" s="43">
        <f>'WAO Scenario Ag'!CA24</f>
        <v>66432191.172413953</v>
      </c>
      <c r="CB54" s="43">
        <f>'WAO Scenario Ag'!CB24</f>
        <v>65958476.258578815</v>
      </c>
      <c r="CC54" s="43">
        <f>'WAO Scenario Ag'!CC24</f>
        <v>65491557.75299038</v>
      </c>
      <c r="CD54" s="43">
        <f>'WAO Scenario Ag'!CD24</f>
        <v>65031289.208439164</v>
      </c>
      <c r="CE54" s="43">
        <f>'WAO Scenario Ag'!CE24</f>
        <v>64577528.387050763</v>
      </c>
      <c r="CF54" s="43">
        <f>'WAO Scenario Ag'!CF24</f>
        <v>64130137.109098673</v>
      </c>
      <c r="CG54" s="43">
        <f>'WAO Scenario Ag'!CG24</f>
        <v>63688981.108326808</v>
      </c>
      <c r="CH54" s="43">
        <f>'WAO Scenario Ag'!CH24</f>
        <v>63253929.893454954</v>
      </c>
      <c r="CI54" s="43">
        <f>'WAO Scenario Ag'!CI24</f>
        <v>62824856.615559742</v>
      </c>
      <c r="CJ54" s="43">
        <f>'WAO Scenario Ag'!CJ24</f>
        <v>62401637.941040576</v>
      </c>
      <c r="CK54" s="43">
        <f>'WAO Scenario Ag'!CK24</f>
        <v>61984153.929896623</v>
      </c>
      <c r="CL54" s="43">
        <f>'WAO Scenario Ag'!CL24</f>
        <v>61572287.919056296</v>
      </c>
      <c r="CM54" s="43">
        <f>'WAO Scenario Ag'!CM24</f>
        <v>61165926.410514846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4"/>
  <sheetViews>
    <sheetView topLeftCell="BP1" workbookViewId="0">
      <selection activeCell="AF2" sqref="AF2:CM28"/>
    </sheetView>
  </sheetViews>
  <sheetFormatPr defaultRowHeight="15" x14ac:dyDescent="0.25"/>
  <cols>
    <col min="1" max="1" width="47.5703125" style="25" customWidth="1"/>
    <col min="2" max="31" width="9.140625" style="5"/>
    <col min="32" max="16384" width="9.140625" style="25"/>
  </cols>
  <sheetData>
    <row r="1" spans="1:91" x14ac:dyDescent="0.25">
      <c r="B1" s="5">
        <v>1961</v>
      </c>
      <c r="C1" s="5">
        <v>1962</v>
      </c>
      <c r="D1" s="5">
        <v>1963</v>
      </c>
      <c r="E1" s="5">
        <v>1964</v>
      </c>
      <c r="F1" s="5">
        <v>1965</v>
      </c>
      <c r="G1" s="5">
        <v>1966</v>
      </c>
      <c r="H1" s="5">
        <v>1967</v>
      </c>
      <c r="I1" s="5">
        <v>1968</v>
      </c>
      <c r="J1" s="5">
        <v>1969</v>
      </c>
      <c r="K1" s="5">
        <v>1970</v>
      </c>
      <c r="L1" s="5">
        <v>1971</v>
      </c>
      <c r="M1" s="5">
        <v>1972</v>
      </c>
      <c r="N1" s="5">
        <v>1973</v>
      </c>
      <c r="O1" s="5">
        <v>1974</v>
      </c>
      <c r="P1" s="5">
        <v>1975</v>
      </c>
      <c r="Q1" s="5">
        <v>1976</v>
      </c>
      <c r="R1" s="5">
        <v>1977</v>
      </c>
      <c r="S1" s="5">
        <v>1978</v>
      </c>
      <c r="T1" s="5">
        <v>1979</v>
      </c>
      <c r="U1" s="5">
        <v>1980</v>
      </c>
      <c r="V1" s="5">
        <v>1981</v>
      </c>
      <c r="W1" s="5">
        <v>1982</v>
      </c>
      <c r="X1" s="5">
        <v>1983</v>
      </c>
      <c r="Y1" s="5">
        <v>1984</v>
      </c>
      <c r="Z1" s="5">
        <v>1985</v>
      </c>
      <c r="AA1" s="5">
        <v>1986</v>
      </c>
      <c r="AB1" s="5">
        <v>1987</v>
      </c>
      <c r="AC1" s="5">
        <v>1988</v>
      </c>
      <c r="AD1" s="5">
        <v>1989</v>
      </c>
      <c r="AE1" s="5">
        <v>1990</v>
      </c>
      <c r="AF1" s="25">
        <v>1991</v>
      </c>
      <c r="AG1" s="25">
        <v>1992</v>
      </c>
      <c r="AH1" s="25">
        <v>1993</v>
      </c>
      <c r="AI1" s="25">
        <v>1994</v>
      </c>
      <c r="AJ1" s="25">
        <v>1995</v>
      </c>
      <c r="AK1" s="25">
        <v>1996</v>
      </c>
      <c r="AL1" s="25">
        <v>1997</v>
      </c>
      <c r="AM1" s="25">
        <v>1998</v>
      </c>
      <c r="AN1" s="25">
        <v>1999</v>
      </c>
      <c r="AO1" s="25">
        <v>2000</v>
      </c>
      <c r="AP1" s="25">
        <v>2001</v>
      </c>
      <c r="AQ1" s="25">
        <v>2002</v>
      </c>
      <c r="AR1" s="25">
        <v>2003</v>
      </c>
      <c r="AS1" s="25">
        <v>2004</v>
      </c>
      <c r="AT1" s="25">
        <v>2005</v>
      </c>
      <c r="AU1" s="25">
        <v>2006</v>
      </c>
      <c r="AV1" s="25">
        <v>2007</v>
      </c>
      <c r="AW1" s="25">
        <v>2008</v>
      </c>
      <c r="AX1" s="25">
        <v>2009</v>
      </c>
      <c r="AY1" s="25">
        <v>2010</v>
      </c>
      <c r="AZ1" s="25">
        <v>2011</v>
      </c>
      <c r="BA1" s="25">
        <v>2012</v>
      </c>
      <c r="BB1" s="25">
        <v>2013</v>
      </c>
      <c r="BC1" s="25">
        <v>2014</v>
      </c>
      <c r="BD1" s="25">
        <v>2015</v>
      </c>
      <c r="BE1" s="25">
        <v>2016</v>
      </c>
      <c r="BF1" s="25">
        <v>2017</v>
      </c>
      <c r="BG1" s="25">
        <v>2018</v>
      </c>
      <c r="BH1" s="25">
        <v>2019</v>
      </c>
      <c r="BI1" s="25">
        <v>2020</v>
      </c>
      <c r="BJ1" s="25">
        <v>2021</v>
      </c>
      <c r="BK1" s="25">
        <v>2022</v>
      </c>
      <c r="BL1" s="25">
        <v>2023</v>
      </c>
      <c r="BM1" s="25">
        <v>2024</v>
      </c>
      <c r="BN1" s="25">
        <v>2025</v>
      </c>
      <c r="BO1" s="25">
        <v>2026</v>
      </c>
      <c r="BP1" s="25">
        <v>2027</v>
      </c>
      <c r="BQ1" s="25">
        <v>2028</v>
      </c>
      <c r="BR1" s="25">
        <v>2029</v>
      </c>
      <c r="BS1" s="25">
        <v>2030</v>
      </c>
      <c r="BT1" s="25">
        <v>2031</v>
      </c>
      <c r="BU1" s="25">
        <v>2032</v>
      </c>
      <c r="BV1" s="25">
        <v>2033</v>
      </c>
      <c r="BW1" s="25">
        <v>2034</v>
      </c>
      <c r="BX1" s="25">
        <v>2035</v>
      </c>
      <c r="BY1" s="25">
        <v>2036</v>
      </c>
      <c r="BZ1" s="25">
        <v>2037</v>
      </c>
      <c r="CA1" s="25">
        <v>2038</v>
      </c>
      <c r="CB1" s="25">
        <v>2039</v>
      </c>
      <c r="CC1" s="25">
        <v>2040</v>
      </c>
      <c r="CD1" s="25">
        <v>2041</v>
      </c>
      <c r="CE1" s="25">
        <v>2042</v>
      </c>
      <c r="CF1" s="25">
        <v>2043</v>
      </c>
      <c r="CG1" s="25">
        <v>2044</v>
      </c>
      <c r="CH1" s="25">
        <v>2045</v>
      </c>
      <c r="CI1" s="25">
        <v>2046</v>
      </c>
      <c r="CJ1" s="25">
        <v>2047</v>
      </c>
      <c r="CK1" s="25">
        <v>2048</v>
      </c>
      <c r="CL1" s="25">
        <v>2049</v>
      </c>
      <c r="CM1" s="25">
        <v>2050</v>
      </c>
    </row>
    <row r="2" spans="1:91" x14ac:dyDescent="0.25">
      <c r="A2" s="25" t="s">
        <v>0</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24">
        <v>1.0508415631190336E-5</v>
      </c>
      <c r="AG2" s="24">
        <v>1.0527618537027347E-5</v>
      </c>
      <c r="AH2" s="24">
        <v>1.0524144816427411E-5</v>
      </c>
      <c r="AI2" s="24">
        <v>1.0522462802637258E-5</v>
      </c>
      <c r="AJ2" s="24">
        <v>1.05226809524005E-5</v>
      </c>
      <c r="AK2" s="24">
        <v>1.0524797835739828E-5</v>
      </c>
      <c r="AL2" s="24">
        <v>1.0528848568531622E-5</v>
      </c>
      <c r="AM2" s="24">
        <v>1.0535257891350468E-5</v>
      </c>
      <c r="AN2" s="24">
        <v>1.0544407835154982E-5</v>
      </c>
      <c r="AO2" s="24">
        <v>1.0556611219831291E-5</v>
      </c>
      <c r="AP2" s="24">
        <v>1.0571844928448045E-5</v>
      </c>
      <c r="AQ2" s="24">
        <v>1.0589980349233616E-5</v>
      </c>
      <c r="AR2" s="24">
        <v>1.0610719107102551E-5</v>
      </c>
      <c r="AS2" s="24">
        <v>1.0633798162037924E-5</v>
      </c>
      <c r="AT2" s="24">
        <v>1.0658934712118934E-5</v>
      </c>
      <c r="AU2" s="24">
        <v>1.0847332703046877E-5</v>
      </c>
      <c r="AV2" s="24">
        <v>1.0964836112430804E-5</v>
      </c>
      <c r="AW2" s="24">
        <v>1.1083992348417336E-5</v>
      </c>
      <c r="AX2" s="24">
        <v>1.1204770395154344E-5</v>
      </c>
      <c r="AY2" s="24">
        <v>1.1327126153256903E-5</v>
      </c>
      <c r="AZ2" s="24">
        <v>1.1451082991095796E-5</v>
      </c>
      <c r="BA2" s="24">
        <v>1.1576694440980276E-5</v>
      </c>
      <c r="BB2" s="24">
        <v>1.1703990120910524E-5</v>
      </c>
      <c r="BC2" s="24">
        <v>1.1833062981199678E-5</v>
      </c>
      <c r="BD2" s="24">
        <v>1.1963939200804165E-5</v>
      </c>
      <c r="BE2" s="24">
        <v>1.2096649107742124E-5</v>
      </c>
      <c r="BF2" s="24">
        <v>1.2231179027703737E-5</v>
      </c>
      <c r="BG2" s="24">
        <v>1.2367491102724216E-5</v>
      </c>
      <c r="BH2" s="24">
        <v>1.2505587125350255E-5</v>
      </c>
      <c r="BI2" s="24">
        <v>1.2645391460335783E-5</v>
      </c>
      <c r="BJ2" s="24">
        <v>1.2786912777983501E-5</v>
      </c>
      <c r="BK2" s="24">
        <v>1.2930111981195844E-5</v>
      </c>
      <c r="BL2" s="24">
        <v>1.3074987114622234E-5</v>
      </c>
      <c r="BM2" s="24">
        <v>1.3221532009949526E-5</v>
      </c>
      <c r="BN2" s="24">
        <v>1.336975621292177E-5</v>
      </c>
      <c r="BO2" s="24">
        <v>1.3519600210944814E-5</v>
      </c>
      <c r="BP2" s="24">
        <v>1.3671072306706926E-5</v>
      </c>
      <c r="BQ2" s="24">
        <v>1.3824160526861523E-5</v>
      </c>
      <c r="BR2" s="24">
        <v>1.3978932771532774E-5</v>
      </c>
      <c r="BS2" s="24">
        <v>1.4135376399489679E-5</v>
      </c>
      <c r="BT2" s="24">
        <v>1.4293509548508365E-5</v>
      </c>
      <c r="BU2" s="24">
        <v>1.4453326694501365E-5</v>
      </c>
      <c r="BV2" s="24">
        <v>1.461472877710608E-5</v>
      </c>
      <c r="BW2" s="24">
        <v>1.4777608887724497E-5</v>
      </c>
      <c r="BX2" s="24">
        <v>1.4941900379275375E-5</v>
      </c>
      <c r="BY2" s="24">
        <v>1.5107582006366144E-5</v>
      </c>
      <c r="BZ2" s="24">
        <v>1.5274650565041359E-5</v>
      </c>
      <c r="CA2" s="24">
        <v>1.5443152813069433E-5</v>
      </c>
      <c r="CB2" s="24">
        <v>1.561315753966831E-5</v>
      </c>
      <c r="CC2" s="24">
        <v>1.5784720843484096E-5</v>
      </c>
      <c r="CD2" s="24">
        <v>1.5957833983506664E-5</v>
      </c>
      <c r="CE2" s="24">
        <v>1.6132524720255121E-5</v>
      </c>
      <c r="CF2" s="24">
        <v>1.6308756580048994E-5</v>
      </c>
      <c r="CG2" s="24">
        <v>1.648651616536634E-5</v>
      </c>
      <c r="CH2" s="24">
        <v>1.6665822935154385E-5</v>
      </c>
      <c r="CI2" s="24">
        <v>1.6846654192520645E-5</v>
      </c>
      <c r="CJ2" s="24">
        <v>1.7029046477618662E-5</v>
      </c>
      <c r="CK2" s="24">
        <v>1.7213053532147078E-5</v>
      </c>
      <c r="CL2" s="24">
        <v>1.7398717254626916E-5</v>
      </c>
      <c r="CM2" s="24">
        <v>1.7586114631468625E-5</v>
      </c>
    </row>
    <row r="3" spans="1:91" x14ac:dyDescent="0.25">
      <c r="A3" s="25" t="s">
        <v>1</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24">
        <v>7.0000430409191978E-5</v>
      </c>
      <c r="AG3" s="24">
        <v>7.0630961246729871E-5</v>
      </c>
      <c r="AH3" s="24">
        <v>7.1066274150239037E-5</v>
      </c>
      <c r="AI3" s="24">
        <v>7.150778011594632E-5</v>
      </c>
      <c r="AJ3" s="24">
        <v>7.1952944698856812E-5</v>
      </c>
      <c r="AK3" s="24">
        <v>7.2400861735737981E-5</v>
      </c>
      <c r="AL3" s="24">
        <v>7.285284622485931E-5</v>
      </c>
      <c r="AM3" s="24">
        <v>7.3313273932656012E-5</v>
      </c>
      <c r="AN3" s="24">
        <v>7.3787111123243884E-5</v>
      </c>
      <c r="AO3" s="24">
        <v>7.4277957562576602E-5</v>
      </c>
      <c r="AP3" s="24">
        <v>7.478586235260993E-5</v>
      </c>
      <c r="AQ3" s="24">
        <v>7.5308758342790844E-5</v>
      </c>
      <c r="AR3" s="24">
        <v>7.5842609785929511E-5</v>
      </c>
      <c r="AS3" s="24">
        <v>7.6383079700261544E-5</v>
      </c>
      <c r="AT3" s="24">
        <v>7.6926134271035562E-5</v>
      </c>
      <c r="AU3" s="24">
        <v>7.8564814285327943E-5</v>
      </c>
      <c r="AV3" s="24">
        <v>7.975963310304218E-5</v>
      </c>
      <c r="AW3" s="24">
        <v>8.0954261880852003E-5</v>
      </c>
      <c r="AX3" s="24">
        <v>8.2147891965987329E-5</v>
      </c>
      <c r="AY3" s="24">
        <v>8.3339977261299875E-5</v>
      </c>
      <c r="AZ3" s="24">
        <v>8.4530221105783915E-5</v>
      </c>
      <c r="BA3" s="24">
        <v>8.5718612444647251E-5</v>
      </c>
      <c r="BB3" s="24">
        <v>8.6905669889591832E-5</v>
      </c>
      <c r="BC3" s="24">
        <v>8.8092572774455127E-5</v>
      </c>
      <c r="BD3" s="24">
        <v>8.9279966565095401E-5</v>
      </c>
      <c r="BE3" s="24">
        <v>9.0467983154341602E-5</v>
      </c>
      <c r="BF3" s="24">
        <v>9.1656451978961193E-5</v>
      </c>
      <c r="BG3" s="24">
        <v>9.2845626529475093E-5</v>
      </c>
      <c r="BH3" s="24">
        <v>9.4035979030347884E-5</v>
      </c>
      <c r="BI3" s="24">
        <v>9.5227510574324398E-5</v>
      </c>
      <c r="BJ3" s="24">
        <v>9.6420416442247414E-5</v>
      </c>
      <c r="BK3" s="24">
        <v>9.7614503715712849E-5</v>
      </c>
      <c r="BL3" s="24">
        <v>9.8809372181047912E-5</v>
      </c>
      <c r="BM3" s="24">
        <v>1.0000446419189215E-4</v>
      </c>
      <c r="BN3" s="24">
        <v>1.011995727197744E-4</v>
      </c>
      <c r="BO3" s="24">
        <v>1.0239414762549752E-4</v>
      </c>
      <c r="BP3" s="24">
        <v>1.0358838103355418E-4</v>
      </c>
      <c r="BQ3" s="24">
        <v>1.0478175869485435E-4</v>
      </c>
      <c r="BR3" s="24">
        <v>1.0597432428171442E-4</v>
      </c>
      <c r="BS3" s="24">
        <v>1.0716564825407785E-4</v>
      </c>
      <c r="BT3" s="24">
        <v>1.0822524976050468E-4</v>
      </c>
      <c r="BU3" s="24">
        <v>1.0928722791460635E-4</v>
      </c>
      <c r="BV3" s="24">
        <v>1.1035132417498938E-4</v>
      </c>
      <c r="BW3" s="24">
        <v>1.1141783799382022E-4</v>
      </c>
      <c r="BX3" s="24">
        <v>1.1248685991353272E-4</v>
      </c>
      <c r="BY3" s="24">
        <v>1.1355858475974895E-4</v>
      </c>
      <c r="BZ3" s="24">
        <v>1.1463260759244673E-4</v>
      </c>
      <c r="CA3" s="24">
        <v>1.157091962436633E-4</v>
      </c>
      <c r="CB3" s="24">
        <v>1.1678823506150475E-4</v>
      </c>
      <c r="CC3" s="24">
        <v>1.1786969517439455E-4</v>
      </c>
      <c r="CD3" s="24">
        <v>1.1895337378753631E-4</v>
      </c>
      <c r="CE3" s="24">
        <v>1.2003930941952695E-4</v>
      </c>
      <c r="CF3" s="24">
        <v>1.2112747901802054E-4</v>
      </c>
      <c r="CG3" s="24">
        <v>1.2221779370117183E-4</v>
      </c>
      <c r="CH3" s="24">
        <v>1.2331033229500272E-4</v>
      </c>
      <c r="CI3" s="24">
        <v>1.2440494790464076E-4</v>
      </c>
      <c r="CJ3" s="24">
        <v>1.2550153274019381E-4</v>
      </c>
      <c r="CK3" s="24">
        <v>1.2659968153820708E-4</v>
      </c>
      <c r="CL3" s="24">
        <v>1.276994691580742E-4</v>
      </c>
      <c r="CM3" s="24">
        <v>1.288003541120989E-4</v>
      </c>
    </row>
    <row r="4" spans="1:91" x14ac:dyDescent="0.25">
      <c r="A4" s="25" t="s">
        <v>2</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24">
        <v>1.3228986578653787E-5</v>
      </c>
      <c r="AG4" s="24">
        <v>1.3351004035312167E-5</v>
      </c>
      <c r="AH4" s="24">
        <v>1.3448210690384045E-5</v>
      </c>
      <c r="AI4" s="24">
        <v>1.3548882358160103E-5</v>
      </c>
      <c r="AJ4" s="24">
        <v>1.365327018224468E-5</v>
      </c>
      <c r="AK4" s="24">
        <v>1.3761500883312822E-5</v>
      </c>
      <c r="AL4" s="24">
        <v>1.387370090955609E-5</v>
      </c>
      <c r="AM4" s="24">
        <v>1.3990474699641369E-5</v>
      </c>
      <c r="AN4" s="24">
        <v>1.4112378817260886E-5</v>
      </c>
      <c r="AO4" s="24">
        <v>1.4239928335395459E-5</v>
      </c>
      <c r="AP4" s="24">
        <v>1.4373258842965937E-5</v>
      </c>
      <c r="AQ4" s="24">
        <v>1.4512396972370334E-5</v>
      </c>
      <c r="AR4" s="24">
        <v>1.4657165111117269E-5</v>
      </c>
      <c r="AS4" s="24">
        <v>1.4807426681632889E-5</v>
      </c>
      <c r="AT4" s="24">
        <v>1.4962997035753534E-5</v>
      </c>
      <c r="AU4" s="24">
        <v>1.5469466422515655E-5</v>
      </c>
      <c r="AV4" s="24">
        <v>1.5574976370094695E-5</v>
      </c>
      <c r="AW4" s="24">
        <v>1.5682744238183712E-5</v>
      </c>
      <c r="AX4" s="24">
        <v>1.579276536744829E-5</v>
      </c>
      <c r="AY4" s="24">
        <v>1.590501523153287E-5</v>
      </c>
      <c r="AZ4" s="24">
        <v>1.6019564264837292E-5</v>
      </c>
      <c r="BA4" s="24">
        <v>1.6136521123591277E-5</v>
      </c>
      <c r="BB4" s="24">
        <v>1.6255961000692786E-5</v>
      </c>
      <c r="BC4" s="24">
        <v>1.6378047391306338E-5</v>
      </c>
      <c r="BD4" s="24">
        <v>1.6502859414118649E-5</v>
      </c>
      <c r="BE4" s="24">
        <v>1.6630485774268858E-5</v>
      </c>
      <c r="BF4" s="24">
        <v>1.6760961637346351E-5</v>
      </c>
      <c r="BG4" s="24">
        <v>1.6894312433243585E-5</v>
      </c>
      <c r="BH4" s="24">
        <v>1.703062755161906E-5</v>
      </c>
      <c r="BI4" s="24">
        <v>1.716988964677118E-5</v>
      </c>
      <c r="BJ4" s="24">
        <v>1.7312207426551629E-5</v>
      </c>
      <c r="BK4" s="24">
        <v>1.7457606054617057E-5</v>
      </c>
      <c r="BL4" s="24">
        <v>1.7606171496817636E-5</v>
      </c>
      <c r="BM4" s="24">
        <v>1.7757977604245819E-5</v>
      </c>
      <c r="BN4" s="24">
        <v>1.7913133711696151E-5</v>
      </c>
      <c r="BO4" s="24">
        <v>1.8071652865918737E-5</v>
      </c>
      <c r="BP4" s="24">
        <v>1.8233635514169785E-5</v>
      </c>
      <c r="BQ4" s="24">
        <v>1.8399148666801222E-5</v>
      </c>
      <c r="BR4" s="24">
        <v>1.8568334276582576E-5</v>
      </c>
      <c r="BS4" s="24">
        <v>1.8741252850249103E-5</v>
      </c>
      <c r="BT4" s="24">
        <v>1.8917994086357809E-5</v>
      </c>
      <c r="BU4" s="24">
        <v>1.9098656551532022E-5</v>
      </c>
      <c r="BV4" s="24">
        <v>1.9283182040007754E-5</v>
      </c>
      <c r="BW4" s="24">
        <v>1.947151926724002E-5</v>
      </c>
      <c r="BX4" s="24">
        <v>1.9663666430494453E-5</v>
      </c>
      <c r="BY4" s="24">
        <v>1.9859684135003457E-5</v>
      </c>
      <c r="BZ4" s="24">
        <v>2.0059662924267403E-5</v>
      </c>
      <c r="CA4" s="24">
        <v>2.0263768203733196E-5</v>
      </c>
      <c r="CB4" s="24">
        <v>2.0472217863934785E-5</v>
      </c>
      <c r="CC4" s="24">
        <v>2.0685177630400022E-5</v>
      </c>
      <c r="CD4" s="24">
        <v>2.0902762801762623E-5</v>
      </c>
      <c r="CE4" s="24">
        <v>2.1125137609645198E-5</v>
      </c>
      <c r="CF4" s="24">
        <v>2.13523592396579E-5</v>
      </c>
      <c r="CG4" s="24">
        <v>2.1584550274591934E-5</v>
      </c>
      <c r="CH4" s="24">
        <v>2.1821849605301195E-5</v>
      </c>
      <c r="CI4" s="24">
        <v>2.2064400207881321E-5</v>
      </c>
      <c r="CJ4" s="24">
        <v>2.2312384995534275E-5</v>
      </c>
      <c r="CK4" s="24">
        <v>2.2566061124170165E-5</v>
      </c>
      <c r="CL4" s="24">
        <v>2.2825634709128289E-5</v>
      </c>
      <c r="CM4" s="24">
        <v>2.3091432921461527E-5</v>
      </c>
    </row>
    <row r="5" spans="1:91" x14ac:dyDescent="0.25">
      <c r="A5" s="25" t="s">
        <v>2</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24">
        <v>7.0121002027183778E-6</v>
      </c>
      <c r="AG5" s="24">
        <v>7.2210894119728063E-6</v>
      </c>
      <c r="AH5" s="24">
        <v>7.4202145751621905E-6</v>
      </c>
      <c r="AI5" s="24">
        <v>7.6288203120131999E-6</v>
      </c>
      <c r="AJ5" s="24">
        <v>7.8474396653895003E-6</v>
      </c>
      <c r="AK5" s="24">
        <v>8.0765895476182639E-6</v>
      </c>
      <c r="AL5" s="24">
        <v>8.3168765465417997E-6</v>
      </c>
      <c r="AM5" s="24">
        <v>8.569263350893212E-6</v>
      </c>
      <c r="AN5" s="24">
        <v>8.8347261253526665E-6</v>
      </c>
      <c r="AO5" s="24">
        <v>9.11421427809247E-6</v>
      </c>
      <c r="AP5" s="24">
        <v>9.4084016592827995E-6</v>
      </c>
      <c r="AQ5" s="24">
        <v>9.7178946223932155E-6</v>
      </c>
      <c r="AR5" s="24">
        <v>1.0043173749519153E-5</v>
      </c>
      <c r="AS5" s="24">
        <v>1.0384788452865011E-5</v>
      </c>
      <c r="AT5" s="24">
        <v>1.0743308883754397E-5</v>
      </c>
      <c r="AU5" s="24">
        <v>1.1732150845198387E-5</v>
      </c>
      <c r="AV5" s="24">
        <v>1.2029101934575739E-5</v>
      </c>
      <c r="AW5" s="24">
        <v>1.2330362812000245E-5</v>
      </c>
      <c r="AX5" s="24">
        <v>1.2636010643891824E-5</v>
      </c>
      <c r="AY5" s="24">
        <v>1.294610467098004E-5</v>
      </c>
      <c r="AZ5" s="24">
        <v>1.3260781122275616E-5</v>
      </c>
      <c r="BA5" s="24">
        <v>1.3580209329302407E-5</v>
      </c>
      <c r="BB5" s="24">
        <v>1.3904534506306729E-5</v>
      </c>
      <c r="BC5" s="24">
        <v>1.4233979095234456E-5</v>
      </c>
      <c r="BD5" s="24">
        <v>1.4568700292291712E-5</v>
      </c>
      <c r="BE5" s="24">
        <v>1.490886503450716E-5</v>
      </c>
      <c r="BF5" s="24">
        <v>1.5254594004074044E-5</v>
      </c>
      <c r="BG5" s="24">
        <v>1.5605990085826174E-5</v>
      </c>
      <c r="BH5" s="24">
        <v>1.5963210744890837E-5</v>
      </c>
      <c r="BI5" s="24">
        <v>1.6326321960921515E-5</v>
      </c>
      <c r="BJ5" s="24">
        <v>1.6695498066511173E-5</v>
      </c>
      <c r="BK5" s="24">
        <v>1.7070852196150819E-5</v>
      </c>
      <c r="BL5" s="24">
        <v>1.7452545021238879E-5</v>
      </c>
      <c r="BM5" s="24">
        <v>1.7840733475907901E-5</v>
      </c>
      <c r="BN5" s="24">
        <v>1.823560246986816E-5</v>
      </c>
      <c r="BO5" s="24">
        <v>1.8637252878765394E-5</v>
      </c>
      <c r="BP5" s="24">
        <v>1.9045873585162299E-5</v>
      </c>
      <c r="BQ5" s="24">
        <v>1.9461627645654656E-5</v>
      </c>
      <c r="BR5" s="24">
        <v>1.9884772486444035E-5</v>
      </c>
      <c r="BS5" s="24">
        <v>2.0315473648547058E-5</v>
      </c>
      <c r="BT5" s="24">
        <v>2.0753937998592071E-5</v>
      </c>
      <c r="BU5" s="24">
        <v>2.1200361852035525E-5</v>
      </c>
      <c r="BV5" s="24">
        <v>2.1654810170228369E-5</v>
      </c>
      <c r="BW5" s="24">
        <v>2.2117347207509639E-5</v>
      </c>
      <c r="BX5" s="24">
        <v>2.2588090468108009E-5</v>
      </c>
      <c r="BY5" s="24">
        <v>2.3067221764584342E-5</v>
      </c>
      <c r="BZ5" s="24">
        <v>2.3554948560878236E-5</v>
      </c>
      <c r="CA5" s="24">
        <v>2.4051560720881107E-5</v>
      </c>
      <c r="CB5" s="24">
        <v>2.455738921757222E-5</v>
      </c>
      <c r="CC5" s="24">
        <v>2.5072741724341258E-5</v>
      </c>
      <c r="CD5" s="24">
        <v>2.5597855940880496E-5</v>
      </c>
      <c r="CE5" s="24">
        <v>2.6133029556600889E-5</v>
      </c>
      <c r="CF5" s="24">
        <v>2.667846635816827E-5</v>
      </c>
      <c r="CG5" s="24">
        <v>2.7234421242270185E-5</v>
      </c>
      <c r="CH5" s="24">
        <v>2.7801191106722099E-5</v>
      </c>
      <c r="CI5" s="24">
        <v>2.8379045524085055E-5</v>
      </c>
      <c r="CJ5" s="24">
        <v>2.8968323511028758E-5</v>
      </c>
      <c r="CK5" s="24">
        <v>2.9569415819543594E-5</v>
      </c>
      <c r="CL5" s="24">
        <v>3.0182697084869239E-5</v>
      </c>
      <c r="CM5" s="24">
        <v>3.0808619936276061E-5</v>
      </c>
    </row>
    <row r="7" spans="1:91" x14ac:dyDescent="0.25">
      <c r="A7" s="25" t="s">
        <v>3</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24">
        <v>3.6843336955314182E-5</v>
      </c>
      <c r="AG7" s="24">
        <v>3.6790336088918271E-5</v>
      </c>
      <c r="AH7" s="24">
        <v>3.6735360620641035E-5</v>
      </c>
      <c r="AI7" s="24">
        <v>3.667954216924579E-5</v>
      </c>
      <c r="AJ7" s="24">
        <v>3.6623172446285202E-5</v>
      </c>
      <c r="AK7" s="24">
        <v>3.6566333390967918E-5</v>
      </c>
      <c r="AL7" s="24">
        <v>3.6509049093726465E-5</v>
      </c>
      <c r="AM7" s="24">
        <v>3.6451465927738483E-5</v>
      </c>
      <c r="AN7" s="24">
        <v>3.6393772236650164E-5</v>
      </c>
      <c r="AO7" s="24">
        <v>3.6336058437465606E-5</v>
      </c>
      <c r="AP7" s="24">
        <v>3.6278480991528786E-5</v>
      </c>
      <c r="AQ7" s="24">
        <v>3.6221086104825362E-5</v>
      </c>
      <c r="AR7" s="24">
        <v>3.6163908142653389E-5</v>
      </c>
      <c r="AS7" s="24">
        <v>3.6106967137093158E-5</v>
      </c>
      <c r="AT7" s="24">
        <v>3.6050252332744931E-5</v>
      </c>
      <c r="AU7" s="24">
        <v>3.6181023108186044E-5</v>
      </c>
      <c r="AV7" s="24">
        <v>3.6805880686838144E-5</v>
      </c>
      <c r="AW7" s="24">
        <v>3.7432182540437799E-5</v>
      </c>
      <c r="AX7" s="24">
        <v>3.80598402093277E-5</v>
      </c>
      <c r="AY7" s="24">
        <v>3.86887842668519E-5</v>
      </c>
      <c r="AZ7" s="24">
        <v>3.9318984814036444E-5</v>
      </c>
      <c r="BA7" s="24">
        <v>3.9950454324620326E-5</v>
      </c>
      <c r="BB7" s="24">
        <v>4.058323771919377E-5</v>
      </c>
      <c r="BC7" s="24">
        <v>4.1217413638741283E-5</v>
      </c>
      <c r="BD7" s="24">
        <v>4.1853031626262509E-5</v>
      </c>
      <c r="BE7" s="24">
        <v>4.2490101422829168E-5</v>
      </c>
      <c r="BF7" s="24">
        <v>4.3128576395727857E-5</v>
      </c>
      <c r="BG7" s="24">
        <v>4.3768429306014496E-5</v>
      </c>
      <c r="BH7" s="24">
        <v>4.4409623286892179E-5</v>
      </c>
      <c r="BI7" s="24">
        <v>4.5052144357670757E-5</v>
      </c>
      <c r="BJ7" s="24">
        <v>4.5695973254979865E-5</v>
      </c>
      <c r="BK7" s="24">
        <v>4.6341126684092635E-5</v>
      </c>
      <c r="BL7" s="24">
        <v>4.6987579201309435E-5</v>
      </c>
      <c r="BM7" s="24">
        <v>4.7635341292882607E-5</v>
      </c>
      <c r="BN7" s="24">
        <v>4.8284391676933665E-5</v>
      </c>
      <c r="BO7" s="24">
        <v>4.8934736165148652E-5</v>
      </c>
      <c r="BP7" s="24">
        <v>4.9586381811837859E-5</v>
      </c>
      <c r="BQ7" s="24">
        <v>5.0239352229828933E-5</v>
      </c>
      <c r="BR7" s="24">
        <v>5.0893684723365161E-5</v>
      </c>
      <c r="BS7" s="24">
        <v>5.1549385587840429E-5</v>
      </c>
      <c r="BT7" s="24">
        <v>5.1636306402230199E-5</v>
      </c>
      <c r="BU7" s="24">
        <v>5.1724550281244116E-5</v>
      </c>
      <c r="BV7" s="24">
        <v>5.1814122168769529E-5</v>
      </c>
      <c r="BW7" s="24">
        <v>5.1905017314471409E-5</v>
      </c>
      <c r="BX7" s="24">
        <v>5.1997226518439087E-5</v>
      </c>
      <c r="BY7" s="24">
        <v>5.209074305574026E-5</v>
      </c>
      <c r="BZ7" s="24">
        <v>5.2185571878579461E-5</v>
      </c>
      <c r="CA7" s="24">
        <v>5.2281706246236016E-5</v>
      </c>
      <c r="CB7" s="24">
        <v>5.2379129328157627E-5</v>
      </c>
      <c r="CC7" s="24">
        <v>5.2477845020516877E-5</v>
      </c>
      <c r="CD7" s="24">
        <v>5.2577842307954798E-5</v>
      </c>
      <c r="CE7" s="24">
        <v>5.2679112681640577E-5</v>
      </c>
      <c r="CF7" s="24">
        <v>5.2781651624729282E-5</v>
      </c>
      <c r="CG7" s="24">
        <v>5.2885444749710062E-5</v>
      </c>
      <c r="CH7" s="24">
        <v>5.2990487639432671E-5</v>
      </c>
      <c r="CI7" s="24">
        <v>5.3096775381587056E-5</v>
      </c>
      <c r="CJ7" s="24">
        <v>5.3204297991539445E-5</v>
      </c>
      <c r="CK7" s="24">
        <v>5.3313060712255301E-5</v>
      </c>
      <c r="CL7" s="24">
        <v>5.3423070555134916E-5</v>
      </c>
      <c r="CM7" s="24">
        <v>5.3534324193367958E-5</v>
      </c>
    </row>
    <row r="8" spans="1:91" x14ac:dyDescent="0.25">
      <c r="A8" s="25" t="s">
        <v>1</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24">
        <v>5.2769166477933858E-5</v>
      </c>
      <c r="AG8" s="24">
        <v>5.2693255559611984E-5</v>
      </c>
      <c r="AH8" s="24">
        <v>5.2614516501821335E-5</v>
      </c>
      <c r="AI8" s="24">
        <v>5.25345700746617E-5</v>
      </c>
      <c r="AJ8" s="24">
        <v>5.2453834084356881E-5</v>
      </c>
      <c r="AK8" s="24">
        <v>5.2372425888999203E-5</v>
      </c>
      <c r="AL8" s="24">
        <v>5.2290379992305006E-5</v>
      </c>
      <c r="AM8" s="24">
        <v>5.2207906038438337E-5</v>
      </c>
      <c r="AN8" s="24">
        <v>5.2125273784105413E-5</v>
      </c>
      <c r="AO8" s="24">
        <v>5.204261272978946E-5</v>
      </c>
      <c r="AP8" s="24">
        <v>5.1960146968512207E-5</v>
      </c>
      <c r="AQ8" s="24">
        <v>5.187794267916924E-5</v>
      </c>
      <c r="AR8" s="24">
        <v>5.1796049081735804E-5</v>
      </c>
      <c r="AS8" s="24">
        <v>5.1714494867320529E-5</v>
      </c>
      <c r="AT8" s="24">
        <v>5.1633264631415317E-5</v>
      </c>
      <c r="AU8" s="24">
        <v>5.1820562129143874E-5</v>
      </c>
      <c r="AV8" s="24">
        <v>5.1885131359856297E-5</v>
      </c>
      <c r="AW8" s="24">
        <v>5.1950214305834867E-5</v>
      </c>
      <c r="AX8" s="24">
        <v>5.2015700294839928E-5</v>
      </c>
      <c r="AY8" s="24">
        <v>5.2081507781076679E-5</v>
      </c>
      <c r="AZ8" s="24">
        <v>5.2147614632487234E-5</v>
      </c>
      <c r="BA8" s="24">
        <v>5.2214058561288894E-5</v>
      </c>
      <c r="BB8" s="24">
        <v>5.2280919174022914E-5</v>
      </c>
      <c r="BC8" s="24">
        <v>5.2348326142311333E-5</v>
      </c>
      <c r="BD8" s="24">
        <v>5.2416362295017331E-5</v>
      </c>
      <c r="BE8" s="24">
        <v>5.2485056095018153E-5</v>
      </c>
      <c r="BF8" s="24">
        <v>5.255435759938655E-5</v>
      </c>
      <c r="BG8" s="24">
        <v>5.2624226698379906E-5</v>
      </c>
      <c r="BH8" s="24">
        <v>5.2694616780850149E-5</v>
      </c>
      <c r="BI8" s="24">
        <v>5.2765502995160863E-5</v>
      </c>
      <c r="BJ8" s="24">
        <v>5.283686082478873E-5</v>
      </c>
      <c r="BK8" s="24">
        <v>5.2908715260658917E-5</v>
      </c>
      <c r="BL8" s="24">
        <v>5.2981037203205353E-5</v>
      </c>
      <c r="BM8" s="24">
        <v>5.3053843546664738E-5</v>
      </c>
      <c r="BN8" s="24">
        <v>5.3127112809578331E-5</v>
      </c>
      <c r="BO8" s="24">
        <v>5.3200845887448871E-5</v>
      </c>
      <c r="BP8" s="24">
        <v>5.3275066305476904E-5</v>
      </c>
      <c r="BQ8" s="24">
        <v>5.3349808273080411E-5</v>
      </c>
      <c r="BR8" s="24">
        <v>5.3425155494199776E-5</v>
      </c>
      <c r="BS8" s="24">
        <v>5.3501125356345247E-5</v>
      </c>
      <c r="BT8" s="24">
        <v>5.358589951393191E-5</v>
      </c>
      <c r="BU8" s="24">
        <v>5.3672282503609282E-5</v>
      </c>
      <c r="BV8" s="24">
        <v>5.3760270054983049E-5</v>
      </c>
      <c r="BW8" s="24">
        <v>5.3849853081464978E-5</v>
      </c>
      <c r="BX8" s="24">
        <v>5.3941017829373365E-5</v>
      </c>
      <c r="BY8" s="24">
        <v>5.4033763050466951E-5</v>
      </c>
      <c r="BZ8" s="24">
        <v>5.4128092228636533E-5</v>
      </c>
      <c r="CA8" s="24">
        <v>5.4224008946083018E-5</v>
      </c>
      <c r="CB8" s="24">
        <v>5.4321496723876302E-5</v>
      </c>
      <c r="CC8" s="24">
        <v>5.4420572901668634E-5</v>
      </c>
      <c r="CD8" s="24">
        <v>5.4521219352321004E-5</v>
      </c>
      <c r="CE8" s="24">
        <v>5.4623425888475123E-5</v>
      </c>
      <c r="CF8" s="24">
        <v>5.4727189212199551E-5</v>
      </c>
      <c r="CG8" s="24">
        <v>5.4832486288335323E-5</v>
      </c>
      <c r="CH8" s="24">
        <v>5.4939322222557939E-5</v>
      </c>
      <c r="CI8" s="24">
        <v>5.5047676022657148E-5</v>
      </c>
      <c r="CJ8" s="24">
        <v>5.5157543030486721E-5</v>
      </c>
      <c r="CK8" s="24">
        <v>5.5268920681017922E-5</v>
      </c>
      <c r="CL8" s="24">
        <v>5.5381826903601599E-5</v>
      </c>
      <c r="CM8" s="24">
        <v>5.5496247612017253E-5</v>
      </c>
    </row>
    <row r="9" spans="1:91" x14ac:dyDescent="0.25">
      <c r="A9" s="25" t="s">
        <v>1</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24">
        <v>3.755643379961059E-5</v>
      </c>
      <c r="AG9" s="24">
        <v>3.7502407109994121E-5</v>
      </c>
      <c r="AH9" s="24">
        <v>3.7446367600395375E-5</v>
      </c>
      <c r="AI9" s="24">
        <v>3.7389468791876361E-5</v>
      </c>
      <c r="AJ9" s="24">
        <v>3.7332008042019762E-5</v>
      </c>
      <c r="AK9" s="24">
        <v>3.7274068875954395E-5</v>
      </c>
      <c r="AL9" s="24">
        <v>3.7215675850379237E-5</v>
      </c>
      <c r="AM9" s="24">
        <v>3.7156978171501163E-5</v>
      </c>
      <c r="AN9" s="24">
        <v>3.7098167828327268E-5</v>
      </c>
      <c r="AO9" s="24">
        <v>3.7039336987868168E-5</v>
      </c>
      <c r="AP9" s="24">
        <v>3.6980645139751931E-5</v>
      </c>
      <c r="AQ9" s="24">
        <v>3.692213938427361E-5</v>
      </c>
      <c r="AR9" s="24">
        <v>3.6863854751866036E-5</v>
      </c>
      <c r="AS9" s="24">
        <v>3.6805811662327231E-5</v>
      </c>
      <c r="AT9" s="24">
        <v>3.6747999152088383E-5</v>
      </c>
      <c r="AU9" s="24">
        <v>3.6881300974796092E-5</v>
      </c>
      <c r="AV9" s="24">
        <v>3.6933062893627826E-5</v>
      </c>
      <c r="AW9" s="24">
        <v>3.6984803288137251E-5</v>
      </c>
      <c r="AX9" s="24">
        <v>3.7036437188603112E-5</v>
      </c>
      <c r="AY9" s="24">
        <v>3.7087901513367618E-5</v>
      </c>
      <c r="AZ9" s="24">
        <v>3.7139176923422152E-5</v>
      </c>
      <c r="BA9" s="24">
        <v>3.719028632859785E-5</v>
      </c>
      <c r="BB9" s="24">
        <v>3.7241283775133937E-5</v>
      </c>
      <c r="BC9" s="24">
        <v>3.7292262121969226E-5</v>
      </c>
      <c r="BD9" s="24">
        <v>3.7343280820957652E-5</v>
      </c>
      <c r="BE9" s="24">
        <v>3.7394359310285553E-5</v>
      </c>
      <c r="BF9" s="24">
        <v>3.7445462106810545E-5</v>
      </c>
      <c r="BG9" s="24">
        <v>3.7496556366296019E-5</v>
      </c>
      <c r="BH9" s="24">
        <v>3.7547608783536608E-5</v>
      </c>
      <c r="BI9" s="24">
        <v>3.7598597706895901E-5</v>
      </c>
      <c r="BJ9" s="24">
        <v>3.7649502569235385E-5</v>
      </c>
      <c r="BK9" s="24">
        <v>3.7700339228367647E-5</v>
      </c>
      <c r="BL9" s="24">
        <v>3.7751080142069215E-5</v>
      </c>
      <c r="BM9" s="24">
        <v>3.7801728334648505E-5</v>
      </c>
      <c r="BN9" s="24">
        <v>3.785226250308605E-5</v>
      </c>
      <c r="BO9" s="24">
        <v>3.7902673895436454E-5</v>
      </c>
      <c r="BP9" s="24">
        <v>3.7952979622613387E-5</v>
      </c>
      <c r="BQ9" s="24">
        <v>3.8003197609965645E-5</v>
      </c>
      <c r="BR9" s="24">
        <v>3.8053393767208994E-5</v>
      </c>
      <c r="BS9" s="24">
        <v>3.8103574826890966E-5</v>
      </c>
      <c r="BT9" s="24">
        <v>3.8156452560328051E-5</v>
      </c>
      <c r="BU9" s="24">
        <v>3.8210417968048391E-5</v>
      </c>
      <c r="BV9" s="24">
        <v>3.8265475695102741E-5</v>
      </c>
      <c r="BW9" s="24">
        <v>3.8321623685974469E-5</v>
      </c>
      <c r="BX9" s="24">
        <v>3.8378859609958136E-5</v>
      </c>
      <c r="BY9" s="24">
        <v>3.8437187893822393E-5</v>
      </c>
      <c r="BZ9" s="24">
        <v>3.8496607768899382E-5</v>
      </c>
      <c r="CA9" s="24">
        <v>3.8557127565013271E-5</v>
      </c>
      <c r="CB9" s="24">
        <v>3.8618733800416279E-5</v>
      </c>
      <c r="CC9" s="24">
        <v>3.8681442904030025E-5</v>
      </c>
      <c r="CD9" s="24">
        <v>3.8745238156913579E-5</v>
      </c>
      <c r="CE9" s="24">
        <v>3.8810115409190752E-5</v>
      </c>
      <c r="CF9" s="24">
        <v>3.8876073147932574E-5</v>
      </c>
      <c r="CG9" s="24">
        <v>3.894309386333759E-5</v>
      </c>
      <c r="CH9" s="24">
        <v>3.9011183503462591E-5</v>
      </c>
      <c r="CI9" s="24">
        <v>3.9080323898003936E-5</v>
      </c>
      <c r="CJ9" s="24">
        <v>3.9150511218413924E-5</v>
      </c>
      <c r="CK9" s="24">
        <v>3.9221737742214523E-5</v>
      </c>
      <c r="CL9" s="24">
        <v>3.9294017281482045E-5</v>
      </c>
      <c r="CM9" s="24">
        <v>3.936733039718203E-5</v>
      </c>
    </row>
    <row r="10" spans="1:91" x14ac:dyDescent="0.25">
      <c r="A10" s="25" t="s">
        <v>1</v>
      </c>
      <c r="B10" s="5">
        <v>0</v>
      </c>
      <c r="C10" s="5">
        <v>0</v>
      </c>
      <c r="D10" s="5">
        <v>0</v>
      </c>
      <c r="E10" s="5">
        <v>0</v>
      </c>
      <c r="F10" s="5">
        <v>0</v>
      </c>
      <c r="G10" s="5">
        <v>0</v>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c r="AA10" s="5">
        <v>0</v>
      </c>
      <c r="AB10" s="5">
        <v>0</v>
      </c>
      <c r="AC10" s="5">
        <v>0</v>
      </c>
      <c r="AD10" s="5">
        <v>0</v>
      </c>
      <c r="AE10" s="5">
        <v>0</v>
      </c>
      <c r="AF10" s="24">
        <v>3.2802454837634565E-5</v>
      </c>
      <c r="AG10" s="24">
        <v>3.2755266969488529E-5</v>
      </c>
      <c r="AH10" s="24">
        <v>3.2706321068699752E-5</v>
      </c>
      <c r="AI10" s="24">
        <v>3.2656624641005933E-5</v>
      </c>
      <c r="AJ10" s="24">
        <v>3.260643740378941E-5</v>
      </c>
      <c r="AK10" s="24">
        <v>3.2555832309377881E-5</v>
      </c>
      <c r="AL10" s="24">
        <v>3.2504830806027448E-5</v>
      </c>
      <c r="AM10" s="24">
        <v>3.2453563213083297E-5</v>
      </c>
      <c r="AN10" s="24">
        <v>3.2402197217146604E-5</v>
      </c>
      <c r="AO10" s="24">
        <v>3.2350813318517766E-5</v>
      </c>
      <c r="AP10" s="24">
        <v>3.2299550818264349E-5</v>
      </c>
      <c r="AQ10" s="24">
        <v>3.2248450854618708E-5</v>
      </c>
      <c r="AR10" s="24">
        <v>3.2197544023781722E-5</v>
      </c>
      <c r="AS10" s="24">
        <v>3.2146848160766819E-5</v>
      </c>
      <c r="AT10" s="24">
        <v>3.2096353689798707E-5</v>
      </c>
      <c r="AU10" s="24">
        <v>3.2212781864062408E-5</v>
      </c>
      <c r="AV10" s="24">
        <v>3.2464153102729245E-5</v>
      </c>
      <c r="AW10" s="24">
        <v>3.271690581497304E-5</v>
      </c>
      <c r="AX10" s="24">
        <v>3.2970962421275322E-5</v>
      </c>
      <c r="AY10" s="24">
        <v>3.3226264413713801E-5</v>
      </c>
      <c r="AZ10" s="24">
        <v>3.3482789042779644E-5</v>
      </c>
      <c r="BA10" s="24">
        <v>3.3740550001192795E-5</v>
      </c>
      <c r="BB10" s="24">
        <v>3.3999587604779657E-5</v>
      </c>
      <c r="BC10" s="24">
        <v>3.425996881315825E-5</v>
      </c>
      <c r="BD10" s="24">
        <v>3.4521734016547037E-5</v>
      </c>
      <c r="BE10" s="24">
        <v>3.4784889445536507E-5</v>
      </c>
      <c r="BF10" s="24">
        <v>3.5049395121155097E-5</v>
      </c>
      <c r="BG10" s="24">
        <v>3.5315227950970887E-5</v>
      </c>
      <c r="BH10" s="24">
        <v>3.5582357866475032E-5</v>
      </c>
      <c r="BI10" s="24">
        <v>3.5850774182663768E-5</v>
      </c>
      <c r="BJ10" s="24">
        <v>3.6120462447432588E-5</v>
      </c>
      <c r="BK10" s="24">
        <v>3.6391436750654276E-5</v>
      </c>
      <c r="BL10" s="24">
        <v>3.6663678447313321E-5</v>
      </c>
      <c r="BM10" s="24">
        <v>3.6937197528123228E-5</v>
      </c>
      <c r="BN10" s="24">
        <v>3.7211979372309135E-5</v>
      </c>
      <c r="BO10" s="24">
        <v>3.7488031388110743E-5</v>
      </c>
      <c r="BP10" s="24">
        <v>3.7765360137229976E-5</v>
      </c>
      <c r="BQ10" s="24">
        <v>3.8043985474369211E-5</v>
      </c>
      <c r="BR10" s="24">
        <v>3.8323933618482537E-5</v>
      </c>
      <c r="BS10" s="24">
        <v>3.8605209547791053E-5</v>
      </c>
      <c r="BT10" s="24">
        <v>3.8677920059823958E-5</v>
      </c>
      <c r="BU10" s="24">
        <v>3.8751713009784551E-5</v>
      </c>
      <c r="BV10" s="24">
        <v>3.8826591933489533E-5</v>
      </c>
      <c r="BW10" s="24">
        <v>3.890255296099992E-5</v>
      </c>
      <c r="BX10" s="24">
        <v>3.8979588221708722E-5</v>
      </c>
      <c r="BY10" s="24">
        <v>3.9057691220618749E-5</v>
      </c>
      <c r="BZ10" s="24">
        <v>3.9136866220622919E-5</v>
      </c>
      <c r="CA10" s="24">
        <v>3.9217106232685925E-5</v>
      </c>
      <c r="CB10" s="24">
        <v>3.9298398757022331E-5</v>
      </c>
      <c r="CC10" s="24">
        <v>3.9380744857709663E-5</v>
      </c>
      <c r="CD10" s="24">
        <v>3.9464137259924096E-5</v>
      </c>
      <c r="CE10" s="24">
        <v>3.9548568806148973E-5</v>
      </c>
      <c r="CF10" s="24">
        <v>3.9634035486339887E-5</v>
      </c>
      <c r="CG10" s="24">
        <v>3.9720527015119885E-5</v>
      </c>
      <c r="CH10" s="24">
        <v>3.9808038587477014E-5</v>
      </c>
      <c r="CI10" s="24">
        <v>3.9896568115661278E-5</v>
      </c>
      <c r="CJ10" s="24">
        <v>3.998610769803857E-5</v>
      </c>
      <c r="CK10" s="24">
        <v>4.0076663427659374E-5</v>
      </c>
      <c r="CL10" s="24">
        <v>4.0168239548289989E-5</v>
      </c>
      <c r="CM10" s="24">
        <v>4.0260837211252985E-5</v>
      </c>
    </row>
    <row r="11" spans="1:91" x14ac:dyDescent="0.25">
      <c r="A11" s="25" t="s">
        <v>1</v>
      </c>
      <c r="B11" s="5">
        <v>0</v>
      </c>
      <c r="C11" s="5">
        <v>0</v>
      </c>
      <c r="D11" s="5">
        <v>0</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0</v>
      </c>
      <c r="AF11" s="24">
        <v>9.854236723099179E-6</v>
      </c>
      <c r="AG11" s="24">
        <v>9.9823313516283816E-6</v>
      </c>
      <c r="AH11" s="24">
        <v>1.0100376622903003E-5</v>
      </c>
      <c r="AI11" s="24">
        <v>1.0217954371032664E-5</v>
      </c>
      <c r="AJ11" s="24">
        <v>1.0335036222756833E-5</v>
      </c>
      <c r="AK11" s="24">
        <v>1.0451609591361124E-5</v>
      </c>
      <c r="AL11" s="24">
        <v>1.0567721275233579E-5</v>
      </c>
      <c r="AM11" s="24">
        <v>1.0683584645201572E-5</v>
      </c>
      <c r="AN11" s="24">
        <v>1.0799445063931594E-5</v>
      </c>
      <c r="AO11" s="24">
        <v>1.0915504194081234E-5</v>
      </c>
      <c r="AP11" s="24">
        <v>1.1031807456688384E-5</v>
      </c>
      <c r="AQ11" s="24">
        <v>1.1148309525294568E-5</v>
      </c>
      <c r="AR11" s="24">
        <v>1.1264870100794226E-5</v>
      </c>
      <c r="AS11" s="24">
        <v>1.1381328286422772E-5</v>
      </c>
      <c r="AT11" s="24">
        <v>1.1497512483415883E-5</v>
      </c>
      <c r="AU11" s="24">
        <v>1.1803464369167429E-5</v>
      </c>
      <c r="AV11" s="24">
        <v>1.2071076753421164E-5</v>
      </c>
      <c r="AW11" s="24">
        <v>1.2339032919941119E-5</v>
      </c>
      <c r="AX11" s="24">
        <v>1.2607263023161016E-5</v>
      </c>
      <c r="AY11" s="24">
        <v>1.2875722419325717E-5</v>
      </c>
      <c r="AZ11" s="24">
        <v>1.3144397729442386E-5</v>
      </c>
      <c r="BA11" s="24">
        <v>1.3413300071319038E-5</v>
      </c>
      <c r="BB11" s="24">
        <v>1.3682448844595694E-5</v>
      </c>
      <c r="BC11" s="24">
        <v>1.395188726793054E-5</v>
      </c>
      <c r="BD11" s="24">
        <v>1.4221622177317089E-5</v>
      </c>
      <c r="BE11" s="24">
        <v>1.4491643827531894E-5</v>
      </c>
      <c r="BF11" s="24">
        <v>1.4761924783512753E-5</v>
      </c>
      <c r="BG11" s="24">
        <v>1.503244380112934E-5</v>
      </c>
      <c r="BH11" s="24">
        <v>1.5303187831917682E-5</v>
      </c>
      <c r="BI11" s="24">
        <v>1.557412314738251E-5</v>
      </c>
      <c r="BJ11" s="24">
        <v>1.5845231954920686E-5</v>
      </c>
      <c r="BK11" s="24">
        <v>1.6116481807391817E-5</v>
      </c>
      <c r="BL11" s="24">
        <v>1.6387846539899619E-5</v>
      </c>
      <c r="BM11" s="24">
        <v>1.6659294228484215E-5</v>
      </c>
      <c r="BN11" s="24">
        <v>1.6930804678487053E-5</v>
      </c>
      <c r="BO11" s="24">
        <v>1.72023400226907E-5</v>
      </c>
      <c r="BP11" s="24">
        <v>1.7473889524296791E-5</v>
      </c>
      <c r="BQ11" s="24">
        <v>1.7745421916057434E-5</v>
      </c>
      <c r="BR11" s="24">
        <v>1.8016930836368059E-5</v>
      </c>
      <c r="BS11" s="24">
        <v>1.8288393046038396E-5</v>
      </c>
      <c r="BT11" s="24">
        <v>1.8537394223131596E-5</v>
      </c>
      <c r="BU11" s="24">
        <v>1.8786939369484812E-5</v>
      </c>
      <c r="BV11" s="24">
        <v>1.9037001323926226E-5</v>
      </c>
      <c r="BW11" s="24">
        <v>1.9287578920227342E-5</v>
      </c>
      <c r="BX11" s="24">
        <v>1.9538671131323192E-5</v>
      </c>
      <c r="BY11" s="24">
        <v>1.9790284246013519E-5</v>
      </c>
      <c r="BZ11" s="24">
        <v>2.0042405273308238E-5</v>
      </c>
      <c r="CA11" s="24">
        <v>2.0295033898328146E-5</v>
      </c>
      <c r="CB11" s="24">
        <v>2.0548156613124433E-5</v>
      </c>
      <c r="CC11" s="24">
        <v>2.0801758869785672E-5</v>
      </c>
      <c r="CD11" s="24">
        <v>2.1055828081857568E-5</v>
      </c>
      <c r="CE11" s="24">
        <v>2.1310346949605758E-5</v>
      </c>
      <c r="CF11" s="24">
        <v>2.1565314955439615E-5</v>
      </c>
      <c r="CG11" s="24">
        <v>2.1820723628412651E-5</v>
      </c>
      <c r="CH11" s="24">
        <v>2.2076567644162625E-5</v>
      </c>
      <c r="CI11" s="24">
        <v>2.2332826663134236E-5</v>
      </c>
      <c r="CJ11" s="24">
        <v>2.2589489050445082E-5</v>
      </c>
      <c r="CK11" s="24">
        <v>2.2846510383298265E-5</v>
      </c>
      <c r="CL11" s="24">
        <v>2.3103864648919468E-5</v>
      </c>
      <c r="CM11" s="24">
        <v>2.336149868724929E-5</v>
      </c>
    </row>
    <row r="12" spans="1:91" x14ac:dyDescent="0.25">
      <c r="A12" s="25" t="s">
        <v>1</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24">
        <v>2.1546611417777664E-5</v>
      </c>
      <c r="AG12" s="24">
        <v>2.1548776353901259E-5</v>
      </c>
      <c r="AH12" s="24">
        <v>2.1529813843228388E-5</v>
      </c>
      <c r="AI12" s="24">
        <v>2.1511796280261009E-5</v>
      </c>
      <c r="AJ12" s="24">
        <v>2.1494294630538175E-5</v>
      </c>
      <c r="AK12" s="24">
        <v>2.1477258718884035E-5</v>
      </c>
      <c r="AL12" s="24">
        <v>2.1460780711870611E-5</v>
      </c>
      <c r="AM12" s="24">
        <v>2.1445238306112089E-5</v>
      </c>
      <c r="AN12" s="24">
        <v>2.1430974190250699E-5</v>
      </c>
      <c r="AO12" s="24">
        <v>2.1418246228484336E-5</v>
      </c>
      <c r="AP12" s="24">
        <v>2.1406989135757382E-5</v>
      </c>
      <c r="AQ12" s="24">
        <v>2.1396971476561034E-5</v>
      </c>
      <c r="AR12" s="24">
        <v>2.1387819441490876E-5</v>
      </c>
      <c r="AS12" s="24">
        <v>2.1379160748666734E-5</v>
      </c>
      <c r="AT12" s="24">
        <v>2.1370586114888923E-5</v>
      </c>
      <c r="AU12" s="24">
        <v>2.1564353450623786E-5</v>
      </c>
      <c r="AV12" s="24">
        <v>2.1793341436211772E-5</v>
      </c>
      <c r="AW12" s="24">
        <v>2.2022900015537084E-5</v>
      </c>
      <c r="AX12" s="24">
        <v>2.225291554480102E-5</v>
      </c>
      <c r="AY12" s="24">
        <v>2.248331696163916E-5</v>
      </c>
      <c r="AZ12" s="24">
        <v>2.2714121854788541E-5</v>
      </c>
      <c r="BA12" s="24">
        <v>2.2945369953573054E-5</v>
      </c>
      <c r="BB12" s="24">
        <v>2.317716854182256E-5</v>
      </c>
      <c r="BC12" s="24">
        <v>2.3409714567266966E-5</v>
      </c>
      <c r="BD12" s="24">
        <v>2.3643118283127092E-5</v>
      </c>
      <c r="BE12" s="24">
        <v>2.3877389487586614E-5</v>
      </c>
      <c r="BF12" s="24">
        <v>2.4112490073566627E-5</v>
      </c>
      <c r="BG12" s="24">
        <v>2.4348441491904624E-5</v>
      </c>
      <c r="BH12" s="24">
        <v>2.4585313440037396E-5</v>
      </c>
      <c r="BI12" s="24">
        <v>2.4823070699872917E-5</v>
      </c>
      <c r="BJ12" s="24">
        <v>2.5061723396556276E-5</v>
      </c>
      <c r="BK12" s="24">
        <v>2.5301222927894769E-5</v>
      </c>
      <c r="BL12" s="24">
        <v>2.5541470402580263E-5</v>
      </c>
      <c r="BM12" s="24">
        <v>2.5782356869015562E-5</v>
      </c>
      <c r="BN12" s="24">
        <v>2.602382674911267E-5</v>
      </c>
      <c r="BO12" s="24">
        <v>2.6265788224911583E-5</v>
      </c>
      <c r="BP12" s="24">
        <v>2.6508240428606932E-5</v>
      </c>
      <c r="BQ12" s="24">
        <v>2.6751112796108488E-5</v>
      </c>
      <c r="BR12" s="24">
        <v>2.6994398843226654E-5</v>
      </c>
      <c r="BS12" s="24">
        <v>2.7238015928863178E-5</v>
      </c>
      <c r="BT12" s="24">
        <v>2.7486278328480859E-5</v>
      </c>
      <c r="BU12" s="24">
        <v>2.7735066702356564E-5</v>
      </c>
      <c r="BV12" s="24">
        <v>2.7984373471102214E-5</v>
      </c>
      <c r="BW12" s="24">
        <v>2.8234185785609252E-5</v>
      </c>
      <c r="BX12" s="24">
        <v>2.848452661865839E-5</v>
      </c>
      <c r="BY12" s="24">
        <v>2.8735407812141995E-5</v>
      </c>
      <c r="BZ12" s="24">
        <v>2.8986784416274045E-5</v>
      </c>
      <c r="CA12" s="24">
        <v>2.923868910001958E-5</v>
      </c>
      <c r="CB12" s="24">
        <v>2.9491106015792109E-5</v>
      </c>
      <c r="CC12" s="24">
        <v>2.974403013996918E-5</v>
      </c>
      <c r="CD12" s="24">
        <v>2.9997418547630894E-5</v>
      </c>
      <c r="CE12" s="24">
        <v>3.0251285972614444E-5</v>
      </c>
      <c r="CF12" s="24">
        <v>3.0505605048150061E-5</v>
      </c>
      <c r="CG12" s="24">
        <v>3.0760361503078086E-5</v>
      </c>
      <c r="CH12" s="24">
        <v>3.1015537929679432E-5</v>
      </c>
      <c r="CI12" s="24">
        <v>3.1271124426628932E-5</v>
      </c>
      <c r="CJ12" s="24">
        <v>3.152708507740859E-5</v>
      </c>
      <c r="CK12" s="24">
        <v>3.1783371020349179E-5</v>
      </c>
      <c r="CL12" s="24">
        <v>3.2039952017257924E-5</v>
      </c>
      <c r="CM12" s="24">
        <v>3.2296747924272995E-5</v>
      </c>
    </row>
    <row r="14" spans="1:91" x14ac:dyDescent="0.25">
      <c r="A14" s="25" t="s">
        <v>4</v>
      </c>
      <c r="B14" s="5">
        <v>0</v>
      </c>
      <c r="C14" s="5">
        <v>0</v>
      </c>
      <c r="D14" s="5">
        <v>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24">
        <v>7.2579400635636128E-5</v>
      </c>
      <c r="AG14" s="24">
        <v>7.2710750357848772E-5</v>
      </c>
      <c r="AH14" s="24">
        <v>7.2835631481469562E-5</v>
      </c>
      <c r="AI14" s="24">
        <v>7.2966844650889425E-5</v>
      </c>
      <c r="AJ14" s="24">
        <v>7.3104359921105733E-5</v>
      </c>
      <c r="AK14" s="24">
        <v>7.3248246864508071E-5</v>
      </c>
      <c r="AL14" s="24">
        <v>7.3398754505103175E-5</v>
      </c>
      <c r="AM14" s="24">
        <v>7.3555626460515322E-5</v>
      </c>
      <c r="AN14" s="24">
        <v>7.3718630250443402E-5</v>
      </c>
      <c r="AO14" s="24">
        <v>7.3887930394828121E-5</v>
      </c>
      <c r="AP14" s="24">
        <v>7.4063048210976443E-5</v>
      </c>
      <c r="AQ14" s="24">
        <v>7.4244147109695115E-5</v>
      </c>
      <c r="AR14" s="24">
        <v>7.4431632375143155E-5</v>
      </c>
      <c r="AS14" s="24">
        <v>7.4625871636400709E-5</v>
      </c>
      <c r="AT14" s="24">
        <v>7.4827372348252132E-5</v>
      </c>
      <c r="AU14" s="24">
        <v>7.5272799341533807E-5</v>
      </c>
      <c r="AV14" s="24">
        <v>7.5653421761369362E-5</v>
      </c>
      <c r="AW14" s="24">
        <v>7.6040193622583865E-5</v>
      </c>
      <c r="AX14" s="24">
        <v>7.6432190906052539E-5</v>
      </c>
      <c r="AY14" s="24">
        <v>7.6828880354967423E-5</v>
      </c>
      <c r="AZ14" s="24">
        <v>7.7229800876962352E-5</v>
      </c>
      <c r="BA14" s="24">
        <v>7.7634910652234077E-5</v>
      </c>
      <c r="BB14" s="24">
        <v>7.8043932027252886E-5</v>
      </c>
      <c r="BC14" s="24">
        <v>7.8456345254956117E-5</v>
      </c>
      <c r="BD14" s="24">
        <v>7.8871802407409408E-5</v>
      </c>
      <c r="BE14" s="24">
        <v>7.9290254340928318E-5</v>
      </c>
      <c r="BF14" s="24">
        <v>7.9711490722035377E-5</v>
      </c>
      <c r="BG14" s="24">
        <v>8.0135788621319673E-5</v>
      </c>
      <c r="BH14" s="24">
        <v>8.0562988302829418E-5</v>
      </c>
      <c r="BI14" s="24">
        <v>8.0993198348850272E-5</v>
      </c>
      <c r="BJ14" s="24">
        <v>8.1426526896724929E-5</v>
      </c>
      <c r="BK14" s="24">
        <v>8.1862876820251466E-5</v>
      </c>
      <c r="BL14" s="24">
        <v>8.2302563022349228E-5</v>
      </c>
      <c r="BM14" s="24">
        <v>8.2745948066426073E-5</v>
      </c>
      <c r="BN14" s="24">
        <v>8.3193150536952967E-5</v>
      </c>
      <c r="BO14" s="24">
        <v>8.3644366820044867E-5</v>
      </c>
      <c r="BP14" s="24">
        <v>8.4099276794272285E-5</v>
      </c>
      <c r="BQ14" s="24">
        <v>8.4557925721439917E-5</v>
      </c>
      <c r="BR14" s="24">
        <v>8.5019750842936146E-5</v>
      </c>
      <c r="BS14" s="24">
        <v>8.8421503654507531E-5</v>
      </c>
      <c r="BT14" s="24">
        <v>8.8842393838757668E-5</v>
      </c>
      <c r="BU14" s="24">
        <v>8.9265303631429454E-5</v>
      </c>
      <c r="BV14" s="24">
        <v>8.968966968738465E-5</v>
      </c>
      <c r="BW14" s="24">
        <v>9.0115191424142366E-5</v>
      </c>
      <c r="BX14" s="24">
        <v>9.0541413440371632E-5</v>
      </c>
      <c r="BY14" s="24">
        <v>9.0968056296699494E-5</v>
      </c>
      <c r="BZ14" s="24">
        <v>9.1395259359980312E-5</v>
      </c>
      <c r="CA14" s="24">
        <v>9.1822763544531668E-5</v>
      </c>
      <c r="CB14" s="24">
        <v>9.2250697448126019E-5</v>
      </c>
      <c r="CC14" s="24">
        <v>9.2678861236957113E-5</v>
      </c>
      <c r="CD14" s="24">
        <v>9.3107437683878698E-5</v>
      </c>
      <c r="CE14" s="24">
        <v>9.3536262752496986E-5</v>
      </c>
      <c r="CF14" s="24">
        <v>9.3965275259047813E-5</v>
      </c>
      <c r="CG14" s="24">
        <v>9.4394518640761839E-5</v>
      </c>
      <c r="CH14" s="24">
        <v>9.4823893052683463E-5</v>
      </c>
      <c r="CI14" s="24">
        <v>9.5253528751421097E-5</v>
      </c>
      <c r="CJ14" s="24">
        <v>9.5683465522345998E-5</v>
      </c>
      <c r="CK14" s="24">
        <v>9.611397100395814E-5</v>
      </c>
      <c r="CL14" s="24">
        <v>9.6545000653288165E-5</v>
      </c>
      <c r="CM14" s="24">
        <v>9.6976999883365017E-5</v>
      </c>
    </row>
    <row r="16" spans="1:91" x14ac:dyDescent="0.25">
      <c r="A16" s="25" t="s">
        <v>5</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23">
        <v>2.6047124150016419E-5</v>
      </c>
      <c r="AG16" s="23">
        <v>2.5931820509822103E-5</v>
      </c>
      <c r="AH16" s="23">
        <v>2.5817027287951345E-5</v>
      </c>
      <c r="AI16" s="23">
        <v>2.5702742224918969E-5</v>
      </c>
      <c r="AJ16" s="23">
        <v>2.5588963071241946E-5</v>
      </c>
      <c r="AK16" s="23">
        <v>2.5475687587395098E-5</v>
      </c>
      <c r="AL16" s="23">
        <v>2.5362913543767027E-5</v>
      </c>
      <c r="AM16" s="23">
        <v>2.5250638720616227E-5</v>
      </c>
      <c r="AN16" s="23">
        <v>2.5138860908027395E-5</v>
      </c>
      <c r="AO16" s="23">
        <v>2.5027577905867931E-5</v>
      </c>
      <c r="AP16" s="23">
        <v>2.4916787523744632E-5</v>
      </c>
      <c r="AQ16" s="23">
        <v>2.4806487580960574E-5</v>
      </c>
      <c r="AR16" s="23">
        <v>2.4696675906472202E-5</v>
      </c>
      <c r="AS16" s="23">
        <v>2.4587350338846587E-5</v>
      </c>
      <c r="AT16" s="23">
        <v>2.4478508726218878E-5</v>
      </c>
      <c r="AU16" s="28">
        <v>2.4527270636204891E-5</v>
      </c>
      <c r="AV16" s="28">
        <v>2.4548593876562171E-5</v>
      </c>
      <c r="AW16" s="28">
        <v>2.4569924732133882E-5</v>
      </c>
      <c r="AX16" s="28">
        <v>2.4591263205639672E-5</v>
      </c>
      <c r="AY16" s="28">
        <v>2.4612609299800146E-5</v>
      </c>
      <c r="AZ16" s="28">
        <v>2.4633963017336884E-5</v>
      </c>
      <c r="BA16" s="28">
        <v>2.4655324360972442E-5</v>
      </c>
      <c r="BB16" s="28">
        <v>2.467669333343034E-5</v>
      </c>
      <c r="BC16" s="28">
        <v>2.4698069937435075E-5</v>
      </c>
      <c r="BD16" s="28">
        <v>2.4719454175712123E-5</v>
      </c>
      <c r="BE16" s="28">
        <v>2.4740846050987925E-5</v>
      </c>
      <c r="BF16" s="28">
        <v>2.4762245565989893E-5</v>
      </c>
      <c r="BG16" s="28">
        <v>2.4783652723446429E-5</v>
      </c>
      <c r="BH16" s="28">
        <v>2.4805067526086899E-5</v>
      </c>
      <c r="BI16" s="28">
        <v>2.4826489976641633E-5</v>
      </c>
      <c r="BJ16" s="28">
        <v>2.4847920077841963E-5</v>
      </c>
      <c r="BK16" s="28">
        <v>2.4869357832420167E-5</v>
      </c>
      <c r="BL16" s="28">
        <v>2.4890803243109515E-5</v>
      </c>
      <c r="BM16" s="28">
        <v>2.491225631264425E-5</v>
      </c>
      <c r="BN16" s="28">
        <v>2.49337170437596E-5</v>
      </c>
      <c r="BO16" s="28">
        <v>2.4955185439191757E-5</v>
      </c>
      <c r="BP16" s="28">
        <v>2.497666150167789E-5</v>
      </c>
      <c r="BQ16" s="28">
        <v>2.4998145233956152E-5</v>
      </c>
      <c r="BR16" s="28">
        <v>2.5019636638765671E-5</v>
      </c>
      <c r="BS16" s="28">
        <v>2.5041135718846558E-5</v>
      </c>
      <c r="BT16" s="28">
        <v>2.5062642476939903E-5</v>
      </c>
      <c r="BU16" s="28">
        <v>2.5084156915787766E-5</v>
      </c>
      <c r="BV16" s="28">
        <v>2.5105679038133188E-5</v>
      </c>
      <c r="BW16" s="28">
        <v>2.5127208846720193E-5</v>
      </c>
      <c r="BX16" s="28">
        <v>2.5148746344293792E-5</v>
      </c>
      <c r="BY16" s="28">
        <v>2.5170291533599969E-5</v>
      </c>
      <c r="BZ16" s="28">
        <v>2.5191844417385685E-5</v>
      </c>
      <c r="CA16" s="28">
        <v>2.5213404998398886E-5</v>
      </c>
      <c r="CB16" s="28">
        <v>2.5234973279388503E-5</v>
      </c>
      <c r="CC16" s="28">
        <v>2.5256549263104441E-5</v>
      </c>
      <c r="CD16" s="28">
        <v>2.5278132952297586E-5</v>
      </c>
      <c r="CE16" s="28">
        <v>2.5299724349719819E-5</v>
      </c>
      <c r="CF16" s="28">
        <v>2.5321323458123997E-5</v>
      </c>
      <c r="CG16" s="28">
        <v>2.5342930280263964E-5</v>
      </c>
      <c r="CH16" s="28">
        <v>2.5364544818894534E-5</v>
      </c>
      <c r="CI16" s="28">
        <v>2.5386167076771516E-5</v>
      </c>
      <c r="CJ16" s="28">
        <v>2.5407797056651697E-5</v>
      </c>
      <c r="CK16" s="28">
        <v>2.5429434761292858E-5</v>
      </c>
      <c r="CL16" s="28">
        <v>2.5451080193453763E-5</v>
      </c>
      <c r="CM16" s="28">
        <v>2.5472733355894152E-5</v>
      </c>
    </row>
    <row r="17" spans="1:91" x14ac:dyDescent="0.25">
      <c r="A17" s="25" t="s">
        <v>1</v>
      </c>
      <c r="B17" s="5">
        <v>0</v>
      </c>
      <c r="C17" s="5">
        <v>0</v>
      </c>
      <c r="D17" s="5">
        <v>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23">
        <v>2.0100000000000001E-4</v>
      </c>
      <c r="AG17" s="23">
        <v>2.0106666666666668E-4</v>
      </c>
      <c r="AH17" s="23">
        <v>2.0113333333333333E-4</v>
      </c>
      <c r="AI17" s="23">
        <v>2.0120000000000001E-4</v>
      </c>
      <c r="AJ17" s="23">
        <v>2.0126666666666666E-4</v>
      </c>
      <c r="AK17" s="23">
        <v>2.0133333333333334E-4</v>
      </c>
      <c r="AL17" s="23">
        <v>2.0140000000000002E-4</v>
      </c>
      <c r="AM17" s="23">
        <v>2.0146666666666667E-4</v>
      </c>
      <c r="AN17" s="23">
        <v>2.0153333333333334E-4</v>
      </c>
      <c r="AO17" s="23">
        <v>2.0159999999999999E-4</v>
      </c>
      <c r="AP17" s="23">
        <v>2.0166666666666667E-4</v>
      </c>
      <c r="AQ17" s="23">
        <v>2.0173333333333335E-4</v>
      </c>
      <c r="AR17" s="23">
        <v>2.018E-4</v>
      </c>
      <c r="AS17" s="23">
        <v>2.0186666666666668E-4</v>
      </c>
      <c r="AT17" s="23">
        <v>2.0193333333333333E-4</v>
      </c>
      <c r="AU17" s="28">
        <v>2.0209666666666669E-4</v>
      </c>
      <c r="AV17" s="28">
        <v>2.0342375000000006E-4</v>
      </c>
      <c r="AW17" s="28">
        <v>2.0475083333333335E-4</v>
      </c>
      <c r="AX17" s="28">
        <v>2.0607791666666671E-4</v>
      </c>
      <c r="AY17" s="28">
        <v>2.0740500000000008E-4</v>
      </c>
      <c r="AZ17" s="28">
        <v>2.0873208333333336E-4</v>
      </c>
      <c r="BA17" s="28">
        <v>2.1005916666666673E-4</v>
      </c>
      <c r="BB17" s="28">
        <v>2.113862500000001E-4</v>
      </c>
      <c r="BC17" s="28">
        <v>2.1271333333333338E-4</v>
      </c>
      <c r="BD17" s="28">
        <v>2.1404041666666675E-4</v>
      </c>
      <c r="BE17" s="28">
        <v>2.1536750000000012E-4</v>
      </c>
      <c r="BF17" s="28">
        <v>2.166945833333334E-4</v>
      </c>
      <c r="BG17" s="28">
        <v>2.1802166666666677E-4</v>
      </c>
      <c r="BH17" s="28">
        <v>2.1934875000000013E-4</v>
      </c>
      <c r="BI17" s="28">
        <v>2.2067583333333342E-4</v>
      </c>
      <c r="BJ17" s="28">
        <v>2.2200291666666679E-4</v>
      </c>
      <c r="BK17" s="28">
        <v>2.2333000000000015E-4</v>
      </c>
      <c r="BL17" s="28">
        <v>2.2465708333333344E-4</v>
      </c>
      <c r="BM17" s="28">
        <v>2.2598416666666681E-4</v>
      </c>
      <c r="BN17" s="28">
        <v>2.2731125000000017E-4</v>
      </c>
      <c r="BO17" s="28">
        <v>2.2863833333333346E-4</v>
      </c>
      <c r="BP17" s="28">
        <v>2.2996541666666682E-4</v>
      </c>
      <c r="BQ17" s="28">
        <v>2.3129250000000019E-4</v>
      </c>
      <c r="BR17" s="28">
        <v>2.3261958333333348E-4</v>
      </c>
      <c r="BS17" s="28">
        <v>2.3394666666666684E-4</v>
      </c>
      <c r="BT17" s="28">
        <v>2.3480416666666687E-4</v>
      </c>
      <c r="BU17" s="28">
        <v>2.3566166666666682E-4</v>
      </c>
      <c r="BV17" s="28">
        <v>2.3651916666666685E-4</v>
      </c>
      <c r="BW17" s="28">
        <v>2.3737666666666688E-4</v>
      </c>
      <c r="BX17" s="28">
        <v>2.3823416666666683E-4</v>
      </c>
      <c r="BY17" s="28">
        <v>2.3909166666666686E-4</v>
      </c>
      <c r="BZ17" s="28">
        <v>2.3994916666666689E-4</v>
      </c>
      <c r="CA17" s="28">
        <v>2.4080666666666692E-4</v>
      </c>
      <c r="CB17" s="28">
        <v>2.4166416666666687E-4</v>
      </c>
      <c r="CC17" s="28">
        <v>2.425216666666669E-4</v>
      </c>
      <c r="CD17" s="28">
        <v>2.4337916666666693E-4</v>
      </c>
      <c r="CE17" s="28">
        <v>2.4423666666666691E-4</v>
      </c>
      <c r="CF17" s="28">
        <v>2.4509416666666691E-4</v>
      </c>
      <c r="CG17" s="28">
        <v>2.4595166666666692E-4</v>
      </c>
      <c r="CH17" s="28">
        <v>2.4680916666666692E-4</v>
      </c>
      <c r="CI17" s="28">
        <v>2.4766666666666687E-4</v>
      </c>
      <c r="CJ17" s="28">
        <v>2.4852416666666687E-4</v>
      </c>
      <c r="CK17" s="28">
        <v>2.4938166666666687E-4</v>
      </c>
      <c r="CL17" s="28">
        <v>2.5023916666666682E-4</v>
      </c>
      <c r="CM17" s="28">
        <v>2.5109666666666683E-4</v>
      </c>
    </row>
    <row r="18" spans="1:91" x14ac:dyDescent="0.25">
      <c r="A18" s="25" t="s">
        <v>2</v>
      </c>
      <c r="B18" s="5">
        <v>0</v>
      </c>
      <c r="C18" s="5">
        <v>0</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23">
        <v>3.1090007506599416E-5</v>
      </c>
      <c r="AG18" s="23">
        <v>3.1214866974497405E-5</v>
      </c>
      <c r="AH18" s="23">
        <v>3.1340227886041568E-5</v>
      </c>
      <c r="AI18" s="23">
        <v>3.1466092255061819E-5</v>
      </c>
      <c r="AJ18" s="23">
        <v>3.1592462103475722E-5</v>
      </c>
      <c r="AK18" s="23">
        <v>3.1719339461321004E-5</v>
      </c>
      <c r="AL18" s="23">
        <v>3.1846726366788155E-5</v>
      </c>
      <c r="AM18" s="23">
        <v>3.1974624866253171E-5</v>
      </c>
      <c r="AN18" s="23">
        <v>3.2103037014310414E-5</v>
      </c>
      <c r="AO18" s="23">
        <v>3.2231964873805633E-5</v>
      </c>
      <c r="AP18" s="23">
        <v>3.2361410515869112E-5</v>
      </c>
      <c r="AQ18" s="23">
        <v>3.2491376019948906E-5</v>
      </c>
      <c r="AR18" s="23">
        <v>3.2621863473844284E-5</v>
      </c>
      <c r="AS18" s="23">
        <v>3.2752874973739242E-5</v>
      </c>
      <c r="AT18" s="23">
        <v>3.288441262423619E-5</v>
      </c>
      <c r="AU18" s="28">
        <v>3.3207974113912413E-5</v>
      </c>
      <c r="AV18" s="28">
        <v>3.3288864486331462E-5</v>
      </c>
      <c r="AW18" s="28">
        <v>3.3369835749122934E-5</v>
      </c>
      <c r="AX18" s="28">
        <v>3.3450887983177203E-5</v>
      </c>
      <c r="AY18" s="28">
        <v>3.3532021269465522E-5</v>
      </c>
      <c r="AZ18" s="28">
        <v>3.3613235689040128E-5</v>
      </c>
      <c r="BA18" s="28">
        <v>3.3694531323034302E-5</v>
      </c>
      <c r="BB18" s="28">
        <v>3.3775908252662486E-5</v>
      </c>
      <c r="BC18" s="28">
        <v>3.3857366559220299E-5</v>
      </c>
      <c r="BD18" s="28">
        <v>3.3938906324084656E-5</v>
      </c>
      <c r="BE18" s="28">
        <v>3.4020527628713876E-5</v>
      </c>
      <c r="BF18" s="28">
        <v>3.4102230554647727E-5</v>
      </c>
      <c r="BG18" s="28">
        <v>3.4184015183507524E-5</v>
      </c>
      <c r="BH18" s="28">
        <v>3.4265881596996182E-5</v>
      </c>
      <c r="BI18" s="28">
        <v>3.4347829876898322E-5</v>
      </c>
      <c r="BJ18" s="28">
        <v>3.4429860105080371E-5</v>
      </c>
      <c r="BK18" s="28">
        <v>3.4511972363490597E-5</v>
      </c>
      <c r="BL18" s="28">
        <v>3.4594166734159236E-5</v>
      </c>
      <c r="BM18" s="28">
        <v>3.4676443299198535E-5</v>
      </c>
      <c r="BN18" s="28">
        <v>3.4758802140802879E-5</v>
      </c>
      <c r="BO18" s="28">
        <v>3.4841243341248831E-5</v>
      </c>
      <c r="BP18" s="28">
        <v>3.4923766982895216E-5</v>
      </c>
      <c r="BQ18" s="28">
        <v>3.5006373148183261E-5</v>
      </c>
      <c r="BR18" s="28">
        <v>3.5089061919636589E-5</v>
      </c>
      <c r="BS18" s="28">
        <v>3.5171833379861369E-5</v>
      </c>
      <c r="BT18" s="28">
        <v>3.5254687611546367E-5</v>
      </c>
      <c r="BU18" s="28">
        <v>3.5337624697463061E-5</v>
      </c>
      <c r="BV18" s="28">
        <v>3.5420644720465657E-5</v>
      </c>
      <c r="BW18" s="28">
        <v>3.5503747763491259E-5</v>
      </c>
      <c r="BX18" s="28">
        <v>3.5586933909559896E-5</v>
      </c>
      <c r="BY18" s="28">
        <v>3.5670203241774602E-5</v>
      </c>
      <c r="BZ18" s="28">
        <v>3.575355584332152E-5</v>
      </c>
      <c r="CA18" s="28">
        <v>3.5836991797469985E-5</v>
      </c>
      <c r="CB18" s="28">
        <v>3.5920511187572593E-5</v>
      </c>
      <c r="CC18" s="28">
        <v>3.6004114097065308E-5</v>
      </c>
      <c r="CD18" s="28">
        <v>3.6087800609467511E-5</v>
      </c>
      <c r="CE18" s="28">
        <v>3.6171570808382118E-5</v>
      </c>
      <c r="CF18" s="28">
        <v>3.6255424777495646E-5</v>
      </c>
      <c r="CG18" s="28">
        <v>3.6339362600578278E-5</v>
      </c>
      <c r="CH18" s="28">
        <v>3.6423384361484006E-5</v>
      </c>
      <c r="CI18" s="28">
        <v>3.6507490144150623E-5</v>
      </c>
      <c r="CJ18" s="28">
        <v>3.6591680032599916E-5</v>
      </c>
      <c r="CK18" s="28">
        <v>3.6675954110937653E-5</v>
      </c>
      <c r="CL18" s="28">
        <v>3.6760312463353728E-5</v>
      </c>
      <c r="CM18" s="28">
        <v>3.6844755174122232E-5</v>
      </c>
    </row>
    <row r="19" spans="1:91" x14ac:dyDescent="0.25">
      <c r="A19" s="25" t="s">
        <v>2</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23">
        <v>1.9058062501626263E-5</v>
      </c>
      <c r="AG19" s="23">
        <v>1.9367949696774658E-5</v>
      </c>
      <c r="AH19" s="23">
        <v>1.9682875708104327E-5</v>
      </c>
      <c r="AI19" s="23">
        <v>2.0002922467585699E-5</v>
      </c>
      <c r="AJ19" s="23">
        <v>2.0328173239416362E-5</v>
      </c>
      <c r="AK19" s="23">
        <v>2.0658712641683296E-5</v>
      </c>
      <c r="AL19" s="23">
        <v>2.0994626668377332E-5</v>
      </c>
      <c r="AM19" s="23">
        <v>2.1336002711765583E-5</v>
      </c>
      <c r="AN19" s="23">
        <v>2.1682929585127624E-5</v>
      </c>
      <c r="AO19" s="23">
        <v>2.2035497545861405E-5</v>
      </c>
      <c r="AP19" s="23">
        <v>2.2393798318964842E-5</v>
      </c>
      <c r="AQ19" s="23">
        <v>2.2757925120899231E-5</v>
      </c>
      <c r="AR19" s="23">
        <v>2.3127972683840682E-5</v>
      </c>
      <c r="AS19" s="23">
        <v>2.3504037280325898E-5</v>
      </c>
      <c r="AT19" s="23">
        <v>2.3886216748298676E-5</v>
      </c>
      <c r="AU19" s="28">
        <v>2.483778148054797E-5</v>
      </c>
      <c r="AV19" s="28">
        <v>2.5254091050907037E-5</v>
      </c>
      <c r="AW19" s="28">
        <v>2.5673314788258621E-5</v>
      </c>
      <c r="AX19" s="28">
        <v>2.6095473091771663E-5</v>
      </c>
      <c r="AY19" s="28">
        <v>2.6520586503409295E-5</v>
      </c>
      <c r="AZ19" s="28">
        <v>2.6948675708928396E-5</v>
      </c>
      <c r="BA19" s="28">
        <v>2.737976153888613E-5</v>
      </c>
      <c r="BB19" s="28">
        <v>2.7813864969653563E-5</v>
      </c>
      <c r="BC19" s="28">
        <v>2.8251007124436367E-5</v>
      </c>
      <c r="BD19" s="28">
        <v>2.8691209274302657E-5</v>
      </c>
      <c r="BE19" s="28">
        <v>2.9134492839218006E-5</v>
      </c>
      <c r="BF19" s="28">
        <v>2.9580879389087765E-5</v>
      </c>
      <c r="BG19" s="28">
        <v>3.0030390644806612E-5</v>
      </c>
      <c r="BH19" s="28">
        <v>3.0483048479315491E-5</v>
      </c>
      <c r="BI19" s="28">
        <v>3.0938874918665932E-5</v>
      </c>
      <c r="BJ19" s="28">
        <v>3.1397892143091828E-5</v>
      </c>
      <c r="BK19" s="28">
        <v>3.1860122488088699E-5</v>
      </c>
      <c r="BL19" s="28">
        <v>3.2325588445500551E-5</v>
      </c>
      <c r="BM19" s="28">
        <v>3.279431266461429E-5</v>
      </c>
      <c r="BN19" s="28">
        <v>3.3266317953261819E-5</v>
      </c>
      <c r="BO19" s="28">
        <v>3.3741627278929884E-5</v>
      </c>
      <c r="BP19" s="28">
        <v>3.4220263769877625E-5</v>
      </c>
      <c r="BQ19" s="28">
        <v>3.4702250716261995E-5</v>
      </c>
      <c r="BR19" s="28">
        <v>3.5187611571271056E-5</v>
      </c>
      <c r="BS19" s="28">
        <v>3.5676369952265181E-5</v>
      </c>
      <c r="BT19" s="28">
        <v>3.6168549641926262E-5</v>
      </c>
      <c r="BU19" s="28">
        <v>3.6664174589414974E-5</v>
      </c>
      <c r="BV19" s="28">
        <v>3.7163268911536108E-5</v>
      </c>
      <c r="BW19" s="28">
        <v>3.7665856893912095E-5</v>
      </c>
      <c r="BX19" s="28">
        <v>3.8171962992164707E-5</v>
      </c>
      <c r="BY19" s="28">
        <v>3.8681611833105085E-5</v>
      </c>
      <c r="BZ19" s="28">
        <v>3.9194828215932059E-5</v>
      </c>
      <c r="CA19" s="28">
        <v>3.9711637113438815E-5</v>
      </c>
      <c r="CB19" s="28">
        <v>4.0232063673228111E-5</v>
      </c>
      <c r="CC19" s="28">
        <v>4.0756133218935944E-5</v>
      </c>
      <c r="CD19" s="28">
        <v>4.128387125146372E-5</v>
      </c>
      <c r="CE19" s="28">
        <v>4.1815303450219195E-5</v>
      </c>
      <c r="CF19" s="28">
        <v>4.2350455674365956E-5</v>
      </c>
      <c r="CG19" s="28">
        <v>4.2889353964081748E-5</v>
      </c>
      <c r="CH19" s="28">
        <v>4.3432024541825556E-5</v>
      </c>
      <c r="CI19" s="28">
        <v>4.397849381361356E-5</v>
      </c>
      <c r="CJ19" s="28">
        <v>4.4528788370304082E-5</v>
      </c>
      <c r="CK19" s="28">
        <v>4.5082934988891445E-5</v>
      </c>
      <c r="CL19" s="28">
        <v>4.5640960633808913E-5</v>
      </c>
      <c r="CM19" s="28">
        <v>4.6202892458240802E-5</v>
      </c>
    </row>
    <row r="21" spans="1:91" x14ac:dyDescent="0.25">
      <c r="A21" s="25" t="s">
        <v>6</v>
      </c>
      <c r="B21" s="5">
        <v>0</v>
      </c>
      <c r="C21" s="5">
        <v>0</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23">
        <v>3.7310549777117386E-5</v>
      </c>
      <c r="AG21" s="23">
        <v>3.7387320455671127E-5</v>
      </c>
      <c r="AH21" s="23">
        <v>3.7464091134224867E-5</v>
      </c>
      <c r="AI21" s="23">
        <v>3.7540861812778601E-5</v>
      </c>
      <c r="AJ21" s="23">
        <v>3.7617632491332342E-5</v>
      </c>
      <c r="AK21" s="23">
        <v>3.7694403169886082E-5</v>
      </c>
      <c r="AL21" s="23">
        <v>3.7771173848439823E-5</v>
      </c>
      <c r="AM21" s="23">
        <v>3.7847944526993563E-5</v>
      </c>
      <c r="AN21" s="23">
        <v>3.7924715205547297E-5</v>
      </c>
      <c r="AO21" s="23">
        <v>3.8001485884101038E-5</v>
      </c>
      <c r="AP21" s="23">
        <v>3.8078256562654778E-5</v>
      </c>
      <c r="AQ21" s="23">
        <v>3.8155027241208519E-5</v>
      </c>
      <c r="AR21" s="23">
        <v>3.823179791976226E-5</v>
      </c>
      <c r="AS21" s="23">
        <v>3.8308568598315993E-5</v>
      </c>
      <c r="AT21" s="23">
        <v>3.8385339276869734E-5</v>
      </c>
      <c r="AU21" s="28">
        <v>3.8573427439326397E-5</v>
      </c>
      <c r="AV21" s="28">
        <v>3.9132068857957175E-5</v>
      </c>
      <c r="AW21" s="28">
        <v>3.9690710276587974E-5</v>
      </c>
      <c r="AX21" s="28">
        <v>4.0249351695218752E-5</v>
      </c>
      <c r="AY21" s="28">
        <v>4.080799311384953E-5</v>
      </c>
      <c r="AZ21" s="28">
        <v>4.1366634532480307E-5</v>
      </c>
      <c r="BA21" s="28">
        <v>4.1925275951111085E-5</v>
      </c>
      <c r="BB21" s="28">
        <v>4.2483917369741884E-5</v>
      </c>
      <c r="BC21" s="28">
        <v>4.3042558788372662E-5</v>
      </c>
      <c r="BD21" s="28">
        <v>4.360120020700344E-5</v>
      </c>
      <c r="BE21" s="28">
        <v>4.4159841625634238E-5</v>
      </c>
      <c r="BF21" s="28">
        <v>4.4718483044265016E-5</v>
      </c>
      <c r="BG21" s="28">
        <v>4.5277124462895794E-5</v>
      </c>
      <c r="BH21" s="28">
        <v>4.5835765881526572E-5</v>
      </c>
      <c r="BI21" s="28">
        <v>4.639440730015735E-5</v>
      </c>
      <c r="BJ21" s="28">
        <v>4.6953048718788148E-5</v>
      </c>
      <c r="BK21" s="28">
        <v>4.7511690137418926E-5</v>
      </c>
      <c r="BL21" s="28">
        <v>4.8070331556049704E-5</v>
      </c>
      <c r="BM21" s="28">
        <v>4.8628972974680502E-5</v>
      </c>
      <c r="BN21" s="28">
        <v>4.918761439331128E-5</v>
      </c>
      <c r="BO21" s="28">
        <v>4.9746255811942058E-5</v>
      </c>
      <c r="BP21" s="28">
        <v>5.0304897230572836E-5</v>
      </c>
      <c r="BQ21" s="28">
        <v>5.0863538649203614E-5</v>
      </c>
      <c r="BR21" s="28">
        <v>5.1422180067834412E-5</v>
      </c>
      <c r="BS21" s="28">
        <v>5.198082148646519E-5</v>
      </c>
      <c r="BT21" s="28">
        <v>5.198082148646519E-5</v>
      </c>
      <c r="BU21" s="28">
        <v>5.198082148646519E-5</v>
      </c>
      <c r="BV21" s="28">
        <v>5.198082148646519E-5</v>
      </c>
      <c r="BW21" s="28">
        <v>5.198082148646519E-5</v>
      </c>
      <c r="BX21" s="28">
        <v>5.198082148646519E-5</v>
      </c>
      <c r="BY21" s="28">
        <v>5.198082148646519E-5</v>
      </c>
      <c r="BZ21" s="28">
        <v>5.198082148646519E-5</v>
      </c>
      <c r="CA21" s="28">
        <v>5.198082148646519E-5</v>
      </c>
      <c r="CB21" s="28">
        <v>5.198082148646519E-5</v>
      </c>
      <c r="CC21" s="28">
        <v>5.198082148646519E-5</v>
      </c>
      <c r="CD21" s="28">
        <v>5.198082148646519E-5</v>
      </c>
      <c r="CE21" s="28">
        <v>5.198082148646519E-5</v>
      </c>
      <c r="CF21" s="28">
        <v>5.198082148646519E-5</v>
      </c>
      <c r="CG21" s="28">
        <v>5.198082148646519E-5</v>
      </c>
      <c r="CH21" s="28">
        <v>5.198082148646519E-5</v>
      </c>
      <c r="CI21" s="28">
        <v>5.198082148646519E-5</v>
      </c>
      <c r="CJ21" s="28">
        <v>5.198082148646519E-5</v>
      </c>
      <c r="CK21" s="28">
        <v>5.198082148646519E-5</v>
      </c>
      <c r="CL21" s="28">
        <v>5.198082148646519E-5</v>
      </c>
      <c r="CM21" s="28">
        <v>5.198082148646519E-5</v>
      </c>
    </row>
    <row r="22" spans="1:91" x14ac:dyDescent="0.25">
      <c r="A22" s="25" t="s">
        <v>1</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23">
        <v>5.3438335809806834E-5</v>
      </c>
      <c r="AG22" s="23">
        <v>5.3548291233283803E-5</v>
      </c>
      <c r="AH22" s="23">
        <v>5.3658246656760772E-5</v>
      </c>
      <c r="AI22" s="23">
        <v>5.3768202080237741E-5</v>
      </c>
      <c r="AJ22" s="23">
        <v>5.3878157503714709E-5</v>
      </c>
      <c r="AK22" s="23">
        <v>5.3988112927191678E-5</v>
      </c>
      <c r="AL22" s="23">
        <v>5.4098068350668647E-5</v>
      </c>
      <c r="AM22" s="23">
        <v>5.4208023774145616E-5</v>
      </c>
      <c r="AN22" s="23">
        <v>5.4317979197622585E-5</v>
      </c>
      <c r="AO22" s="23">
        <v>5.4427934621099554E-5</v>
      </c>
      <c r="AP22" s="23">
        <v>5.4537890044576523E-5</v>
      </c>
      <c r="AQ22" s="23">
        <v>5.4647845468053492E-5</v>
      </c>
      <c r="AR22" s="23">
        <v>5.4757800891530461E-5</v>
      </c>
      <c r="AS22" s="23">
        <v>5.4867756315007429E-5</v>
      </c>
      <c r="AT22" s="23">
        <v>5.4977711738484398E-5</v>
      </c>
      <c r="AU22" s="28">
        <v>5.5247102526002975E-5</v>
      </c>
      <c r="AV22" s="28">
        <v>5.5324590418986889E-5</v>
      </c>
      <c r="AW22" s="28">
        <v>5.5402078311970795E-5</v>
      </c>
      <c r="AX22" s="28">
        <v>5.5479566204954709E-5</v>
      </c>
      <c r="AY22" s="28">
        <v>5.5557054097938623E-5</v>
      </c>
      <c r="AZ22" s="28">
        <v>5.5634541990922537E-5</v>
      </c>
      <c r="BA22" s="28">
        <v>5.5712029883906443E-5</v>
      </c>
      <c r="BB22" s="28">
        <v>5.5789517776890357E-5</v>
      </c>
      <c r="BC22" s="28">
        <v>5.5867005669874271E-5</v>
      </c>
      <c r="BD22" s="28">
        <v>5.5944493562858178E-5</v>
      </c>
      <c r="BE22" s="28">
        <v>5.6021981455842091E-5</v>
      </c>
      <c r="BF22" s="28">
        <v>5.6099469348826005E-5</v>
      </c>
      <c r="BG22" s="28">
        <v>5.6176957241809919E-5</v>
      </c>
      <c r="BH22" s="28">
        <v>5.6254445134793826E-5</v>
      </c>
      <c r="BI22" s="28">
        <v>5.633193302777774E-5</v>
      </c>
      <c r="BJ22" s="28">
        <v>5.6409420920761653E-5</v>
      </c>
      <c r="BK22" s="28">
        <v>5.648690881374556E-5</v>
      </c>
      <c r="BL22" s="28">
        <v>5.6564396706729474E-5</v>
      </c>
      <c r="BM22" s="28">
        <v>5.6641884599713388E-5</v>
      </c>
      <c r="BN22" s="28">
        <v>5.6719372492697294E-5</v>
      </c>
      <c r="BO22" s="28">
        <v>5.6796860385681208E-5</v>
      </c>
      <c r="BP22" s="28">
        <v>5.6874348278665122E-5</v>
      </c>
      <c r="BQ22" s="28">
        <v>5.6951836171649036E-5</v>
      </c>
      <c r="BR22" s="28">
        <v>5.7029324064632942E-5</v>
      </c>
      <c r="BS22" s="28">
        <v>5.7106811957616856E-5</v>
      </c>
      <c r="BT22" s="28">
        <v>5.7106811957616856E-5</v>
      </c>
      <c r="BU22" s="28">
        <v>5.7106811957616856E-5</v>
      </c>
      <c r="BV22" s="28">
        <v>5.7106811957616856E-5</v>
      </c>
      <c r="BW22" s="28">
        <v>5.7106811957616856E-5</v>
      </c>
      <c r="BX22" s="28">
        <v>5.7106811957616856E-5</v>
      </c>
      <c r="BY22" s="28">
        <v>5.7106811957616856E-5</v>
      </c>
      <c r="BZ22" s="28">
        <v>5.7106811957616856E-5</v>
      </c>
      <c r="CA22" s="28">
        <v>5.7106811957616856E-5</v>
      </c>
      <c r="CB22" s="28">
        <v>5.7106811957616856E-5</v>
      </c>
      <c r="CC22" s="28">
        <v>5.7106811957616856E-5</v>
      </c>
      <c r="CD22" s="28">
        <v>5.7106811957616856E-5</v>
      </c>
      <c r="CE22" s="28">
        <v>5.7106811957616856E-5</v>
      </c>
      <c r="CF22" s="28">
        <v>5.7106811957616856E-5</v>
      </c>
      <c r="CG22" s="28">
        <v>5.7106811957616856E-5</v>
      </c>
      <c r="CH22" s="28">
        <v>5.7106811957616856E-5</v>
      </c>
      <c r="CI22" s="28">
        <v>5.7106811957616856E-5</v>
      </c>
      <c r="CJ22" s="28">
        <v>5.7106811957616856E-5</v>
      </c>
      <c r="CK22" s="28">
        <v>5.7106811957616856E-5</v>
      </c>
      <c r="CL22" s="28">
        <v>5.7106811957616856E-5</v>
      </c>
      <c r="CM22" s="28">
        <v>5.7106811957616856E-5</v>
      </c>
    </row>
    <row r="23" spans="1:91" x14ac:dyDescent="0.25">
      <c r="A23" s="25" t="s">
        <v>1</v>
      </c>
      <c r="B23" s="5">
        <v>0</v>
      </c>
      <c r="C23" s="5">
        <v>0</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23">
        <v>3.8032689450222883E-5</v>
      </c>
      <c r="AG23" s="23">
        <v>3.8110946012877659E-5</v>
      </c>
      <c r="AH23" s="23">
        <v>3.8189202575532442E-5</v>
      </c>
      <c r="AI23" s="23">
        <v>3.8267459138187219E-5</v>
      </c>
      <c r="AJ23" s="23">
        <v>3.8345715700842002E-5</v>
      </c>
      <c r="AK23" s="23">
        <v>3.8423972263496778E-5</v>
      </c>
      <c r="AL23" s="23">
        <v>3.8502228826151561E-5</v>
      </c>
      <c r="AM23" s="23">
        <v>3.8580485388806337E-5</v>
      </c>
      <c r="AN23" s="23">
        <v>3.865874195146112E-5</v>
      </c>
      <c r="AO23" s="23">
        <v>3.8736998514115897E-5</v>
      </c>
      <c r="AP23" s="23">
        <v>3.881525507677068E-5</v>
      </c>
      <c r="AQ23" s="23">
        <v>3.8893511639425456E-5</v>
      </c>
      <c r="AR23" s="23">
        <v>3.8971768202080239E-5</v>
      </c>
      <c r="AS23" s="23">
        <v>3.9050024764735016E-5</v>
      </c>
      <c r="AT23" s="23">
        <v>3.9128281327389799E-5</v>
      </c>
      <c r="AU23" s="28">
        <v>3.9320009905894E-5</v>
      </c>
      <c r="AV23" s="28">
        <v>3.9396964005657025E-5</v>
      </c>
      <c r="AW23" s="28">
        <v>3.9473918105420051E-5</v>
      </c>
      <c r="AX23" s="28">
        <v>3.9550872205183077E-5</v>
      </c>
      <c r="AY23" s="28">
        <v>3.9627826304946103E-5</v>
      </c>
      <c r="AZ23" s="28">
        <v>3.9704780404709129E-5</v>
      </c>
      <c r="BA23" s="28">
        <v>3.9781734504472154E-5</v>
      </c>
      <c r="BB23" s="28">
        <v>3.985868860423518E-5</v>
      </c>
      <c r="BC23" s="28">
        <v>3.9935642703998206E-5</v>
      </c>
      <c r="BD23" s="28">
        <v>4.0012596803761232E-5</v>
      </c>
      <c r="BE23" s="28">
        <v>4.0089550903524258E-5</v>
      </c>
      <c r="BF23" s="28">
        <v>4.0166505003287283E-5</v>
      </c>
      <c r="BG23" s="28">
        <v>4.0243459103050309E-5</v>
      </c>
      <c r="BH23" s="28">
        <v>4.0320413202813335E-5</v>
      </c>
      <c r="BI23" s="28">
        <v>4.0397367302576361E-5</v>
      </c>
      <c r="BJ23" s="28">
        <v>4.0474321402339387E-5</v>
      </c>
      <c r="BK23" s="28">
        <v>4.0551275502102413E-5</v>
      </c>
      <c r="BL23" s="28">
        <v>4.0628229601865438E-5</v>
      </c>
      <c r="BM23" s="28">
        <v>4.0705183701628464E-5</v>
      </c>
      <c r="BN23" s="28">
        <v>4.078213780139149E-5</v>
      </c>
      <c r="BO23" s="28">
        <v>4.0859091901154516E-5</v>
      </c>
      <c r="BP23" s="28">
        <v>4.0936046000917542E-5</v>
      </c>
      <c r="BQ23" s="28">
        <v>4.1013000100680567E-5</v>
      </c>
      <c r="BR23" s="28">
        <v>4.1089954200443593E-5</v>
      </c>
      <c r="BS23" s="28">
        <v>4.1166908300206619E-5</v>
      </c>
      <c r="BT23" s="28">
        <v>4.1166908300206619E-5</v>
      </c>
      <c r="BU23" s="28">
        <v>4.1166908300206619E-5</v>
      </c>
      <c r="BV23" s="28">
        <v>4.1166908300206619E-5</v>
      </c>
      <c r="BW23" s="28">
        <v>4.1166908300206619E-5</v>
      </c>
      <c r="BX23" s="28">
        <v>4.1166908300206619E-5</v>
      </c>
      <c r="BY23" s="28">
        <v>4.1166908300206619E-5</v>
      </c>
      <c r="BZ23" s="28">
        <v>4.1166908300206619E-5</v>
      </c>
      <c r="CA23" s="28">
        <v>4.1166908300206619E-5</v>
      </c>
      <c r="CB23" s="28">
        <v>4.1166908300206619E-5</v>
      </c>
      <c r="CC23" s="28">
        <v>4.1166908300206619E-5</v>
      </c>
      <c r="CD23" s="28">
        <v>4.1166908300206619E-5</v>
      </c>
      <c r="CE23" s="28">
        <v>4.1166908300206619E-5</v>
      </c>
      <c r="CF23" s="28">
        <v>4.1166908300206619E-5</v>
      </c>
      <c r="CG23" s="28">
        <v>4.1166908300206619E-5</v>
      </c>
      <c r="CH23" s="28">
        <v>4.1166908300206619E-5</v>
      </c>
      <c r="CI23" s="28">
        <v>4.1166908300206619E-5</v>
      </c>
      <c r="CJ23" s="28">
        <v>4.1166908300206619E-5</v>
      </c>
      <c r="CK23" s="28">
        <v>4.1166908300206619E-5</v>
      </c>
      <c r="CL23" s="28">
        <v>4.1166908300206619E-5</v>
      </c>
      <c r="CM23" s="28">
        <v>4.1166908300206619E-5</v>
      </c>
    </row>
    <row r="24" spans="1:91" x14ac:dyDescent="0.25">
      <c r="A24" s="25" t="s">
        <v>1</v>
      </c>
      <c r="B24" s="5">
        <v>0</v>
      </c>
      <c r="C24" s="5">
        <v>0</v>
      </c>
      <c r="D24" s="5">
        <v>0</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23">
        <v>3.3218424962852898E-5</v>
      </c>
      <c r="AG24" s="23">
        <v>3.3286775631500744E-5</v>
      </c>
      <c r="AH24" s="23">
        <v>3.3355126300148591E-5</v>
      </c>
      <c r="AI24" s="23">
        <v>3.3423476968796431E-5</v>
      </c>
      <c r="AJ24" s="23">
        <v>3.3491827637444278E-5</v>
      </c>
      <c r="AK24" s="23">
        <v>3.3560178306092124E-5</v>
      </c>
      <c r="AL24" s="23">
        <v>3.3628528974739971E-5</v>
      </c>
      <c r="AM24" s="23">
        <v>3.3696879643387817E-5</v>
      </c>
      <c r="AN24" s="23">
        <v>3.3765230312035657E-5</v>
      </c>
      <c r="AO24" s="23">
        <v>3.3833580980683504E-5</v>
      </c>
      <c r="AP24" s="23">
        <v>3.3901931649331351E-5</v>
      </c>
      <c r="AQ24" s="23">
        <v>3.3970282317979197E-5</v>
      </c>
      <c r="AR24" s="23">
        <v>3.4038632986627044E-5</v>
      </c>
      <c r="AS24" s="23">
        <v>3.4106983655274884E-5</v>
      </c>
      <c r="AT24" s="23">
        <v>3.417533432392273E-5</v>
      </c>
      <c r="AU24" s="28">
        <v>3.4342793462109958E-5</v>
      </c>
      <c r="AV24" s="28">
        <v>3.4522919559545845E-5</v>
      </c>
      <c r="AW24" s="28">
        <v>3.4703045656981732E-5</v>
      </c>
      <c r="AX24" s="28">
        <v>3.4883171754417618E-5</v>
      </c>
      <c r="AY24" s="28">
        <v>3.5063297851853505E-5</v>
      </c>
      <c r="AZ24" s="28">
        <v>3.5243423949289392E-5</v>
      </c>
      <c r="BA24" s="28">
        <v>3.5423550046725279E-5</v>
      </c>
      <c r="BB24" s="28">
        <v>3.5603676144161152E-5</v>
      </c>
      <c r="BC24" s="28">
        <v>3.5783802241597039E-5</v>
      </c>
      <c r="BD24" s="28">
        <v>3.5963928339032926E-5</v>
      </c>
      <c r="BE24" s="28">
        <v>3.6144054436468813E-5</v>
      </c>
      <c r="BF24" s="28">
        <v>3.63241805339047E-5</v>
      </c>
      <c r="BG24" s="28">
        <v>3.6504306631340587E-5</v>
      </c>
      <c r="BH24" s="28">
        <v>3.6684432728776473E-5</v>
      </c>
      <c r="BI24" s="28">
        <v>3.686455882621236E-5</v>
      </c>
      <c r="BJ24" s="28">
        <v>3.7044684923648247E-5</v>
      </c>
      <c r="BK24" s="28">
        <v>3.7224811021084134E-5</v>
      </c>
      <c r="BL24" s="28">
        <v>3.7404937118520021E-5</v>
      </c>
      <c r="BM24" s="28">
        <v>3.7585063215955894E-5</v>
      </c>
      <c r="BN24" s="28">
        <v>3.7765189313391781E-5</v>
      </c>
      <c r="BO24" s="28">
        <v>3.7945315410827668E-5</v>
      </c>
      <c r="BP24" s="28">
        <v>3.8125441508263555E-5</v>
      </c>
      <c r="BQ24" s="28">
        <v>3.8305567605699441E-5</v>
      </c>
      <c r="BR24" s="28">
        <v>3.8485693703135328E-5</v>
      </c>
      <c r="BS24" s="28">
        <v>3.8665819800571215E-5</v>
      </c>
      <c r="BT24" s="28">
        <v>3.8665819800571215E-5</v>
      </c>
      <c r="BU24" s="28">
        <v>3.8665819800571215E-5</v>
      </c>
      <c r="BV24" s="28">
        <v>3.8665819800571215E-5</v>
      </c>
      <c r="BW24" s="28">
        <v>3.8665819800571215E-5</v>
      </c>
      <c r="BX24" s="28">
        <v>3.8665819800571215E-5</v>
      </c>
      <c r="BY24" s="28">
        <v>3.8665819800571215E-5</v>
      </c>
      <c r="BZ24" s="28">
        <v>3.8665819800571215E-5</v>
      </c>
      <c r="CA24" s="28">
        <v>3.8665819800571215E-5</v>
      </c>
      <c r="CB24" s="28">
        <v>3.8665819800571215E-5</v>
      </c>
      <c r="CC24" s="28">
        <v>3.8665819800571215E-5</v>
      </c>
      <c r="CD24" s="28">
        <v>3.8665819800571215E-5</v>
      </c>
      <c r="CE24" s="28">
        <v>3.8665819800571215E-5</v>
      </c>
      <c r="CF24" s="28">
        <v>3.8665819800571215E-5</v>
      </c>
      <c r="CG24" s="28">
        <v>3.8665819800571215E-5</v>
      </c>
      <c r="CH24" s="28">
        <v>3.8665819800571215E-5</v>
      </c>
      <c r="CI24" s="28">
        <v>3.8665819800571215E-5</v>
      </c>
      <c r="CJ24" s="28">
        <v>3.8665819800571215E-5</v>
      </c>
      <c r="CK24" s="28">
        <v>3.8665819800571215E-5</v>
      </c>
      <c r="CL24" s="28">
        <v>3.8665819800571215E-5</v>
      </c>
      <c r="CM24" s="28">
        <v>3.8665819800571215E-5</v>
      </c>
    </row>
    <row r="25" spans="1:91" x14ac:dyDescent="0.25">
      <c r="A25" s="25" t="s">
        <v>1</v>
      </c>
      <c r="B25" s="5">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23">
        <v>1.5999999999999999E-5</v>
      </c>
      <c r="AG25" s="23">
        <v>1.6200000000000001E-5</v>
      </c>
      <c r="AH25" s="23">
        <v>1.6399999999999999E-5</v>
      </c>
      <c r="AI25" s="23">
        <v>1.66E-5</v>
      </c>
      <c r="AJ25" s="23">
        <v>1.6799999999999998E-5</v>
      </c>
      <c r="AK25" s="23">
        <v>1.7E-5</v>
      </c>
      <c r="AL25" s="23">
        <v>1.7200000000000001E-5</v>
      </c>
      <c r="AM25" s="23">
        <v>1.7399999999999999E-5</v>
      </c>
      <c r="AN25" s="23">
        <v>1.7600000000000001E-5</v>
      </c>
      <c r="AO25" s="23">
        <v>1.7799999999999999E-5</v>
      </c>
      <c r="AP25" s="23">
        <v>1.8E-5</v>
      </c>
      <c r="AQ25" s="23">
        <v>1.8200000000000002E-5</v>
      </c>
      <c r="AR25" s="23">
        <v>1.84E-5</v>
      </c>
      <c r="AS25" s="23">
        <v>1.8600000000000001E-5</v>
      </c>
      <c r="AT25" s="23">
        <v>1.88E-5</v>
      </c>
      <c r="AU25" s="28">
        <v>1.9290000000000003E-5</v>
      </c>
      <c r="AV25" s="28">
        <v>1.9392083333333337E-5</v>
      </c>
      <c r="AW25" s="28">
        <v>1.949416666666667E-5</v>
      </c>
      <c r="AX25" s="28">
        <v>1.9596250000000004E-5</v>
      </c>
      <c r="AY25" s="28">
        <v>1.9698333333333338E-5</v>
      </c>
      <c r="AZ25" s="28">
        <v>1.9800416666666671E-5</v>
      </c>
      <c r="BA25" s="28">
        <v>1.9902500000000005E-5</v>
      </c>
      <c r="BB25" s="28">
        <v>2.0004583333333338E-5</v>
      </c>
      <c r="BC25" s="28">
        <v>2.0106666666666672E-5</v>
      </c>
      <c r="BD25" s="28">
        <v>2.0208750000000005E-5</v>
      </c>
      <c r="BE25" s="28">
        <v>2.0310833333333339E-5</v>
      </c>
      <c r="BF25" s="28">
        <v>2.0412916666666672E-5</v>
      </c>
      <c r="BG25" s="28">
        <v>2.0515000000000006E-5</v>
      </c>
      <c r="BH25" s="28">
        <v>2.0617083333333346E-5</v>
      </c>
      <c r="BI25" s="28">
        <v>2.071916666666668E-5</v>
      </c>
      <c r="BJ25" s="28">
        <v>2.0821250000000013E-5</v>
      </c>
      <c r="BK25" s="28">
        <v>2.0923333333333347E-5</v>
      </c>
      <c r="BL25" s="28">
        <v>2.1025416666666681E-5</v>
      </c>
      <c r="BM25" s="28">
        <v>2.1127500000000014E-5</v>
      </c>
      <c r="BN25" s="28">
        <v>2.1229583333333348E-5</v>
      </c>
      <c r="BO25" s="28">
        <v>2.1331666666666681E-5</v>
      </c>
      <c r="BP25" s="28">
        <v>2.1433750000000015E-5</v>
      </c>
      <c r="BQ25" s="28">
        <v>2.1535833333333348E-5</v>
      </c>
      <c r="BR25" s="28">
        <v>2.1637916666666682E-5</v>
      </c>
      <c r="BS25" s="28">
        <v>2.1740000000000015E-5</v>
      </c>
      <c r="BT25" s="28">
        <v>2.186250000000002E-5</v>
      </c>
      <c r="BU25" s="28">
        <v>2.1985000000000014E-5</v>
      </c>
      <c r="BV25" s="28">
        <v>2.2107500000000018E-5</v>
      </c>
      <c r="BW25" s="28">
        <v>2.2230000000000012E-5</v>
      </c>
      <c r="BX25" s="28">
        <v>2.2352500000000017E-5</v>
      </c>
      <c r="BY25" s="28">
        <v>2.2475000000000021E-5</v>
      </c>
      <c r="BZ25" s="28">
        <v>2.2597500000000015E-5</v>
      </c>
      <c r="CA25" s="28">
        <v>2.272000000000002E-5</v>
      </c>
      <c r="CB25" s="28">
        <v>2.2842500000000014E-5</v>
      </c>
      <c r="CC25" s="28">
        <v>2.2965000000000018E-5</v>
      </c>
      <c r="CD25" s="28">
        <v>2.3087500000000022E-5</v>
      </c>
      <c r="CE25" s="28">
        <v>2.3210000000000017E-5</v>
      </c>
      <c r="CF25" s="28">
        <v>2.3332500000000021E-5</v>
      </c>
      <c r="CG25" s="28">
        <v>2.3455000000000015E-5</v>
      </c>
      <c r="CH25" s="28">
        <v>2.3577500000000019E-5</v>
      </c>
      <c r="CI25" s="28">
        <v>2.3700000000000024E-5</v>
      </c>
      <c r="CJ25" s="28">
        <v>2.3822500000000018E-5</v>
      </c>
      <c r="CK25" s="28">
        <v>2.3945000000000022E-5</v>
      </c>
      <c r="CL25" s="28">
        <v>2.4067500000000016E-5</v>
      </c>
      <c r="CM25" s="28">
        <v>2.4190000000000021E-5</v>
      </c>
    </row>
    <row r="26" spans="1:91" x14ac:dyDescent="0.25">
      <c r="A26" s="25" t="s">
        <v>1</v>
      </c>
      <c r="B26" s="5">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23">
        <v>3.6000000000000001E-5</v>
      </c>
      <c r="AG26" s="23">
        <v>3.5866666666666667E-5</v>
      </c>
      <c r="AH26" s="23">
        <v>3.5733333333333332E-5</v>
      </c>
      <c r="AI26" s="23">
        <v>3.5599999999999998E-5</v>
      </c>
      <c r="AJ26" s="23">
        <v>3.546666666666667E-5</v>
      </c>
      <c r="AK26" s="23">
        <v>3.5333333333333336E-5</v>
      </c>
      <c r="AL26" s="23">
        <v>3.5200000000000002E-5</v>
      </c>
      <c r="AM26" s="23">
        <v>3.5066666666666667E-5</v>
      </c>
      <c r="AN26" s="23">
        <v>3.4933333333333333E-5</v>
      </c>
      <c r="AO26" s="23">
        <v>3.4799999999999999E-5</v>
      </c>
      <c r="AP26" s="23">
        <v>3.4666666666666665E-5</v>
      </c>
      <c r="AQ26" s="23">
        <v>3.453333333333333E-5</v>
      </c>
      <c r="AR26" s="23">
        <v>3.4400000000000003E-5</v>
      </c>
      <c r="AS26" s="23">
        <v>3.4266666666666668E-5</v>
      </c>
      <c r="AT26" s="23">
        <v>3.4133333333333334E-5</v>
      </c>
      <c r="AU26" s="28">
        <v>3.4193333333333337E-5</v>
      </c>
      <c r="AV26" s="28">
        <v>3.4212083333333334E-5</v>
      </c>
      <c r="AW26" s="28">
        <v>3.4230833333333338E-5</v>
      </c>
      <c r="AX26" s="28">
        <v>3.4249583333333342E-5</v>
      </c>
      <c r="AY26" s="28">
        <v>3.4268333333333339E-5</v>
      </c>
      <c r="AZ26" s="28">
        <v>3.4287083333333336E-5</v>
      </c>
      <c r="BA26" s="28">
        <v>3.430583333333334E-5</v>
      </c>
      <c r="BB26" s="28">
        <v>3.4324583333333343E-5</v>
      </c>
      <c r="BC26" s="28">
        <v>3.4343333333333341E-5</v>
      </c>
      <c r="BD26" s="28">
        <v>3.4362083333333338E-5</v>
      </c>
      <c r="BE26" s="28">
        <v>3.4380833333333341E-5</v>
      </c>
      <c r="BF26" s="28">
        <v>3.4399583333333345E-5</v>
      </c>
      <c r="BG26" s="28">
        <v>3.4418333333333342E-5</v>
      </c>
      <c r="BH26" s="28">
        <v>3.4437083333333339E-5</v>
      </c>
      <c r="BI26" s="28">
        <v>3.4455833333333343E-5</v>
      </c>
      <c r="BJ26" s="28">
        <v>3.4474583333333347E-5</v>
      </c>
      <c r="BK26" s="28">
        <v>3.4493333333333344E-5</v>
      </c>
      <c r="BL26" s="28">
        <v>3.4512083333333341E-5</v>
      </c>
      <c r="BM26" s="28">
        <v>3.4530833333333345E-5</v>
      </c>
      <c r="BN26" s="28">
        <v>3.4549583333333349E-5</v>
      </c>
      <c r="BO26" s="28">
        <v>3.4568333333333346E-5</v>
      </c>
      <c r="BP26" s="28">
        <v>3.4587083333333343E-5</v>
      </c>
      <c r="BQ26" s="28">
        <v>3.4605833333333347E-5</v>
      </c>
      <c r="BR26" s="28">
        <v>3.4624583333333351E-5</v>
      </c>
      <c r="BS26" s="28">
        <v>3.4643333333333348E-5</v>
      </c>
      <c r="BT26" s="28">
        <v>3.4643333333333348E-5</v>
      </c>
      <c r="BU26" s="28">
        <v>3.4643333333333348E-5</v>
      </c>
      <c r="BV26" s="28">
        <v>3.4643333333333348E-5</v>
      </c>
      <c r="BW26" s="28">
        <v>3.4643333333333348E-5</v>
      </c>
      <c r="BX26" s="28">
        <v>3.4643333333333348E-5</v>
      </c>
      <c r="BY26" s="28">
        <v>3.4643333333333348E-5</v>
      </c>
      <c r="BZ26" s="28">
        <v>3.4643333333333348E-5</v>
      </c>
      <c r="CA26" s="28">
        <v>3.4643333333333348E-5</v>
      </c>
      <c r="CB26" s="28">
        <v>3.4643333333333348E-5</v>
      </c>
      <c r="CC26" s="28">
        <v>3.4643333333333348E-5</v>
      </c>
      <c r="CD26" s="28">
        <v>3.4643333333333348E-5</v>
      </c>
      <c r="CE26" s="28">
        <v>3.4643333333333348E-5</v>
      </c>
      <c r="CF26" s="28">
        <v>3.4643333333333348E-5</v>
      </c>
      <c r="CG26" s="28">
        <v>3.4643333333333348E-5</v>
      </c>
      <c r="CH26" s="28">
        <v>3.4643333333333348E-5</v>
      </c>
      <c r="CI26" s="28">
        <v>3.4643333333333348E-5</v>
      </c>
      <c r="CJ26" s="28">
        <v>3.4643333333333348E-5</v>
      </c>
      <c r="CK26" s="28">
        <v>3.4643333333333348E-5</v>
      </c>
      <c r="CL26" s="28">
        <v>3.4643333333333348E-5</v>
      </c>
      <c r="CM26" s="28">
        <v>3.4643333333333348E-5</v>
      </c>
    </row>
    <row r="28" spans="1:91" x14ac:dyDescent="0.25">
      <c r="A28" s="25" t="s">
        <v>7</v>
      </c>
      <c r="B28" s="5">
        <v>0</v>
      </c>
      <c r="C28" s="5">
        <v>0</v>
      </c>
      <c r="D28" s="5">
        <v>0</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0</v>
      </c>
      <c r="AE28" s="5">
        <v>0</v>
      </c>
      <c r="AF28" s="23">
        <v>8.0900000000000001E-5</v>
      </c>
      <c r="AG28" s="23">
        <v>8.0833333333333338E-5</v>
      </c>
      <c r="AH28" s="23">
        <v>8.0766666666666674E-5</v>
      </c>
      <c r="AI28" s="23">
        <v>8.0699999999999996E-5</v>
      </c>
      <c r="AJ28" s="23">
        <v>8.0633333333333333E-5</v>
      </c>
      <c r="AK28" s="23">
        <v>8.0566666666666669E-5</v>
      </c>
      <c r="AL28" s="23">
        <v>8.0500000000000005E-5</v>
      </c>
      <c r="AM28" s="23">
        <v>8.0433333333333341E-5</v>
      </c>
      <c r="AN28" s="23">
        <v>8.0366666666666664E-5</v>
      </c>
      <c r="AO28" s="23">
        <v>8.03E-5</v>
      </c>
      <c r="AP28" s="23">
        <v>8.0233333333333337E-5</v>
      </c>
      <c r="AQ28" s="23">
        <v>8.0166666666666673E-5</v>
      </c>
      <c r="AR28" s="23">
        <v>8.0100000000000009E-5</v>
      </c>
      <c r="AS28" s="23">
        <v>8.0033333333333332E-5</v>
      </c>
      <c r="AT28" s="23">
        <v>7.9966666666666668E-5</v>
      </c>
      <c r="AU28" s="28">
        <v>7.9996666666666666E-5</v>
      </c>
      <c r="AV28" s="28">
        <v>8.0045757575757575E-5</v>
      </c>
      <c r="AW28" s="28">
        <v>8.0094848484848485E-5</v>
      </c>
      <c r="AX28" s="28">
        <v>8.0143939393939395E-5</v>
      </c>
      <c r="AY28" s="28">
        <v>8.0193030303030304E-5</v>
      </c>
      <c r="AZ28" s="28">
        <v>8.0242121212121214E-5</v>
      </c>
      <c r="BA28" s="28">
        <v>8.0291212121212123E-5</v>
      </c>
      <c r="BB28" s="28">
        <v>8.0340303030303033E-5</v>
      </c>
      <c r="BC28" s="28">
        <v>8.0389393939393942E-5</v>
      </c>
      <c r="BD28" s="28">
        <v>8.0438484848484852E-5</v>
      </c>
      <c r="BE28" s="28">
        <v>8.0487575757575761E-5</v>
      </c>
      <c r="BF28" s="28">
        <v>8.0536666666666671E-5</v>
      </c>
      <c r="BG28" s="28">
        <v>8.058575757575758E-5</v>
      </c>
      <c r="BH28" s="28">
        <v>8.063484848484849E-5</v>
      </c>
      <c r="BI28" s="28">
        <v>8.06839393939394E-5</v>
      </c>
      <c r="BJ28" s="28">
        <v>8.0733030303030309E-5</v>
      </c>
      <c r="BK28" s="28">
        <v>8.0782121212121219E-5</v>
      </c>
      <c r="BL28" s="28">
        <v>8.0831212121212128E-5</v>
      </c>
      <c r="BM28" s="28">
        <v>8.0880303030303038E-5</v>
      </c>
      <c r="BN28" s="28">
        <v>8.0929393939393947E-5</v>
      </c>
      <c r="BO28" s="28">
        <v>8.0978484848484857E-5</v>
      </c>
      <c r="BP28" s="28">
        <v>8.1027575757575766E-5</v>
      </c>
      <c r="BQ28" s="28">
        <v>8.1076666666666676E-5</v>
      </c>
      <c r="BR28" s="28">
        <v>8.1125757575757585E-5</v>
      </c>
      <c r="BS28" s="28">
        <v>8.1751666666666679E-5</v>
      </c>
      <c r="BT28" s="28">
        <v>8.1771916666666686E-5</v>
      </c>
      <c r="BU28" s="28">
        <v>8.1792166666666693E-5</v>
      </c>
      <c r="BV28" s="28">
        <v>8.1812416666666687E-5</v>
      </c>
      <c r="BW28" s="28">
        <v>8.1832666666666694E-5</v>
      </c>
      <c r="BX28" s="28">
        <v>8.1852916666666701E-5</v>
      </c>
      <c r="BY28" s="28">
        <v>8.1873166666666694E-5</v>
      </c>
      <c r="BZ28" s="28">
        <v>8.1893416666666702E-5</v>
      </c>
      <c r="CA28" s="28">
        <v>8.1913666666666709E-5</v>
      </c>
      <c r="CB28" s="28">
        <v>8.1933916666666716E-5</v>
      </c>
      <c r="CC28" s="28">
        <v>8.1954166666666723E-5</v>
      </c>
      <c r="CD28" s="28">
        <v>8.1974416666666717E-5</v>
      </c>
      <c r="CE28" s="28">
        <v>8.1994666666666724E-5</v>
      </c>
      <c r="CF28" s="28">
        <v>8.2014916666666731E-5</v>
      </c>
      <c r="CG28" s="28">
        <v>8.2035166666666724E-5</v>
      </c>
      <c r="CH28" s="28">
        <v>8.2055416666666732E-5</v>
      </c>
      <c r="CI28" s="28">
        <v>8.2075666666666739E-5</v>
      </c>
      <c r="CJ28" s="28">
        <v>8.2095916666666746E-5</v>
      </c>
      <c r="CK28" s="28">
        <v>8.2116166666666753E-5</v>
      </c>
      <c r="CL28" s="28">
        <v>8.2136416666666747E-5</v>
      </c>
      <c r="CM28" s="28">
        <v>8.2156666666666754E-5</v>
      </c>
    </row>
    <row r="30" spans="1:91" x14ac:dyDescent="0.25">
      <c r="A30" s="17" t="s">
        <v>13</v>
      </c>
      <c r="B30" s="5">
        <v>0</v>
      </c>
      <c r="C30" s="5">
        <v>0</v>
      </c>
      <c r="D30" s="5">
        <v>0</v>
      </c>
      <c r="E30" s="5">
        <v>0</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0</v>
      </c>
      <c r="AE30" s="5">
        <v>0</v>
      </c>
      <c r="AF30" s="46">
        <v>2.8586557155908612E-3</v>
      </c>
      <c r="AG30" s="46">
        <v>2.909963886131464E-3</v>
      </c>
      <c r="AH30" s="46">
        <v>2.9612720566720677E-3</v>
      </c>
      <c r="AI30" s="46">
        <v>3.0125802272126705E-3</v>
      </c>
      <c r="AJ30" s="46">
        <v>3.0638883977532742E-3</v>
      </c>
      <c r="AK30" s="46">
        <v>3.1151965682938766E-3</v>
      </c>
      <c r="AL30" s="46">
        <v>3.1665047388344802E-3</v>
      </c>
      <c r="AM30" s="46">
        <v>3.2178129093750835E-3</v>
      </c>
      <c r="AN30" s="46">
        <v>3.2691210799156863E-3</v>
      </c>
      <c r="AO30" s="46">
        <v>3.3204292504562887E-3</v>
      </c>
      <c r="AP30" s="46">
        <v>3.3717374209968911E-3</v>
      </c>
      <c r="AQ30" s="46">
        <v>3.4230455915374956E-3</v>
      </c>
      <c r="AR30" s="46">
        <v>3.474353762078098E-3</v>
      </c>
      <c r="AS30" s="46">
        <v>3.5256619326187004E-3</v>
      </c>
      <c r="AT30" s="46">
        <v>3.5769701031593041E-3</v>
      </c>
      <c r="AU30" s="46">
        <v>3.6282782736999073E-3</v>
      </c>
      <c r="AV30" s="46">
        <v>3.6601435786098075E-3</v>
      </c>
      <c r="AW30" s="46">
        <v>3.6920088835197063E-3</v>
      </c>
      <c r="AX30" s="46">
        <v>3.7238741884296055E-3</v>
      </c>
      <c r="AY30" s="46">
        <v>3.7557394933395052E-3</v>
      </c>
      <c r="AZ30" s="46">
        <v>3.7876047982494045E-3</v>
      </c>
      <c r="BA30" s="46">
        <v>3.8194701031593042E-3</v>
      </c>
      <c r="BB30" s="46">
        <v>3.8513354080692043E-3</v>
      </c>
      <c r="BC30" s="46">
        <v>3.8832007129791031E-3</v>
      </c>
      <c r="BD30" s="46">
        <v>3.9150660178890037E-3</v>
      </c>
      <c r="BE30" s="46">
        <v>3.9469313227989029E-3</v>
      </c>
      <c r="BF30" s="46">
        <v>3.9787966277088022E-3</v>
      </c>
      <c r="BG30" s="46">
        <v>4.0106619326187015E-3</v>
      </c>
      <c r="BH30" s="46">
        <v>4.0425272375286016E-3</v>
      </c>
      <c r="BI30" s="46">
        <v>4.0743925424385008E-3</v>
      </c>
      <c r="BJ30" s="46">
        <v>4.1062578473483992E-3</v>
      </c>
      <c r="BK30" s="46">
        <v>4.1381231522582993E-3</v>
      </c>
      <c r="BL30" s="46">
        <v>4.1699884571681986E-3</v>
      </c>
      <c r="BM30" s="46">
        <v>4.2018537620780979E-3</v>
      </c>
      <c r="BN30" s="46">
        <v>4.233719066987998E-3</v>
      </c>
      <c r="BO30" s="46">
        <v>4.2655843718978972E-3</v>
      </c>
      <c r="BP30" s="46">
        <v>4.2974496768077956E-3</v>
      </c>
      <c r="BQ30" s="46">
        <v>4.3293149817176958E-3</v>
      </c>
      <c r="BR30" s="46">
        <v>4.3611802866275959E-3</v>
      </c>
      <c r="BS30" s="46">
        <v>4.3930455915374969E-3</v>
      </c>
      <c r="BT30" s="46">
        <v>4.4249108964473944E-3</v>
      </c>
      <c r="BU30" s="46">
        <v>4.4567762013572945E-3</v>
      </c>
      <c r="BV30" s="46">
        <v>4.4886415062671938E-3</v>
      </c>
      <c r="BW30" s="46">
        <v>4.520506811177093E-3</v>
      </c>
      <c r="BX30" s="46">
        <v>4.5523721160869923E-3</v>
      </c>
      <c r="BY30" s="46">
        <v>4.5842374209968924E-3</v>
      </c>
      <c r="BZ30" s="46">
        <v>4.6161027259067908E-3</v>
      </c>
      <c r="CA30" s="46">
        <v>4.6479680308166918E-3</v>
      </c>
      <c r="CB30" s="46">
        <v>4.6798333357265902E-3</v>
      </c>
      <c r="CC30" s="46">
        <v>4.7116986406364903E-3</v>
      </c>
      <c r="CD30" s="46">
        <v>4.7435639455463896E-3</v>
      </c>
      <c r="CE30" s="46">
        <v>4.7754292504562897E-3</v>
      </c>
      <c r="CF30" s="46">
        <v>4.8072945553661881E-3</v>
      </c>
      <c r="CG30" s="46">
        <v>4.8391598602760891E-3</v>
      </c>
      <c r="CH30" s="46">
        <v>4.8710251651859866E-3</v>
      </c>
      <c r="CI30" s="46">
        <v>4.9028904700958876E-3</v>
      </c>
      <c r="CJ30" s="46">
        <v>4.9347557750057851E-3</v>
      </c>
      <c r="CK30" s="46">
        <v>4.9666210799156861E-3</v>
      </c>
      <c r="CL30" s="46">
        <v>4.9984863848255862E-3</v>
      </c>
      <c r="CM30" s="46">
        <v>5.0303516897354846E-3</v>
      </c>
    </row>
    <row r="31" spans="1:91" x14ac:dyDescent="0.25">
      <c r="A31" s="17" t="s">
        <v>1</v>
      </c>
      <c r="B31" s="5">
        <v>0</v>
      </c>
      <c r="C31" s="5">
        <v>0</v>
      </c>
      <c r="D31" s="5">
        <v>0</v>
      </c>
      <c r="E31" s="5">
        <v>0</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46">
        <v>2.21991625074704E-3</v>
      </c>
      <c r="AG31" s="46">
        <v>2.2566263371078163E-3</v>
      </c>
      <c r="AH31" s="46">
        <v>2.2933364234685931E-3</v>
      </c>
      <c r="AI31" s="46">
        <v>2.3300465098293689E-3</v>
      </c>
      <c r="AJ31" s="46">
        <v>2.3667565961901457E-3</v>
      </c>
      <c r="AK31" s="46">
        <v>2.403466682550922E-3</v>
      </c>
      <c r="AL31" s="46">
        <v>2.4401767689116983E-3</v>
      </c>
      <c r="AM31" s="46">
        <v>2.4768868552724754E-3</v>
      </c>
      <c r="AN31" s="46">
        <v>2.5135969416332517E-3</v>
      </c>
      <c r="AO31" s="46">
        <v>2.5503070279940276E-3</v>
      </c>
      <c r="AP31" s="46">
        <v>2.5870171143548043E-3</v>
      </c>
      <c r="AQ31" s="46">
        <v>2.6237272007155811E-3</v>
      </c>
      <c r="AR31" s="46">
        <v>2.6604372870763569E-3</v>
      </c>
      <c r="AS31" s="46">
        <v>2.6971473734371336E-3</v>
      </c>
      <c r="AT31" s="46">
        <v>2.7338574597979095E-3</v>
      </c>
      <c r="AU31" s="46">
        <v>2.7705675461586858E-3</v>
      </c>
      <c r="AV31" s="46">
        <v>2.7941732069956472E-3</v>
      </c>
      <c r="AW31" s="46">
        <v>2.8177788678326082E-3</v>
      </c>
      <c r="AX31" s="46">
        <v>2.8413845286695688E-3</v>
      </c>
      <c r="AY31" s="46">
        <v>2.8649901895065294E-3</v>
      </c>
      <c r="AZ31" s="46">
        <v>2.8885958503434904E-3</v>
      </c>
      <c r="BA31" s="46">
        <v>2.9122015111804514E-3</v>
      </c>
      <c r="BB31" s="46">
        <v>2.9358071720174115E-3</v>
      </c>
      <c r="BC31" s="46">
        <v>2.9594128328543738E-3</v>
      </c>
      <c r="BD31" s="46">
        <v>2.9830184936913344E-3</v>
      </c>
      <c r="BE31" s="46">
        <v>3.0066241545282949E-3</v>
      </c>
      <c r="BF31" s="46">
        <v>3.030229815365256E-3</v>
      </c>
      <c r="BG31" s="46">
        <v>3.0538354762022174E-3</v>
      </c>
      <c r="BH31" s="46">
        <v>3.0774411370391771E-3</v>
      </c>
      <c r="BI31" s="46">
        <v>3.1010467978761381E-3</v>
      </c>
      <c r="BJ31" s="46">
        <v>3.1246524587130987E-3</v>
      </c>
      <c r="BK31" s="46">
        <v>3.1482581195500597E-3</v>
      </c>
      <c r="BL31" s="46">
        <v>3.1718637803870211E-3</v>
      </c>
      <c r="BM31" s="46">
        <v>3.1954694412239821E-3</v>
      </c>
      <c r="BN31" s="46">
        <v>3.2190751020609435E-3</v>
      </c>
      <c r="BO31" s="46">
        <v>3.2426807628979037E-3</v>
      </c>
      <c r="BP31" s="46">
        <v>3.2662864237348651E-3</v>
      </c>
      <c r="BQ31" s="46">
        <v>3.2898920845718252E-3</v>
      </c>
      <c r="BR31" s="46">
        <v>3.3134977454087858E-3</v>
      </c>
      <c r="BS31" s="46">
        <v>3.3371034062457468E-3</v>
      </c>
      <c r="BT31" s="46">
        <v>3.3607090670827078E-3</v>
      </c>
      <c r="BU31" s="46">
        <v>3.3843147279196684E-3</v>
      </c>
      <c r="BV31" s="46">
        <v>3.4079203887566302E-3</v>
      </c>
      <c r="BW31" s="46">
        <v>3.4315260495935899E-3</v>
      </c>
      <c r="BX31" s="46">
        <v>3.4551317104305514E-3</v>
      </c>
      <c r="BY31" s="46">
        <v>3.4787373712675128E-3</v>
      </c>
      <c r="BZ31" s="46">
        <v>3.5023430321044729E-3</v>
      </c>
      <c r="CA31" s="46">
        <v>3.5259486929414339E-3</v>
      </c>
      <c r="CB31" s="46">
        <v>3.5495543537783945E-3</v>
      </c>
      <c r="CC31" s="46">
        <v>3.5731600146153551E-3</v>
      </c>
      <c r="CD31" s="46">
        <v>3.5967656754523165E-3</v>
      </c>
      <c r="CE31" s="46">
        <v>3.6203713362892771E-3</v>
      </c>
      <c r="CF31" s="46">
        <v>3.6439769971262381E-3</v>
      </c>
      <c r="CG31" s="46">
        <v>3.6675826579631995E-3</v>
      </c>
      <c r="CH31" s="46">
        <v>3.6911883188001609E-3</v>
      </c>
      <c r="CI31" s="46">
        <v>3.7147939796371206E-3</v>
      </c>
      <c r="CJ31" s="46">
        <v>3.7383996404740821E-3</v>
      </c>
      <c r="CK31" s="46">
        <v>3.7620053013110422E-3</v>
      </c>
      <c r="CL31" s="46">
        <v>3.7856109621480032E-3</v>
      </c>
      <c r="CM31" s="46">
        <v>3.8092166229849646E-3</v>
      </c>
    </row>
    <row r="32" spans="1:91" x14ac:dyDescent="0.25">
      <c r="A32" s="17" t="s">
        <v>1</v>
      </c>
      <c r="B32" s="5">
        <v>0</v>
      </c>
      <c r="C32" s="5">
        <v>0</v>
      </c>
      <c r="D32" s="5">
        <v>0</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0</v>
      </c>
      <c r="AF32" s="46">
        <v>3.2695631189309741E-3</v>
      </c>
      <c r="AG32" s="46">
        <v>3.3190680876783053E-3</v>
      </c>
      <c r="AH32" s="46">
        <v>3.3685730564256351E-3</v>
      </c>
      <c r="AI32" s="46">
        <v>3.4180780251729654E-3</v>
      </c>
      <c r="AJ32" s="46">
        <v>3.4675829939202975E-3</v>
      </c>
      <c r="AK32" s="46">
        <v>3.5170879626676278E-3</v>
      </c>
      <c r="AL32" s="46">
        <v>3.566592931414959E-3</v>
      </c>
      <c r="AM32" s="46">
        <v>3.6160979001622893E-3</v>
      </c>
      <c r="AN32" s="46">
        <v>3.66560286890962E-3</v>
      </c>
      <c r="AO32" s="46">
        <v>3.7151078376569512E-3</v>
      </c>
      <c r="AP32" s="46">
        <v>3.764612806404282E-3</v>
      </c>
      <c r="AQ32" s="46">
        <v>3.8141177751516123E-3</v>
      </c>
      <c r="AR32" s="46">
        <v>3.8636227438989435E-3</v>
      </c>
      <c r="AS32" s="46">
        <v>3.9131277126462733E-3</v>
      </c>
      <c r="AT32" s="46">
        <v>3.9626326813936045E-3</v>
      </c>
      <c r="AU32" s="46">
        <v>4.0121376501409357E-3</v>
      </c>
      <c r="AV32" s="46">
        <v>4.0409850921853223E-3</v>
      </c>
      <c r="AW32" s="46">
        <v>4.0698325342297097E-3</v>
      </c>
      <c r="AX32" s="46">
        <v>4.0986799762740963E-3</v>
      </c>
      <c r="AY32" s="46">
        <v>4.127527418318482E-3</v>
      </c>
      <c r="AZ32" s="46">
        <v>4.1563748603628704E-3</v>
      </c>
      <c r="BA32" s="46">
        <v>4.1852223024072561E-3</v>
      </c>
      <c r="BB32" s="46">
        <v>4.2140697444516435E-3</v>
      </c>
      <c r="BC32" s="46">
        <v>4.2429171864960301E-3</v>
      </c>
      <c r="BD32" s="46">
        <v>4.2717646285404158E-3</v>
      </c>
      <c r="BE32" s="46">
        <v>4.3006120705848042E-3</v>
      </c>
      <c r="BF32" s="46">
        <v>4.3294595126291899E-3</v>
      </c>
      <c r="BG32" s="46">
        <v>4.3583069546735782E-3</v>
      </c>
      <c r="BH32" s="46">
        <v>4.3871543967179639E-3</v>
      </c>
      <c r="BI32" s="46">
        <v>4.4160018387623514E-3</v>
      </c>
      <c r="BJ32" s="46">
        <v>4.444849280806738E-3</v>
      </c>
      <c r="BK32" s="46">
        <v>4.4736967228511245E-3</v>
      </c>
      <c r="BL32" s="46">
        <v>4.5025441648955111E-3</v>
      </c>
      <c r="BM32" s="46">
        <v>4.5313916069398994E-3</v>
      </c>
      <c r="BN32" s="46">
        <v>4.5602390489842852E-3</v>
      </c>
      <c r="BO32" s="46">
        <v>4.5890864910286726E-3</v>
      </c>
      <c r="BP32" s="46">
        <v>4.6179339330730601E-3</v>
      </c>
      <c r="BQ32" s="46">
        <v>4.6467813751174458E-3</v>
      </c>
      <c r="BR32" s="46">
        <v>4.6756288171618332E-3</v>
      </c>
      <c r="BS32" s="46">
        <v>4.7044762592062198E-3</v>
      </c>
      <c r="BT32" s="46">
        <v>4.7333237012506073E-3</v>
      </c>
      <c r="BU32" s="46">
        <v>4.762171143294993E-3</v>
      </c>
      <c r="BV32" s="46">
        <v>4.7910185853393805E-3</v>
      </c>
      <c r="BW32" s="46">
        <v>4.8198660273837679E-3</v>
      </c>
      <c r="BX32" s="46">
        <v>4.8487134694281545E-3</v>
      </c>
      <c r="BY32" s="46">
        <v>4.8775609114725419E-3</v>
      </c>
      <c r="BZ32" s="46">
        <v>4.9064083535169277E-3</v>
      </c>
      <c r="CA32" s="46">
        <v>4.9352557955613151E-3</v>
      </c>
      <c r="CB32" s="46">
        <v>4.9641032376057017E-3</v>
      </c>
      <c r="CC32" s="46">
        <v>4.9929506796500883E-3</v>
      </c>
      <c r="CD32" s="46">
        <v>5.0217981216944757E-3</v>
      </c>
      <c r="CE32" s="46">
        <v>5.0506455637388623E-3</v>
      </c>
      <c r="CF32" s="46">
        <v>5.0794930057832489E-3</v>
      </c>
      <c r="CG32" s="46">
        <v>5.1083404478276355E-3</v>
      </c>
      <c r="CH32" s="46">
        <v>5.1371878898720212E-3</v>
      </c>
      <c r="CI32" s="46">
        <v>5.1660353319164087E-3</v>
      </c>
      <c r="CJ32" s="46">
        <v>5.1948827739607961E-3</v>
      </c>
      <c r="CK32" s="46">
        <v>5.2237302160051836E-3</v>
      </c>
      <c r="CL32" s="46">
        <v>5.252577658049571E-3</v>
      </c>
      <c r="CM32" s="46">
        <v>5.2814251000939559E-3</v>
      </c>
    </row>
    <row r="33" spans="1:91" x14ac:dyDescent="0.25">
      <c r="A33" s="17" t="s">
        <v>1</v>
      </c>
      <c r="B33" s="5">
        <v>0</v>
      </c>
      <c r="C33" s="5">
        <v>0</v>
      </c>
      <c r="D33" s="5">
        <v>0</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0</v>
      </c>
      <c r="AF33" s="46">
        <v>1.4251346260975677E-3</v>
      </c>
      <c r="AG33" s="46">
        <v>1.4394010133432365E-3</v>
      </c>
      <c r="AH33" s="46">
        <v>1.4536674005889065E-3</v>
      </c>
      <c r="AI33" s="46">
        <v>1.4679337878345756E-3</v>
      </c>
      <c r="AJ33" s="46">
        <v>1.4822001750802451E-3</v>
      </c>
      <c r="AK33" s="46">
        <v>1.4964665623259147E-3</v>
      </c>
      <c r="AL33" s="46">
        <v>1.5107329495715842E-3</v>
      </c>
      <c r="AM33" s="46">
        <v>1.5249993368172535E-3</v>
      </c>
      <c r="AN33" s="46">
        <v>1.5392657240629226E-3</v>
      </c>
      <c r="AO33" s="46">
        <v>1.5535321113085924E-3</v>
      </c>
      <c r="AP33" s="46">
        <v>1.5677984985542617E-3</v>
      </c>
      <c r="AQ33" s="46">
        <v>1.5820648857999312E-3</v>
      </c>
      <c r="AR33" s="46">
        <v>1.5963312730456008E-3</v>
      </c>
      <c r="AS33" s="46">
        <v>1.6105976602912699E-3</v>
      </c>
      <c r="AT33" s="46">
        <v>1.6248640475369394E-3</v>
      </c>
      <c r="AU33" s="46">
        <v>1.6391304347826087E-3</v>
      </c>
      <c r="AV33" s="46">
        <v>1.6512056578914661E-3</v>
      </c>
      <c r="AW33" s="46">
        <v>1.6632808810003231E-3</v>
      </c>
      <c r="AX33" s="46">
        <v>1.6753561041091803E-3</v>
      </c>
      <c r="AY33" s="46">
        <v>1.6874313272180379E-3</v>
      </c>
      <c r="AZ33" s="46">
        <v>1.6995065503268951E-3</v>
      </c>
      <c r="BA33" s="46">
        <v>1.7115817734357521E-3</v>
      </c>
      <c r="BB33" s="46">
        <v>1.7236569965446093E-3</v>
      </c>
      <c r="BC33" s="46">
        <v>1.7357322196534667E-3</v>
      </c>
      <c r="BD33" s="46">
        <v>1.7478074427623236E-3</v>
      </c>
      <c r="BE33" s="46">
        <v>1.759882665871181E-3</v>
      </c>
      <c r="BF33" s="46">
        <v>1.7719578889800382E-3</v>
      </c>
      <c r="BG33" s="46">
        <v>1.7840331120888959E-3</v>
      </c>
      <c r="BH33" s="46">
        <v>1.7961083351977531E-3</v>
      </c>
      <c r="BI33" s="46">
        <v>1.8081835583066094E-3</v>
      </c>
      <c r="BJ33" s="46">
        <v>1.8202587814154672E-3</v>
      </c>
      <c r="BK33" s="46">
        <v>1.8323340045243244E-3</v>
      </c>
      <c r="BL33" s="46">
        <v>1.844409227633182E-3</v>
      </c>
      <c r="BM33" s="46">
        <v>1.8564844507420388E-3</v>
      </c>
      <c r="BN33" s="46">
        <v>1.8685596738508962E-3</v>
      </c>
      <c r="BO33" s="46">
        <v>1.8806348969597534E-3</v>
      </c>
      <c r="BP33" s="46">
        <v>1.8927101200686108E-3</v>
      </c>
      <c r="BQ33" s="46">
        <v>1.9047853431774678E-3</v>
      </c>
      <c r="BR33" s="46">
        <v>1.9168605662863256E-3</v>
      </c>
      <c r="BS33" s="46">
        <v>1.9289357893951824E-3</v>
      </c>
      <c r="BT33" s="46">
        <v>1.9410110125040402E-3</v>
      </c>
      <c r="BU33" s="46">
        <v>1.9530862356128972E-3</v>
      </c>
      <c r="BV33" s="46">
        <v>1.9651614587217541E-3</v>
      </c>
      <c r="BW33" s="46">
        <v>1.9772366818306113E-3</v>
      </c>
      <c r="BX33" s="46">
        <v>1.989311904939469E-3</v>
      </c>
      <c r="BY33" s="46">
        <v>2.0013871280483257E-3</v>
      </c>
      <c r="BZ33" s="46">
        <v>2.0134623511571829E-3</v>
      </c>
      <c r="CA33" s="46">
        <v>2.0255375742660405E-3</v>
      </c>
      <c r="CB33" s="46">
        <v>2.0376127973748973E-3</v>
      </c>
      <c r="CC33" s="46">
        <v>2.0496880204837549E-3</v>
      </c>
      <c r="CD33" s="46">
        <v>2.0617632435926121E-3</v>
      </c>
      <c r="CE33" s="46">
        <v>2.0738384667014697E-3</v>
      </c>
      <c r="CF33" s="46">
        <v>2.0859136898103261E-3</v>
      </c>
      <c r="CG33" s="46">
        <v>2.0979889129191837E-3</v>
      </c>
      <c r="CH33" s="46">
        <v>2.1100641360280409E-3</v>
      </c>
      <c r="CI33" s="46">
        <v>2.1221393591368985E-3</v>
      </c>
      <c r="CJ33" s="46">
        <v>2.1342145822457557E-3</v>
      </c>
      <c r="CK33" s="46">
        <v>2.1462898053546129E-3</v>
      </c>
      <c r="CL33" s="46">
        <v>2.1583650284634701E-3</v>
      </c>
      <c r="CM33" s="46">
        <v>2.1704402515723277E-3</v>
      </c>
    </row>
    <row r="34" spans="1:91" x14ac:dyDescent="0.25">
      <c r="A34" s="17" t="s">
        <v>1</v>
      </c>
      <c r="B34" s="5">
        <v>0</v>
      </c>
      <c r="C34" s="5">
        <v>0</v>
      </c>
      <c r="D34" s="5">
        <v>0</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46">
        <v>1.6577549140049134E-3</v>
      </c>
      <c r="AG34" s="46">
        <v>1.6804361179361179E-3</v>
      </c>
      <c r="AH34" s="46">
        <v>1.7031173218673219E-3</v>
      </c>
      <c r="AI34" s="46">
        <v>1.7257985257985258E-3</v>
      </c>
      <c r="AJ34" s="46">
        <v>1.7484797297297294E-3</v>
      </c>
      <c r="AK34" s="46">
        <v>1.7711609336609332E-3</v>
      </c>
      <c r="AL34" s="46">
        <v>1.7938421375921377E-3</v>
      </c>
      <c r="AM34" s="46">
        <v>1.8165233415233415E-3</v>
      </c>
      <c r="AN34" s="46">
        <v>1.8392045454545453E-3</v>
      </c>
      <c r="AO34" s="46">
        <v>1.8618857493857496E-3</v>
      </c>
      <c r="AP34" s="46">
        <v>1.8845669533169532E-3</v>
      </c>
      <c r="AQ34" s="46">
        <v>1.9072481572481575E-3</v>
      </c>
      <c r="AR34" s="46">
        <v>1.9299293611793611E-3</v>
      </c>
      <c r="AS34" s="46">
        <v>1.9526105651105647E-3</v>
      </c>
      <c r="AT34" s="46">
        <v>1.9752917690417696E-3</v>
      </c>
      <c r="AU34" s="46">
        <v>1.9979729729729728E-3</v>
      </c>
      <c r="AV34" s="46">
        <v>2.0184735872235877E-3</v>
      </c>
      <c r="AW34" s="46">
        <v>2.0389742014742013E-3</v>
      </c>
      <c r="AX34" s="46">
        <v>2.0594748157248153E-3</v>
      </c>
      <c r="AY34" s="46">
        <v>2.0799754299754298E-3</v>
      </c>
      <c r="AZ34" s="46">
        <v>2.1004760442260443E-3</v>
      </c>
      <c r="BA34" s="46">
        <v>2.1209766584766587E-3</v>
      </c>
      <c r="BB34" s="46">
        <v>2.1414772727272723E-3</v>
      </c>
      <c r="BC34" s="46">
        <v>2.1619778869778868E-3</v>
      </c>
      <c r="BD34" s="46">
        <v>2.1824785012285013E-3</v>
      </c>
      <c r="BE34" s="46">
        <v>2.2029791154791153E-3</v>
      </c>
      <c r="BF34" s="46">
        <v>2.2234797297297293E-3</v>
      </c>
      <c r="BG34" s="46">
        <v>2.2439803439803438E-3</v>
      </c>
      <c r="BH34" s="46">
        <v>2.2644809582309583E-3</v>
      </c>
      <c r="BI34" s="46">
        <v>2.2849815724815723E-3</v>
      </c>
      <c r="BJ34" s="46">
        <v>2.3054821867321868E-3</v>
      </c>
      <c r="BK34" s="46">
        <v>2.3259828009828008E-3</v>
      </c>
      <c r="BL34" s="46">
        <v>2.3464834152334153E-3</v>
      </c>
      <c r="BM34" s="46">
        <v>2.3669840294840293E-3</v>
      </c>
      <c r="BN34" s="46">
        <v>2.3874846437346438E-3</v>
      </c>
      <c r="BO34" s="46">
        <v>2.4079852579852574E-3</v>
      </c>
      <c r="BP34" s="46">
        <v>2.4284858722358718E-3</v>
      </c>
      <c r="BQ34" s="46">
        <v>2.4489864864864859E-3</v>
      </c>
      <c r="BR34" s="46">
        <v>2.4694871007371003E-3</v>
      </c>
      <c r="BS34" s="46">
        <v>2.4899877149877148E-3</v>
      </c>
      <c r="BT34" s="46">
        <v>2.5104883292383293E-3</v>
      </c>
      <c r="BU34" s="46">
        <v>2.5309889434889433E-3</v>
      </c>
      <c r="BV34" s="46">
        <v>2.5514895577395573E-3</v>
      </c>
      <c r="BW34" s="46">
        <v>2.5719901719901722E-3</v>
      </c>
      <c r="BX34" s="46">
        <v>2.5924907862407863E-3</v>
      </c>
      <c r="BY34" s="46">
        <v>2.6129914004914007E-3</v>
      </c>
      <c r="BZ34" s="46">
        <v>2.6334920147420139E-3</v>
      </c>
      <c r="CA34" s="46">
        <v>2.6539926289926284E-3</v>
      </c>
      <c r="CB34" s="46">
        <v>2.6744932432432428E-3</v>
      </c>
      <c r="CC34" s="46">
        <v>2.6949938574938573E-3</v>
      </c>
      <c r="CD34" s="46">
        <v>2.7154944717444713E-3</v>
      </c>
      <c r="CE34" s="46">
        <v>2.7359950859950858E-3</v>
      </c>
      <c r="CF34" s="46">
        <v>2.7564957002457007E-3</v>
      </c>
      <c r="CG34" s="46">
        <v>2.7769963144963143E-3</v>
      </c>
      <c r="CH34" s="46">
        <v>2.7974969287469288E-3</v>
      </c>
      <c r="CI34" s="46">
        <v>2.8179975429975424E-3</v>
      </c>
      <c r="CJ34" s="46">
        <v>2.8384981572481573E-3</v>
      </c>
      <c r="CK34" s="46">
        <v>2.8589987714987713E-3</v>
      </c>
      <c r="CL34" s="46">
        <v>2.8794993857493853E-3</v>
      </c>
      <c r="CM34" s="46">
        <v>2.8999999999999998E-3</v>
      </c>
    </row>
    <row r="35" spans="1:91" x14ac:dyDescent="0.25">
      <c r="A35" s="17" t="s">
        <v>1</v>
      </c>
      <c r="B35" s="5">
        <v>0</v>
      </c>
      <c r="C35" s="5">
        <v>0</v>
      </c>
      <c r="D35" s="5">
        <v>0</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46">
        <v>6.1522727272727278E-2</v>
      </c>
      <c r="AG35" s="46">
        <v>6.1954545454545457E-2</v>
      </c>
      <c r="AH35" s="46">
        <v>6.2386363636363643E-2</v>
      </c>
      <c r="AI35" s="46">
        <v>6.2818181818181829E-2</v>
      </c>
      <c r="AJ35" s="46">
        <v>6.3250000000000001E-2</v>
      </c>
      <c r="AK35" s="46">
        <v>6.3681818181818187E-2</v>
      </c>
      <c r="AL35" s="46">
        <v>6.4113636363636373E-2</v>
      </c>
      <c r="AM35" s="46">
        <v>6.4545454545454545E-2</v>
      </c>
      <c r="AN35" s="46">
        <v>6.4977272727272731E-2</v>
      </c>
      <c r="AO35" s="46">
        <v>6.5409090909090917E-2</v>
      </c>
      <c r="AP35" s="46">
        <v>6.5840909090909089E-2</v>
      </c>
      <c r="AQ35" s="46">
        <v>6.6272727272727275E-2</v>
      </c>
      <c r="AR35" s="46">
        <v>6.6704545454545461E-2</v>
      </c>
      <c r="AS35" s="46">
        <v>6.7136363636363633E-2</v>
      </c>
      <c r="AT35" s="46">
        <v>6.7568181818181819E-2</v>
      </c>
      <c r="AU35" s="46">
        <v>6.8000000000000005E-2</v>
      </c>
      <c r="AV35" s="46">
        <v>6.881818181818182E-2</v>
      </c>
      <c r="AW35" s="46">
        <v>6.9636363636363635E-2</v>
      </c>
      <c r="AX35" s="46">
        <v>7.0454545454545464E-2</v>
      </c>
      <c r="AY35" s="46">
        <v>7.1272727272727279E-2</v>
      </c>
      <c r="AZ35" s="46">
        <v>7.2090909090909094E-2</v>
      </c>
      <c r="BA35" s="46">
        <v>7.290909090909091E-2</v>
      </c>
      <c r="BB35" s="46">
        <v>7.3727272727272725E-2</v>
      </c>
      <c r="BC35" s="46">
        <v>7.4545454545454554E-2</v>
      </c>
      <c r="BD35" s="46">
        <v>7.5363636363636369E-2</v>
      </c>
      <c r="BE35" s="46">
        <v>7.6181818181818184E-2</v>
      </c>
      <c r="BF35" s="46">
        <v>7.6999999999999999E-2</v>
      </c>
      <c r="BG35" s="46">
        <v>7.7818181818181814E-2</v>
      </c>
      <c r="BH35" s="46">
        <v>7.8636363636363643E-2</v>
      </c>
      <c r="BI35" s="46">
        <v>7.9454545454545458E-2</v>
      </c>
      <c r="BJ35" s="46">
        <v>8.0272727272727273E-2</v>
      </c>
      <c r="BK35" s="46">
        <v>8.1090909090909088E-2</v>
      </c>
      <c r="BL35" s="46">
        <v>8.1909090909090904E-2</v>
      </c>
      <c r="BM35" s="46">
        <v>8.2727272727272733E-2</v>
      </c>
      <c r="BN35" s="46">
        <v>8.3545454545454548E-2</v>
      </c>
      <c r="BO35" s="46">
        <v>8.4363636363636363E-2</v>
      </c>
      <c r="BP35" s="46">
        <v>8.5181818181818178E-2</v>
      </c>
      <c r="BQ35" s="46">
        <v>8.5999999999999993E-2</v>
      </c>
      <c r="BR35" s="46">
        <v>8.6818181818181822E-2</v>
      </c>
      <c r="BS35" s="46">
        <v>8.7636363636363637E-2</v>
      </c>
      <c r="BT35" s="46">
        <v>8.8454545454545452E-2</v>
      </c>
      <c r="BU35" s="46">
        <v>8.9272727272727267E-2</v>
      </c>
      <c r="BV35" s="46">
        <v>9.0090909090909083E-2</v>
      </c>
      <c r="BW35" s="46">
        <v>9.0909090909090912E-2</v>
      </c>
      <c r="BX35" s="46">
        <v>9.1727272727272727E-2</v>
      </c>
      <c r="BY35" s="46">
        <v>9.2545454545454542E-2</v>
      </c>
      <c r="BZ35" s="46">
        <v>9.3363636363636357E-2</v>
      </c>
      <c r="CA35" s="46">
        <v>9.4181818181818172E-2</v>
      </c>
      <c r="CB35" s="46">
        <v>9.5000000000000001E-2</v>
      </c>
      <c r="CC35" s="46">
        <v>9.5818181818181816E-2</v>
      </c>
      <c r="CD35" s="46">
        <v>9.6636363636363631E-2</v>
      </c>
      <c r="CE35" s="46">
        <v>9.7454545454545446E-2</v>
      </c>
      <c r="CF35" s="46">
        <v>9.8272727272727262E-2</v>
      </c>
      <c r="CG35" s="46">
        <v>9.9090909090909091E-2</v>
      </c>
      <c r="CH35" s="46">
        <v>9.9909090909090906E-2</v>
      </c>
      <c r="CI35" s="46">
        <v>0.10072727272727272</v>
      </c>
      <c r="CJ35" s="46">
        <v>0.10154545454545455</v>
      </c>
      <c r="CK35" s="46">
        <v>0.10236363636363635</v>
      </c>
      <c r="CL35" s="46">
        <v>0.10318181818181818</v>
      </c>
      <c r="CM35" s="46">
        <v>0.104</v>
      </c>
    </row>
    <row r="37" spans="1:91" x14ac:dyDescent="0.25">
      <c r="A37" s="17" t="s">
        <v>15</v>
      </c>
      <c r="B37" s="5">
        <v>0</v>
      </c>
      <c r="C37" s="5">
        <v>0</v>
      </c>
      <c r="D37" s="5">
        <v>0</v>
      </c>
      <c r="E37" s="5">
        <v>0</v>
      </c>
      <c r="F37" s="5">
        <v>0</v>
      </c>
      <c r="G37" s="5">
        <v>0</v>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0</v>
      </c>
      <c r="AE37" s="5">
        <v>0</v>
      </c>
      <c r="AF37" s="19">
        <v>9.6590909090909095E-4</v>
      </c>
      <c r="AG37" s="19">
        <v>9.6818181818181823E-4</v>
      </c>
      <c r="AH37" s="19">
        <v>9.704545454545454E-4</v>
      </c>
      <c r="AI37" s="19">
        <v>9.7272727272727268E-4</v>
      </c>
      <c r="AJ37" s="19">
        <v>9.7499999999999996E-4</v>
      </c>
      <c r="AK37" s="19">
        <v>9.7727272727272723E-4</v>
      </c>
      <c r="AL37" s="19">
        <v>9.7954545454545451E-4</v>
      </c>
      <c r="AM37" s="19">
        <v>9.8181818181818179E-4</v>
      </c>
      <c r="AN37" s="19">
        <v>9.8409090909090907E-4</v>
      </c>
      <c r="AO37" s="19">
        <v>9.8636363636363635E-4</v>
      </c>
      <c r="AP37" s="19">
        <v>9.8863636363636363E-4</v>
      </c>
      <c r="AQ37" s="19">
        <v>9.9090909090909091E-4</v>
      </c>
      <c r="AR37" s="19">
        <v>9.9318181818181818E-4</v>
      </c>
      <c r="AS37" s="19">
        <v>9.9545454545454546E-4</v>
      </c>
      <c r="AT37" s="19">
        <v>9.9772727272727274E-4</v>
      </c>
      <c r="AU37" s="19">
        <v>1E-3</v>
      </c>
      <c r="AV37" s="19">
        <v>1.0363636363636365E-3</v>
      </c>
      <c r="AW37" s="19">
        <v>1.0727272727272727E-3</v>
      </c>
      <c r="AX37" s="19">
        <v>1.1090909090909092E-3</v>
      </c>
      <c r="AY37" s="19">
        <v>1.1454545454545454E-3</v>
      </c>
      <c r="AZ37" s="19">
        <v>1.1818181818181819E-3</v>
      </c>
      <c r="BA37" s="19">
        <v>1.2181818181818181E-3</v>
      </c>
      <c r="BB37" s="19">
        <v>1.2545454545454546E-3</v>
      </c>
      <c r="BC37" s="19">
        <v>1.2909090909090908E-3</v>
      </c>
      <c r="BD37" s="19">
        <v>1.3272727272727273E-3</v>
      </c>
      <c r="BE37" s="19">
        <v>1.3636363636363635E-3</v>
      </c>
      <c r="BF37" s="19">
        <v>1.4E-3</v>
      </c>
      <c r="BG37" s="19">
        <v>1.4363636363636362E-3</v>
      </c>
      <c r="BH37" s="19">
        <v>1.4727272727272727E-3</v>
      </c>
      <c r="BI37" s="19">
        <v>1.5090909090909091E-3</v>
      </c>
      <c r="BJ37" s="19">
        <v>1.5454545454545454E-3</v>
      </c>
      <c r="BK37" s="19">
        <v>1.5818181818181816E-3</v>
      </c>
      <c r="BL37" s="19">
        <v>1.6181818181818181E-3</v>
      </c>
      <c r="BM37" s="19">
        <v>1.6545454545454545E-3</v>
      </c>
      <c r="BN37" s="19">
        <v>1.6909090909090908E-3</v>
      </c>
      <c r="BO37" s="19">
        <v>1.727272727272727E-3</v>
      </c>
      <c r="BP37" s="19">
        <v>1.7636363636363635E-3</v>
      </c>
      <c r="BQ37" s="19">
        <v>1.8E-3</v>
      </c>
      <c r="BR37" s="19">
        <v>1.8363636363636362E-3</v>
      </c>
      <c r="BS37" s="19">
        <v>1.8727272727272727E-3</v>
      </c>
      <c r="BT37" s="19">
        <v>1.9090909090909089E-3</v>
      </c>
      <c r="BU37" s="19">
        <v>1.9454545454545454E-3</v>
      </c>
      <c r="BV37" s="19">
        <v>1.9818181818181818E-3</v>
      </c>
      <c r="BW37" s="19">
        <v>2.0181818181818183E-3</v>
      </c>
      <c r="BX37" s="19">
        <v>2.0545454545454543E-3</v>
      </c>
      <c r="BY37" s="19">
        <v>2.0909090909090908E-3</v>
      </c>
      <c r="BZ37" s="19">
        <v>2.1272727272727268E-3</v>
      </c>
      <c r="CA37" s="19">
        <v>2.1636363636363632E-3</v>
      </c>
      <c r="CB37" s="19">
        <v>2.1999999999999997E-3</v>
      </c>
      <c r="CC37" s="19">
        <v>2.2363636363636362E-3</v>
      </c>
      <c r="CD37" s="19">
        <v>2.2727272727272726E-3</v>
      </c>
      <c r="CE37" s="19">
        <v>2.3090909090909091E-3</v>
      </c>
      <c r="CF37" s="19">
        <v>2.3454545454545455E-3</v>
      </c>
      <c r="CG37" s="19">
        <v>2.3818181818181816E-3</v>
      </c>
      <c r="CH37" s="19">
        <v>2.418181818181818E-3</v>
      </c>
      <c r="CI37" s="19">
        <v>2.454545454545454E-3</v>
      </c>
      <c r="CJ37" s="19">
        <v>2.4909090909090905E-3</v>
      </c>
      <c r="CK37" s="19">
        <v>2.527272727272727E-3</v>
      </c>
      <c r="CL37" s="19">
        <v>2.5636363636363634E-3</v>
      </c>
      <c r="CM37" s="19">
        <v>2.5999999999999999E-3</v>
      </c>
    </row>
    <row r="38" spans="1:91" x14ac:dyDescent="0.25">
      <c r="A38" s="17"/>
    </row>
    <row r="39" spans="1:91" x14ac:dyDescent="0.25">
      <c r="A39" s="17" t="s">
        <v>14</v>
      </c>
      <c r="B39" s="5">
        <v>0</v>
      </c>
      <c r="C39" s="5">
        <v>0</v>
      </c>
      <c r="D39" s="5">
        <v>0</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19">
        <v>8.6618671127481966E-4</v>
      </c>
      <c r="AG39" s="19">
        <v>8.7332065560907562E-4</v>
      </c>
      <c r="AH39" s="19">
        <v>8.8045459994333169E-4</v>
      </c>
      <c r="AI39" s="19">
        <v>8.8758854427758765E-4</v>
      </c>
      <c r="AJ39" s="19">
        <v>8.9472248861184372E-4</v>
      </c>
      <c r="AK39" s="19">
        <v>9.0185643294609969E-4</v>
      </c>
      <c r="AL39" s="19">
        <v>9.0899037728035576E-4</v>
      </c>
      <c r="AM39" s="19">
        <v>9.1612432161461172E-4</v>
      </c>
      <c r="AN39" s="19">
        <v>9.2325826594886768E-4</v>
      </c>
      <c r="AO39" s="19">
        <v>9.3039221028312375E-4</v>
      </c>
      <c r="AP39" s="19">
        <v>9.3752615461737982E-4</v>
      </c>
      <c r="AQ39" s="19">
        <v>9.4466009895163578E-4</v>
      </c>
      <c r="AR39" s="19">
        <v>9.5179404328589175E-4</v>
      </c>
      <c r="AS39" s="19">
        <v>9.5892798762014782E-4</v>
      </c>
      <c r="AT39" s="19">
        <v>9.6606193195440389E-4</v>
      </c>
      <c r="AU39" s="19">
        <v>9.7319587628865985E-4</v>
      </c>
      <c r="AV39" s="19">
        <v>9.9072164948453621E-4</v>
      </c>
      <c r="AW39" s="19">
        <v>1.0082474226804125E-3</v>
      </c>
      <c r="AX39" s="19">
        <v>1.0257731958762887E-3</v>
      </c>
      <c r="AY39" s="19">
        <v>1.043298969072165E-3</v>
      </c>
      <c r="AZ39" s="19">
        <v>1.0608247422680412E-3</v>
      </c>
      <c r="BA39" s="19">
        <v>1.0783505154639175E-3</v>
      </c>
      <c r="BB39" s="19">
        <v>1.095876288659794E-3</v>
      </c>
      <c r="BC39" s="19">
        <v>1.1134020618556702E-3</v>
      </c>
      <c r="BD39" s="19">
        <v>1.1309278350515465E-3</v>
      </c>
      <c r="BE39" s="19">
        <v>1.1484536082474227E-3</v>
      </c>
      <c r="BF39" s="19">
        <v>1.165979381443299E-3</v>
      </c>
      <c r="BG39" s="19">
        <v>1.1835051546391752E-3</v>
      </c>
      <c r="BH39" s="19">
        <v>1.2010309278350515E-3</v>
      </c>
      <c r="BI39" s="19">
        <v>1.2185567010309277E-3</v>
      </c>
      <c r="BJ39" s="19">
        <v>1.236082474226804E-3</v>
      </c>
      <c r="BK39" s="19">
        <v>1.2536082474226805E-3</v>
      </c>
      <c r="BL39" s="19">
        <v>1.2711340206185567E-3</v>
      </c>
      <c r="BM39" s="19">
        <v>1.288659793814433E-3</v>
      </c>
      <c r="BN39" s="19">
        <v>1.3061855670103092E-3</v>
      </c>
      <c r="BO39" s="19">
        <v>1.3237113402061855E-3</v>
      </c>
      <c r="BP39" s="19">
        <v>1.3412371134020619E-3</v>
      </c>
      <c r="BQ39" s="19">
        <v>1.3587628865979382E-3</v>
      </c>
      <c r="BR39" s="19">
        <v>1.3762886597938145E-3</v>
      </c>
      <c r="BS39" s="19">
        <v>1.3938144329896907E-3</v>
      </c>
      <c r="BT39" s="19">
        <v>1.411340206185567E-3</v>
      </c>
      <c r="BU39" s="19">
        <v>1.4288659793814432E-3</v>
      </c>
      <c r="BV39" s="19">
        <v>1.4463917525773195E-3</v>
      </c>
      <c r="BW39" s="19">
        <v>1.4639175257731957E-3</v>
      </c>
      <c r="BX39" s="19">
        <v>1.481443298969072E-3</v>
      </c>
      <c r="BY39" s="19">
        <v>1.4989690721649482E-3</v>
      </c>
      <c r="BZ39" s="19">
        <v>1.5164948453608247E-3</v>
      </c>
      <c r="CA39" s="19">
        <v>1.534020618556701E-3</v>
      </c>
      <c r="CB39" s="19">
        <v>1.5515463917525772E-3</v>
      </c>
      <c r="CC39" s="19">
        <v>1.5690721649484537E-3</v>
      </c>
      <c r="CD39" s="19">
        <v>1.5865979381443299E-3</v>
      </c>
      <c r="CE39" s="19">
        <v>1.6041237113402062E-3</v>
      </c>
      <c r="CF39" s="19">
        <v>1.6216494845360824E-3</v>
      </c>
      <c r="CG39" s="19">
        <v>1.6391752577319587E-3</v>
      </c>
      <c r="CH39" s="19">
        <v>1.656701030927835E-3</v>
      </c>
      <c r="CI39" s="19">
        <v>1.6742268041237112E-3</v>
      </c>
      <c r="CJ39" s="19">
        <v>1.6917525773195875E-3</v>
      </c>
      <c r="CK39" s="19">
        <v>1.7092783505154637E-3</v>
      </c>
      <c r="CL39" s="19">
        <v>1.72680412371134E-3</v>
      </c>
      <c r="CM39" s="19">
        <v>1.7443298969072164E-3</v>
      </c>
    </row>
    <row r="41" spans="1:91" x14ac:dyDescent="0.25">
      <c r="A41" s="17" t="s">
        <v>16</v>
      </c>
      <c r="B41" s="5">
        <v>0</v>
      </c>
      <c r="C41" s="5">
        <v>0</v>
      </c>
      <c r="D41" s="5">
        <v>0</v>
      </c>
      <c r="E41" s="5">
        <v>0</v>
      </c>
      <c r="F41" s="5">
        <v>0</v>
      </c>
      <c r="G41" s="5">
        <v>0</v>
      </c>
      <c r="H41" s="5">
        <v>0</v>
      </c>
      <c r="I41" s="5">
        <v>0</v>
      </c>
      <c r="J41" s="5">
        <v>0</v>
      </c>
      <c r="K41" s="5">
        <v>0</v>
      </c>
      <c r="L41" s="5">
        <v>0</v>
      </c>
      <c r="M41" s="5">
        <v>0</v>
      </c>
      <c r="N41" s="5">
        <v>0</v>
      </c>
      <c r="O41" s="5">
        <v>0</v>
      </c>
      <c r="P41" s="5">
        <v>0</v>
      </c>
      <c r="Q41" s="5">
        <v>0</v>
      </c>
      <c r="R41" s="5">
        <v>0</v>
      </c>
      <c r="S41" s="5">
        <v>0</v>
      </c>
      <c r="T41" s="5">
        <v>0</v>
      </c>
      <c r="U41" s="5">
        <v>0</v>
      </c>
      <c r="V41" s="5">
        <v>0</v>
      </c>
      <c r="W41" s="5">
        <v>0</v>
      </c>
      <c r="X41" s="5">
        <v>0</v>
      </c>
      <c r="Y41" s="5">
        <v>0</v>
      </c>
      <c r="Z41" s="5">
        <v>0</v>
      </c>
      <c r="AA41" s="5">
        <v>0</v>
      </c>
      <c r="AB41" s="5">
        <v>0</v>
      </c>
      <c r="AC41" s="5">
        <v>0</v>
      </c>
      <c r="AD41" s="5">
        <v>0</v>
      </c>
      <c r="AE41" s="5">
        <v>0</v>
      </c>
      <c r="AF41" s="19">
        <v>5.0675000000000008E-3</v>
      </c>
      <c r="AG41" s="19">
        <v>5.1450000000000003E-3</v>
      </c>
      <c r="AH41" s="19">
        <v>5.2225000000000006E-3</v>
      </c>
      <c r="AI41" s="19">
        <v>5.3000000000000009E-3</v>
      </c>
      <c r="AJ41" s="19">
        <v>5.3775000000000003E-3</v>
      </c>
      <c r="AK41" s="19">
        <v>5.4550000000000006E-3</v>
      </c>
      <c r="AL41" s="19">
        <v>5.532500000000001E-3</v>
      </c>
      <c r="AM41" s="19">
        <v>5.6100000000000004E-3</v>
      </c>
      <c r="AN41" s="19">
        <v>5.6874999999999998E-3</v>
      </c>
      <c r="AO41" s="19">
        <v>5.765000000000001E-3</v>
      </c>
      <c r="AP41" s="19">
        <v>5.8425000000000005E-3</v>
      </c>
      <c r="AQ41" s="19">
        <v>5.9199999999999999E-3</v>
      </c>
      <c r="AR41" s="19">
        <v>5.9975000000000011E-3</v>
      </c>
      <c r="AS41" s="19">
        <v>6.0750000000000005E-3</v>
      </c>
      <c r="AT41" s="19">
        <v>6.1525E-3</v>
      </c>
      <c r="AU41" s="19">
        <v>6.2300000000000003E-3</v>
      </c>
      <c r="AV41" s="19">
        <v>6.2575E-3</v>
      </c>
      <c r="AW41" s="19">
        <v>6.2850000000000007E-3</v>
      </c>
      <c r="AX41" s="19">
        <v>6.3125000000000004E-3</v>
      </c>
      <c r="AY41" s="19">
        <v>6.3400000000000001E-3</v>
      </c>
      <c r="AZ41" s="19">
        <v>6.3674999999999999E-3</v>
      </c>
      <c r="BA41" s="19">
        <v>6.3950000000000005E-3</v>
      </c>
      <c r="BB41" s="19">
        <v>6.4225000000000003E-3</v>
      </c>
      <c r="BC41" s="19">
        <v>6.45E-3</v>
      </c>
      <c r="BD41" s="19">
        <v>6.4774999999999998E-3</v>
      </c>
      <c r="BE41" s="19">
        <v>6.5050000000000004E-3</v>
      </c>
      <c r="BF41" s="19">
        <v>6.5325000000000001E-3</v>
      </c>
      <c r="BG41" s="19">
        <v>6.5599999999999999E-3</v>
      </c>
      <c r="BH41" s="19">
        <v>6.5875000000000005E-3</v>
      </c>
      <c r="BI41" s="19">
        <v>6.6150000000000002E-3</v>
      </c>
      <c r="BJ41" s="19">
        <v>6.6425E-3</v>
      </c>
      <c r="BK41" s="19">
        <v>6.6699999999999997E-3</v>
      </c>
      <c r="BL41" s="19">
        <v>6.6975000000000003E-3</v>
      </c>
      <c r="BM41" s="19">
        <v>6.7250000000000001E-3</v>
      </c>
      <c r="BN41" s="19">
        <v>6.7524999999999998E-3</v>
      </c>
      <c r="BO41" s="19">
        <v>6.7799999999999996E-3</v>
      </c>
      <c r="BP41" s="19">
        <v>6.8075000000000002E-3</v>
      </c>
      <c r="BQ41" s="19">
        <v>6.8349999999999999E-3</v>
      </c>
      <c r="BR41" s="19">
        <v>6.8624999999999997E-3</v>
      </c>
      <c r="BS41" s="19">
        <v>6.8900000000000003E-3</v>
      </c>
      <c r="BT41" s="19">
        <v>6.9175E-3</v>
      </c>
      <c r="BU41" s="19">
        <v>6.9449999999999998E-3</v>
      </c>
      <c r="BV41" s="19">
        <v>6.9724999999999995E-3</v>
      </c>
      <c r="BW41" s="19">
        <v>7.0000000000000001E-3</v>
      </c>
      <c r="BX41" s="19">
        <v>7.0274999999999999E-3</v>
      </c>
      <c r="BY41" s="19">
        <v>7.0549999999999996E-3</v>
      </c>
      <c r="BZ41" s="19">
        <v>7.0825000000000003E-3</v>
      </c>
      <c r="CA41" s="19">
        <v>7.11E-3</v>
      </c>
      <c r="CB41" s="19">
        <v>7.1374999999999997E-3</v>
      </c>
      <c r="CC41" s="19">
        <v>7.1649999999999995E-3</v>
      </c>
      <c r="CD41" s="19">
        <v>7.1925000000000001E-3</v>
      </c>
      <c r="CE41" s="19">
        <v>7.2199999999999999E-3</v>
      </c>
      <c r="CF41" s="19">
        <v>7.2474999999999996E-3</v>
      </c>
      <c r="CG41" s="19">
        <v>7.2750000000000002E-3</v>
      </c>
      <c r="CH41" s="19">
        <v>7.3025E-3</v>
      </c>
      <c r="CI41" s="19">
        <v>7.3299999999999997E-3</v>
      </c>
      <c r="CJ41" s="19">
        <v>7.3574999999999995E-3</v>
      </c>
      <c r="CK41" s="19">
        <v>7.3849999999999992E-3</v>
      </c>
      <c r="CL41" s="19">
        <v>7.4124999999999998E-3</v>
      </c>
      <c r="CM41" s="19">
        <v>7.4399999999999996E-3</v>
      </c>
    </row>
    <row r="42" spans="1:91" x14ac:dyDescent="0.25">
      <c r="A42" s="17" t="s">
        <v>1</v>
      </c>
      <c r="B42" s="5">
        <v>0</v>
      </c>
      <c r="C42" s="5">
        <v>0</v>
      </c>
      <c r="D42" s="5">
        <v>0</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19">
        <v>2.3129545454545456E-3</v>
      </c>
      <c r="AG42" s="19">
        <v>2.3440909090909094E-3</v>
      </c>
      <c r="AH42" s="19">
        <v>2.3752272727272728E-3</v>
      </c>
      <c r="AI42" s="19">
        <v>2.4063636363636366E-3</v>
      </c>
      <c r="AJ42" s="19">
        <v>2.4375000000000004E-3</v>
      </c>
      <c r="AK42" s="19">
        <v>2.4686363636363638E-3</v>
      </c>
      <c r="AL42" s="19">
        <v>2.4997727272727276E-3</v>
      </c>
      <c r="AM42" s="19">
        <v>2.5309090909090915E-3</v>
      </c>
      <c r="AN42" s="19">
        <v>2.5620454545454549E-3</v>
      </c>
      <c r="AO42" s="19">
        <v>2.5931818181818183E-3</v>
      </c>
      <c r="AP42" s="19">
        <v>2.6243181818181821E-3</v>
      </c>
      <c r="AQ42" s="19">
        <v>2.6554545454545459E-3</v>
      </c>
      <c r="AR42" s="19">
        <v>2.6865909090909093E-3</v>
      </c>
      <c r="AS42" s="19">
        <v>2.7177272727272731E-3</v>
      </c>
      <c r="AT42" s="19">
        <v>2.748863636363637E-3</v>
      </c>
      <c r="AU42" s="19">
        <v>2.7800000000000004E-3</v>
      </c>
      <c r="AV42" s="19">
        <v>2.7993181818181823E-3</v>
      </c>
      <c r="AW42" s="19">
        <v>2.8186363636363639E-3</v>
      </c>
      <c r="AX42" s="19">
        <v>2.8379545454545459E-3</v>
      </c>
      <c r="AY42" s="19">
        <v>2.8572727272727274E-3</v>
      </c>
      <c r="AZ42" s="19">
        <v>2.8765909090909094E-3</v>
      </c>
      <c r="BA42" s="19">
        <v>2.8959090909090913E-3</v>
      </c>
      <c r="BB42" s="19">
        <v>2.9152272727272729E-3</v>
      </c>
      <c r="BC42" s="19">
        <v>2.9345454545454549E-3</v>
      </c>
      <c r="BD42" s="19">
        <v>2.9538636363636368E-3</v>
      </c>
      <c r="BE42" s="19">
        <v>2.9731818181818184E-3</v>
      </c>
      <c r="BF42" s="19">
        <v>2.9925000000000004E-3</v>
      </c>
      <c r="BG42" s="19">
        <v>3.0118181818181819E-3</v>
      </c>
      <c r="BH42" s="19">
        <v>3.0311363636363639E-3</v>
      </c>
      <c r="BI42" s="19">
        <v>3.0504545454545459E-3</v>
      </c>
      <c r="BJ42" s="19">
        <v>3.0697727272727274E-3</v>
      </c>
      <c r="BK42" s="19">
        <v>3.0890909090909094E-3</v>
      </c>
      <c r="BL42" s="19">
        <v>3.1084090909090914E-3</v>
      </c>
      <c r="BM42" s="19">
        <v>3.1277272727272729E-3</v>
      </c>
      <c r="BN42" s="19">
        <v>3.1470454545454549E-3</v>
      </c>
      <c r="BO42" s="19">
        <v>3.1663636363636364E-3</v>
      </c>
      <c r="BP42" s="19">
        <v>3.1856818181818184E-3</v>
      </c>
      <c r="BQ42" s="19">
        <v>3.2050000000000004E-3</v>
      </c>
      <c r="BR42" s="19">
        <v>3.2243181818181819E-3</v>
      </c>
      <c r="BS42" s="19">
        <v>3.2436363636363639E-3</v>
      </c>
      <c r="BT42" s="19">
        <v>3.2629545454545454E-3</v>
      </c>
      <c r="BU42" s="19">
        <v>3.2822727272727274E-3</v>
      </c>
      <c r="BV42" s="19">
        <v>3.3015909090909094E-3</v>
      </c>
      <c r="BW42" s="19">
        <v>3.3209090909090909E-3</v>
      </c>
      <c r="BX42" s="19">
        <v>3.3402272727272729E-3</v>
      </c>
      <c r="BY42" s="19">
        <v>3.3595454545454545E-3</v>
      </c>
      <c r="BZ42" s="19">
        <v>3.3788636363636364E-3</v>
      </c>
      <c r="CA42" s="19">
        <v>3.3981818181818184E-3</v>
      </c>
      <c r="CB42" s="19">
        <v>3.4175E-3</v>
      </c>
      <c r="CC42" s="19">
        <v>3.4368181818181819E-3</v>
      </c>
      <c r="CD42" s="19">
        <v>3.4561363636363635E-3</v>
      </c>
      <c r="CE42" s="19">
        <v>3.4754545454545455E-3</v>
      </c>
      <c r="CF42" s="19">
        <v>3.4947727272727274E-3</v>
      </c>
      <c r="CG42" s="19">
        <v>3.5140909090909094E-3</v>
      </c>
      <c r="CH42" s="19">
        <v>3.533409090909091E-3</v>
      </c>
      <c r="CI42" s="19">
        <v>3.5527272727272729E-3</v>
      </c>
      <c r="CJ42" s="19">
        <v>3.5720454545454545E-3</v>
      </c>
      <c r="CK42" s="19">
        <v>3.5913636363636365E-3</v>
      </c>
      <c r="CL42" s="19">
        <v>3.6106818181818184E-3</v>
      </c>
      <c r="CM42" s="19">
        <v>3.63E-3</v>
      </c>
    </row>
    <row r="43" spans="1:91" x14ac:dyDescent="0.25">
      <c r="A43" s="17" t="s">
        <v>1</v>
      </c>
      <c r="B43" s="5">
        <v>0</v>
      </c>
      <c r="C43" s="5">
        <v>0</v>
      </c>
      <c r="D43" s="5">
        <v>0</v>
      </c>
      <c r="E43" s="5">
        <v>0</v>
      </c>
      <c r="F43" s="5">
        <v>0</v>
      </c>
      <c r="G43" s="5">
        <v>0</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0</v>
      </c>
      <c r="AC43" s="5">
        <v>0</v>
      </c>
      <c r="AD43" s="5">
        <v>0</v>
      </c>
      <c r="AE43" s="5">
        <v>0</v>
      </c>
      <c r="AF43" s="19">
        <v>3.4209090909090912E-3</v>
      </c>
      <c r="AG43" s="19">
        <v>3.4681818181818186E-3</v>
      </c>
      <c r="AH43" s="19">
        <v>3.5154545454545456E-3</v>
      </c>
      <c r="AI43" s="19">
        <v>3.562727272727273E-3</v>
      </c>
      <c r="AJ43" s="19">
        <v>3.6100000000000004E-3</v>
      </c>
      <c r="AK43" s="19">
        <v>3.6572727272727278E-3</v>
      </c>
      <c r="AL43" s="19">
        <v>3.7045454545454552E-3</v>
      </c>
      <c r="AM43" s="19">
        <v>3.7518181818181826E-3</v>
      </c>
      <c r="AN43" s="19">
        <v>3.7990909090909099E-3</v>
      </c>
      <c r="AO43" s="19">
        <v>3.8463636363636369E-3</v>
      </c>
      <c r="AP43" s="19">
        <v>3.8936363636363643E-3</v>
      </c>
      <c r="AQ43" s="19">
        <v>3.9409090909090913E-3</v>
      </c>
      <c r="AR43" s="19">
        <v>3.9881818181818187E-3</v>
      </c>
      <c r="AS43" s="19">
        <v>4.0354545454545461E-3</v>
      </c>
      <c r="AT43" s="19">
        <v>4.0827272727272735E-3</v>
      </c>
      <c r="AU43" s="19">
        <v>4.1300000000000009E-3</v>
      </c>
      <c r="AV43" s="19">
        <v>4.1579545454545463E-3</v>
      </c>
      <c r="AW43" s="19">
        <v>4.1859090909090917E-3</v>
      </c>
      <c r="AX43" s="19">
        <v>4.2138636363636371E-3</v>
      </c>
      <c r="AY43" s="19">
        <v>4.2418181818181825E-3</v>
      </c>
      <c r="AZ43" s="19">
        <v>4.269772727272728E-3</v>
      </c>
      <c r="BA43" s="19">
        <v>4.2977272727272734E-3</v>
      </c>
      <c r="BB43" s="19">
        <v>4.3256818181818188E-3</v>
      </c>
      <c r="BC43" s="19">
        <v>4.3536363636363642E-3</v>
      </c>
      <c r="BD43" s="19">
        <v>4.3815909090909096E-3</v>
      </c>
      <c r="BE43" s="19">
        <v>4.4095454545454551E-3</v>
      </c>
      <c r="BF43" s="19">
        <v>4.4375000000000005E-3</v>
      </c>
      <c r="BG43" s="19">
        <v>4.4654545454545459E-3</v>
      </c>
      <c r="BH43" s="19">
        <v>4.4934090909090913E-3</v>
      </c>
      <c r="BI43" s="19">
        <v>4.5213636363636367E-3</v>
      </c>
      <c r="BJ43" s="19">
        <v>4.5493181818181821E-3</v>
      </c>
      <c r="BK43" s="19">
        <v>4.5772727272727276E-3</v>
      </c>
      <c r="BL43" s="19">
        <v>4.605227272727273E-3</v>
      </c>
      <c r="BM43" s="19">
        <v>4.6331818181818184E-3</v>
      </c>
      <c r="BN43" s="19">
        <v>4.6611363636363638E-3</v>
      </c>
      <c r="BO43" s="19">
        <v>4.6890909090909101E-3</v>
      </c>
      <c r="BP43" s="19">
        <v>4.7170454545454547E-3</v>
      </c>
      <c r="BQ43" s="19">
        <v>4.745000000000001E-3</v>
      </c>
      <c r="BR43" s="19">
        <v>4.7729545454545455E-3</v>
      </c>
      <c r="BS43" s="19">
        <v>4.8009090909090918E-3</v>
      </c>
      <c r="BT43" s="19">
        <v>4.8288636363636372E-3</v>
      </c>
      <c r="BU43" s="19">
        <v>4.8568181818181826E-3</v>
      </c>
      <c r="BV43" s="19">
        <v>4.8847727272727281E-3</v>
      </c>
      <c r="BW43" s="19">
        <v>4.9127272727272735E-3</v>
      </c>
      <c r="BX43" s="19">
        <v>4.9406818181818189E-3</v>
      </c>
      <c r="BY43" s="19">
        <v>4.9686363636363643E-3</v>
      </c>
      <c r="BZ43" s="19">
        <v>4.9965909090909097E-3</v>
      </c>
      <c r="CA43" s="19">
        <v>5.0245454545454551E-3</v>
      </c>
      <c r="CB43" s="19">
        <v>5.0525000000000006E-3</v>
      </c>
      <c r="CC43" s="19">
        <v>5.080454545454546E-3</v>
      </c>
      <c r="CD43" s="19">
        <v>5.1084090909090914E-3</v>
      </c>
      <c r="CE43" s="19">
        <v>5.1363636363636368E-3</v>
      </c>
      <c r="CF43" s="19">
        <v>5.1643181818181822E-3</v>
      </c>
      <c r="CG43" s="19">
        <v>5.1922727272727277E-3</v>
      </c>
      <c r="CH43" s="19">
        <v>5.2202272727272731E-3</v>
      </c>
      <c r="CI43" s="19">
        <v>5.2481818181818185E-3</v>
      </c>
      <c r="CJ43" s="19">
        <v>5.2761363636363639E-3</v>
      </c>
      <c r="CK43" s="19">
        <v>5.3040909090909093E-3</v>
      </c>
      <c r="CL43" s="19">
        <v>5.3320454545454548E-3</v>
      </c>
      <c r="CM43" s="19">
        <v>5.3600000000000002E-3</v>
      </c>
    </row>
    <row r="44" spans="1:91" x14ac:dyDescent="0.25">
      <c r="A44" s="17" t="s">
        <v>1</v>
      </c>
      <c r="B44" s="5">
        <v>0</v>
      </c>
      <c r="C44" s="5">
        <v>0</v>
      </c>
      <c r="D44" s="5">
        <v>0</v>
      </c>
      <c r="E44" s="5">
        <v>0</v>
      </c>
      <c r="F44" s="5">
        <v>0</v>
      </c>
      <c r="G44" s="5">
        <v>0</v>
      </c>
      <c r="H44" s="5">
        <v>0</v>
      </c>
      <c r="I44" s="5">
        <v>0</v>
      </c>
      <c r="J44" s="5">
        <v>0</v>
      </c>
      <c r="K44" s="5">
        <v>0</v>
      </c>
      <c r="L44" s="5">
        <v>0</v>
      </c>
      <c r="M44" s="5">
        <v>0</v>
      </c>
      <c r="N44" s="5">
        <v>0</v>
      </c>
      <c r="O44" s="5">
        <v>0</v>
      </c>
      <c r="P44" s="5">
        <v>0</v>
      </c>
      <c r="Q44" s="5">
        <v>0</v>
      </c>
      <c r="R44" s="5">
        <v>0</v>
      </c>
      <c r="S44" s="5">
        <v>0</v>
      </c>
      <c r="T44" s="5">
        <v>0</v>
      </c>
      <c r="U44" s="5">
        <v>0</v>
      </c>
      <c r="V44" s="5">
        <v>0</v>
      </c>
      <c r="W44" s="5">
        <v>0</v>
      </c>
      <c r="X44" s="5">
        <v>0</v>
      </c>
      <c r="Y44" s="5">
        <v>0</v>
      </c>
      <c r="Z44" s="5">
        <v>0</v>
      </c>
      <c r="AA44" s="5">
        <v>0</v>
      </c>
      <c r="AB44" s="5">
        <v>0</v>
      </c>
      <c r="AC44" s="5">
        <v>0</v>
      </c>
      <c r="AD44" s="5">
        <v>0</v>
      </c>
      <c r="AE44" s="5">
        <v>0</v>
      </c>
      <c r="AF44" s="19">
        <v>1.4251346260975674E-3</v>
      </c>
      <c r="AG44" s="19">
        <v>1.4394010133432368E-3</v>
      </c>
      <c r="AH44" s="19">
        <v>1.4536674005889063E-3</v>
      </c>
      <c r="AI44" s="19">
        <v>1.4679337878345756E-3</v>
      </c>
      <c r="AJ44" s="19">
        <v>1.4822001750802451E-3</v>
      </c>
      <c r="AK44" s="19">
        <v>1.4964665623259145E-3</v>
      </c>
      <c r="AL44" s="19">
        <v>1.510732949571584E-3</v>
      </c>
      <c r="AM44" s="19">
        <v>1.5249993368172533E-3</v>
      </c>
      <c r="AN44" s="19">
        <v>1.5392657240629226E-3</v>
      </c>
      <c r="AO44" s="19">
        <v>1.5535321113085922E-3</v>
      </c>
      <c r="AP44" s="19">
        <v>1.5677984985542617E-3</v>
      </c>
      <c r="AQ44" s="19">
        <v>1.582064885799931E-3</v>
      </c>
      <c r="AR44" s="19">
        <v>1.5963312730456003E-3</v>
      </c>
      <c r="AS44" s="19">
        <v>1.6105976602912699E-3</v>
      </c>
      <c r="AT44" s="19">
        <v>1.6248640475369394E-3</v>
      </c>
      <c r="AU44" s="19">
        <v>1.6391304347826087E-3</v>
      </c>
      <c r="AV44" s="19">
        <v>1.6512056578914659E-3</v>
      </c>
      <c r="AW44" s="19">
        <v>1.6632808810003231E-3</v>
      </c>
      <c r="AX44" s="19">
        <v>1.6753561041091805E-3</v>
      </c>
      <c r="AY44" s="19">
        <v>1.6874313272180377E-3</v>
      </c>
      <c r="AZ44" s="19">
        <v>1.6995065503268949E-3</v>
      </c>
      <c r="BA44" s="19">
        <v>1.7115817734357521E-3</v>
      </c>
      <c r="BB44" s="19">
        <v>1.7236569965446095E-3</v>
      </c>
      <c r="BC44" s="19">
        <v>1.7357322196534667E-3</v>
      </c>
      <c r="BD44" s="19">
        <v>1.7478074427623239E-3</v>
      </c>
      <c r="BE44" s="19">
        <v>1.759882665871181E-3</v>
      </c>
      <c r="BF44" s="19">
        <v>1.7719578889800382E-3</v>
      </c>
      <c r="BG44" s="19">
        <v>1.7840331120888956E-3</v>
      </c>
      <c r="BH44" s="19">
        <v>1.7961083351977528E-3</v>
      </c>
      <c r="BI44" s="19">
        <v>1.80818355830661E-3</v>
      </c>
      <c r="BJ44" s="19">
        <v>1.8202587814154672E-3</v>
      </c>
      <c r="BK44" s="19">
        <v>1.8323340045243246E-3</v>
      </c>
      <c r="BL44" s="19">
        <v>1.8444092276331818E-3</v>
      </c>
      <c r="BM44" s="19">
        <v>1.856484450742039E-3</v>
      </c>
      <c r="BN44" s="19">
        <v>1.8685596738508962E-3</v>
      </c>
      <c r="BO44" s="19">
        <v>1.8806348969597534E-3</v>
      </c>
      <c r="BP44" s="19">
        <v>1.8927101200686108E-3</v>
      </c>
      <c r="BQ44" s="19">
        <v>1.904785343177468E-3</v>
      </c>
      <c r="BR44" s="19">
        <v>1.9168605662863252E-3</v>
      </c>
      <c r="BS44" s="19">
        <v>1.9289357893951826E-3</v>
      </c>
      <c r="BT44" s="19">
        <v>1.9410110125040398E-3</v>
      </c>
      <c r="BU44" s="19">
        <v>1.953086235612897E-3</v>
      </c>
      <c r="BV44" s="19">
        <v>1.9651614587217541E-3</v>
      </c>
      <c r="BW44" s="19">
        <v>1.9772366818306113E-3</v>
      </c>
      <c r="BX44" s="19">
        <v>1.9893119049394685E-3</v>
      </c>
      <c r="BY44" s="19">
        <v>2.0013871280483257E-3</v>
      </c>
      <c r="BZ44" s="19">
        <v>2.0134623511571829E-3</v>
      </c>
      <c r="CA44" s="19">
        <v>2.0255375742660405E-3</v>
      </c>
      <c r="CB44" s="19">
        <v>2.0376127973748977E-3</v>
      </c>
      <c r="CC44" s="19">
        <v>2.0496880204837549E-3</v>
      </c>
      <c r="CD44" s="19">
        <v>2.0617632435926121E-3</v>
      </c>
      <c r="CE44" s="19">
        <v>2.0738384667014693E-3</v>
      </c>
      <c r="CF44" s="19">
        <v>2.0859136898103265E-3</v>
      </c>
      <c r="CG44" s="19">
        <v>2.0979889129191837E-3</v>
      </c>
      <c r="CH44" s="19">
        <v>2.1100641360280409E-3</v>
      </c>
      <c r="CI44" s="19">
        <v>2.1221393591368985E-3</v>
      </c>
      <c r="CJ44" s="19">
        <v>2.1342145822457557E-3</v>
      </c>
      <c r="CK44" s="19">
        <v>2.1462898053546129E-3</v>
      </c>
      <c r="CL44" s="19">
        <v>2.1583650284634701E-3</v>
      </c>
      <c r="CM44" s="19">
        <v>2.1704402515723272E-3</v>
      </c>
    </row>
    <row r="45" spans="1:91" x14ac:dyDescent="0.25">
      <c r="A45" s="17" t="s">
        <v>1</v>
      </c>
      <c r="B45" s="5">
        <v>0</v>
      </c>
      <c r="C45" s="5">
        <v>0</v>
      </c>
      <c r="D45" s="5">
        <v>0</v>
      </c>
      <c r="E45" s="5">
        <v>0</v>
      </c>
      <c r="F45" s="5">
        <v>0</v>
      </c>
      <c r="G45" s="5">
        <v>0</v>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v>
      </c>
      <c r="AD45" s="5">
        <v>0</v>
      </c>
      <c r="AE45" s="5">
        <v>0</v>
      </c>
      <c r="AF45" s="19">
        <v>1.6577549140049139E-3</v>
      </c>
      <c r="AG45" s="19">
        <v>1.6804361179361179E-3</v>
      </c>
      <c r="AH45" s="19">
        <v>1.7031173218673219E-3</v>
      </c>
      <c r="AI45" s="19">
        <v>1.7257985257985258E-3</v>
      </c>
      <c r="AJ45" s="19">
        <v>1.7484797297297296E-3</v>
      </c>
      <c r="AK45" s="19">
        <v>1.7711609336609336E-3</v>
      </c>
      <c r="AL45" s="19">
        <v>1.7938421375921377E-3</v>
      </c>
      <c r="AM45" s="19">
        <v>1.8165233415233415E-3</v>
      </c>
      <c r="AN45" s="19">
        <v>1.8392045454545453E-3</v>
      </c>
      <c r="AO45" s="19">
        <v>1.8618857493857494E-3</v>
      </c>
      <c r="AP45" s="19">
        <v>1.8845669533169532E-3</v>
      </c>
      <c r="AQ45" s="19">
        <v>1.907248157248157E-3</v>
      </c>
      <c r="AR45" s="19">
        <v>1.9299293611793611E-3</v>
      </c>
      <c r="AS45" s="19">
        <v>1.9526105651105651E-3</v>
      </c>
      <c r="AT45" s="19">
        <v>1.9752917690417692E-3</v>
      </c>
      <c r="AU45" s="19">
        <v>1.9979729729729728E-3</v>
      </c>
      <c r="AV45" s="19">
        <v>2.0184735872235873E-3</v>
      </c>
      <c r="AW45" s="19">
        <v>2.0389742014742013E-3</v>
      </c>
      <c r="AX45" s="19">
        <v>2.0594748157248153E-3</v>
      </c>
      <c r="AY45" s="19">
        <v>2.0799754299754298E-3</v>
      </c>
      <c r="AZ45" s="19">
        <v>2.1004760442260443E-3</v>
      </c>
      <c r="BA45" s="19">
        <v>2.1209766584766583E-3</v>
      </c>
      <c r="BB45" s="19">
        <v>2.1414772727272723E-3</v>
      </c>
      <c r="BC45" s="19">
        <v>2.1619778869778868E-3</v>
      </c>
      <c r="BD45" s="19">
        <v>2.1824785012285013E-3</v>
      </c>
      <c r="BE45" s="19">
        <v>2.2029791154791153E-3</v>
      </c>
      <c r="BF45" s="19">
        <v>2.2234797297297293E-3</v>
      </c>
      <c r="BG45" s="19">
        <v>2.2439803439803438E-3</v>
      </c>
      <c r="BH45" s="19">
        <v>2.2644809582309583E-3</v>
      </c>
      <c r="BI45" s="19">
        <v>2.2849815724815723E-3</v>
      </c>
      <c r="BJ45" s="19">
        <v>2.3054821867321863E-3</v>
      </c>
      <c r="BK45" s="19">
        <v>2.3259828009828008E-3</v>
      </c>
      <c r="BL45" s="19">
        <v>2.3464834152334153E-3</v>
      </c>
      <c r="BM45" s="19">
        <v>2.3669840294840293E-3</v>
      </c>
      <c r="BN45" s="19">
        <v>2.3874846437346433E-3</v>
      </c>
      <c r="BO45" s="19">
        <v>2.4079852579852578E-3</v>
      </c>
      <c r="BP45" s="19">
        <v>2.4284858722358723E-3</v>
      </c>
      <c r="BQ45" s="19">
        <v>2.4489864864864863E-3</v>
      </c>
      <c r="BR45" s="19">
        <v>2.4694871007371003E-3</v>
      </c>
      <c r="BS45" s="19">
        <v>2.4899877149877148E-3</v>
      </c>
      <c r="BT45" s="19">
        <v>2.5104883292383293E-3</v>
      </c>
      <c r="BU45" s="19">
        <v>2.5309889434889433E-3</v>
      </c>
      <c r="BV45" s="19">
        <v>2.5514895577395573E-3</v>
      </c>
      <c r="BW45" s="19">
        <v>2.5719901719901718E-3</v>
      </c>
      <c r="BX45" s="19">
        <v>2.5924907862407863E-3</v>
      </c>
      <c r="BY45" s="19">
        <v>2.6129914004914003E-3</v>
      </c>
      <c r="BZ45" s="19">
        <v>2.6334920147420143E-3</v>
      </c>
      <c r="CA45" s="19">
        <v>2.6539926289926288E-3</v>
      </c>
      <c r="CB45" s="19">
        <v>2.6744932432432433E-3</v>
      </c>
      <c r="CC45" s="19">
        <v>2.6949938574938573E-3</v>
      </c>
      <c r="CD45" s="19">
        <v>2.7154944717444713E-3</v>
      </c>
      <c r="CE45" s="19">
        <v>2.7359950859950858E-3</v>
      </c>
      <c r="CF45" s="19">
        <v>2.7564957002457003E-3</v>
      </c>
      <c r="CG45" s="19">
        <v>2.7769963144963143E-3</v>
      </c>
      <c r="CH45" s="19">
        <v>2.7974969287469283E-3</v>
      </c>
      <c r="CI45" s="19">
        <v>2.8179975429975428E-3</v>
      </c>
      <c r="CJ45" s="19">
        <v>2.8384981572481573E-3</v>
      </c>
      <c r="CK45" s="19">
        <v>2.8589987714987713E-3</v>
      </c>
      <c r="CL45" s="19">
        <v>2.8794993857493853E-3</v>
      </c>
      <c r="CM45" s="19">
        <v>2.8999999999999998E-3</v>
      </c>
    </row>
    <row r="46" spans="1:91" x14ac:dyDescent="0.25">
      <c r="A46" s="17" t="s">
        <v>1</v>
      </c>
      <c r="B46" s="5">
        <v>0</v>
      </c>
      <c r="C46" s="5">
        <v>0</v>
      </c>
      <c r="D46" s="5">
        <v>0</v>
      </c>
      <c r="E46" s="5">
        <v>0</v>
      </c>
      <c r="F46" s="5">
        <v>0</v>
      </c>
      <c r="G46" s="5">
        <v>0</v>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c r="AA46" s="5">
        <v>0</v>
      </c>
      <c r="AB46" s="5">
        <v>0</v>
      </c>
      <c r="AC46" s="5">
        <v>0</v>
      </c>
      <c r="AD46" s="5">
        <v>0</v>
      </c>
      <c r="AE46" s="5">
        <v>0</v>
      </c>
      <c r="AF46" s="19">
        <v>6.1522727272727278E-2</v>
      </c>
      <c r="AG46" s="19">
        <v>6.1954545454545457E-2</v>
      </c>
      <c r="AH46" s="19">
        <v>6.2386363636363643E-2</v>
      </c>
      <c r="AI46" s="19">
        <v>6.2818181818181829E-2</v>
      </c>
      <c r="AJ46" s="19">
        <v>6.3250000000000001E-2</v>
      </c>
      <c r="AK46" s="19">
        <v>6.3681818181818187E-2</v>
      </c>
      <c r="AL46" s="19">
        <v>6.4113636363636373E-2</v>
      </c>
      <c r="AM46" s="19">
        <v>6.4545454545454545E-2</v>
      </c>
      <c r="AN46" s="19">
        <v>6.4977272727272731E-2</v>
      </c>
      <c r="AO46" s="19">
        <v>6.5409090909090917E-2</v>
      </c>
      <c r="AP46" s="19">
        <v>6.5840909090909089E-2</v>
      </c>
      <c r="AQ46" s="19">
        <v>6.6272727272727275E-2</v>
      </c>
      <c r="AR46" s="19">
        <v>6.6704545454545461E-2</v>
      </c>
      <c r="AS46" s="19">
        <v>6.7136363636363633E-2</v>
      </c>
      <c r="AT46" s="19">
        <v>6.7568181818181819E-2</v>
      </c>
      <c r="AU46" s="19">
        <v>6.8000000000000005E-2</v>
      </c>
      <c r="AV46" s="19">
        <v>6.881818181818182E-2</v>
      </c>
      <c r="AW46" s="19">
        <v>6.9636363636363635E-2</v>
      </c>
      <c r="AX46" s="19">
        <v>7.0454545454545464E-2</v>
      </c>
      <c r="AY46" s="19">
        <v>7.1272727272727279E-2</v>
      </c>
      <c r="AZ46" s="19">
        <v>7.2090909090909094E-2</v>
      </c>
      <c r="BA46" s="19">
        <v>7.290909090909091E-2</v>
      </c>
      <c r="BB46" s="19">
        <v>7.3727272727272725E-2</v>
      </c>
      <c r="BC46" s="19">
        <v>7.4545454545454554E-2</v>
      </c>
      <c r="BD46" s="19">
        <v>7.5363636363636369E-2</v>
      </c>
      <c r="BE46" s="19">
        <v>7.6181818181818184E-2</v>
      </c>
      <c r="BF46" s="19">
        <v>7.6999999999999999E-2</v>
      </c>
      <c r="BG46" s="19">
        <v>7.7818181818181814E-2</v>
      </c>
      <c r="BH46" s="19">
        <v>7.8636363636363643E-2</v>
      </c>
      <c r="BI46" s="19">
        <v>7.9454545454545458E-2</v>
      </c>
      <c r="BJ46" s="19">
        <v>8.0272727272727273E-2</v>
      </c>
      <c r="BK46" s="19">
        <v>8.1090909090909088E-2</v>
      </c>
      <c r="BL46" s="19">
        <v>8.1909090909090904E-2</v>
      </c>
      <c r="BM46" s="19">
        <v>8.2727272727272733E-2</v>
      </c>
      <c r="BN46" s="19">
        <v>8.3545454545454548E-2</v>
      </c>
      <c r="BO46" s="19">
        <v>8.4363636363636363E-2</v>
      </c>
      <c r="BP46" s="19">
        <v>8.5181818181818178E-2</v>
      </c>
      <c r="BQ46" s="19">
        <v>8.5999999999999993E-2</v>
      </c>
      <c r="BR46" s="19">
        <v>8.6818181818181822E-2</v>
      </c>
      <c r="BS46" s="19">
        <v>8.7636363636363637E-2</v>
      </c>
      <c r="BT46" s="19">
        <v>8.8454545454545452E-2</v>
      </c>
      <c r="BU46" s="19">
        <v>8.9272727272727267E-2</v>
      </c>
      <c r="BV46" s="19">
        <v>9.0090909090909083E-2</v>
      </c>
      <c r="BW46" s="19">
        <v>9.0909090909090912E-2</v>
      </c>
      <c r="BX46" s="19">
        <v>9.1727272727272727E-2</v>
      </c>
      <c r="BY46" s="19">
        <v>9.2545454545454542E-2</v>
      </c>
      <c r="BZ46" s="19">
        <v>9.3363636363636357E-2</v>
      </c>
      <c r="CA46" s="19">
        <v>9.4181818181818172E-2</v>
      </c>
      <c r="CB46" s="19">
        <v>9.5000000000000001E-2</v>
      </c>
      <c r="CC46" s="19">
        <v>9.5818181818181816E-2</v>
      </c>
      <c r="CD46" s="19">
        <v>9.6636363636363631E-2</v>
      </c>
      <c r="CE46" s="19">
        <v>9.7454545454545446E-2</v>
      </c>
      <c r="CF46" s="19">
        <v>9.8272727272727262E-2</v>
      </c>
      <c r="CG46" s="19">
        <v>9.9090909090909091E-2</v>
      </c>
      <c r="CH46" s="19">
        <v>9.9909090909090906E-2</v>
      </c>
      <c r="CI46" s="19">
        <v>0.10072727272727272</v>
      </c>
      <c r="CJ46" s="19">
        <v>0.10154545454545455</v>
      </c>
      <c r="CK46" s="19">
        <v>0.10236363636363635</v>
      </c>
      <c r="CL46" s="19">
        <v>0.10318181818181818</v>
      </c>
      <c r="CM46" s="19">
        <v>0.104</v>
      </c>
    </row>
    <row r="47" spans="1:91" x14ac:dyDescent="0.25">
      <c r="A47" s="17"/>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row>
    <row r="48" spans="1:91" x14ac:dyDescent="0.25">
      <c r="A48" s="17" t="s">
        <v>17</v>
      </c>
      <c r="B48" s="5">
        <v>0</v>
      </c>
      <c r="C48" s="5">
        <v>0</v>
      </c>
      <c r="D48" s="5">
        <v>0</v>
      </c>
      <c r="E48" s="5">
        <v>0</v>
      </c>
      <c r="F48" s="5">
        <v>0</v>
      </c>
      <c r="G48" s="5">
        <v>0</v>
      </c>
      <c r="H48" s="5">
        <v>0</v>
      </c>
      <c r="I48" s="5">
        <v>0</v>
      </c>
      <c r="J48" s="5">
        <v>0</v>
      </c>
      <c r="K48" s="5">
        <v>0</v>
      </c>
      <c r="L48" s="5">
        <v>0</v>
      </c>
      <c r="M48" s="5">
        <v>0</v>
      </c>
      <c r="N48" s="5">
        <v>0</v>
      </c>
      <c r="O48" s="5">
        <v>0</v>
      </c>
      <c r="P48" s="5">
        <v>0</v>
      </c>
      <c r="Q48" s="5">
        <v>0</v>
      </c>
      <c r="R48" s="5">
        <v>0</v>
      </c>
      <c r="S48" s="5">
        <v>0</v>
      </c>
      <c r="T48" s="5">
        <v>0</v>
      </c>
      <c r="U48" s="5">
        <v>0</v>
      </c>
      <c r="V48" s="5">
        <v>0</v>
      </c>
      <c r="W48" s="5">
        <v>0</v>
      </c>
      <c r="X48" s="5">
        <v>0</v>
      </c>
      <c r="Y48" s="5">
        <v>0</v>
      </c>
      <c r="Z48" s="5">
        <v>0</v>
      </c>
      <c r="AA48" s="5">
        <v>0</v>
      </c>
      <c r="AB48" s="5">
        <v>0</v>
      </c>
      <c r="AC48" s="5">
        <v>0</v>
      </c>
      <c r="AD48" s="5">
        <v>0</v>
      </c>
      <c r="AE48" s="5">
        <v>0</v>
      </c>
      <c r="AF48" s="19">
        <v>3.0288636363636368E-3</v>
      </c>
      <c r="AG48" s="19">
        <v>3.1022727272727278E-3</v>
      </c>
      <c r="AH48" s="19">
        <v>3.1756818181818188E-3</v>
      </c>
      <c r="AI48" s="19">
        <v>3.2490909090909098E-3</v>
      </c>
      <c r="AJ48" s="19">
        <v>3.3225000000000008E-3</v>
      </c>
      <c r="AK48" s="19">
        <v>3.3959090909090918E-3</v>
      </c>
      <c r="AL48" s="19">
        <v>3.4693181818181828E-3</v>
      </c>
      <c r="AM48" s="19">
        <v>3.5427272727272738E-3</v>
      </c>
      <c r="AN48" s="19">
        <v>3.6161363636363648E-3</v>
      </c>
      <c r="AO48" s="19">
        <v>3.6895454545454558E-3</v>
      </c>
      <c r="AP48" s="19">
        <v>3.7629545454545468E-3</v>
      </c>
      <c r="AQ48" s="19">
        <v>3.8363636363636378E-3</v>
      </c>
      <c r="AR48" s="19">
        <v>3.9097727272727287E-3</v>
      </c>
      <c r="AS48" s="19">
        <v>3.9831818181818197E-3</v>
      </c>
      <c r="AT48" s="19">
        <v>4.0565909090909107E-3</v>
      </c>
      <c r="AU48" s="19">
        <v>4.1300000000000009E-3</v>
      </c>
      <c r="AV48" s="19">
        <v>4.1579545454545463E-3</v>
      </c>
      <c r="AW48" s="19">
        <v>4.1859090909090917E-3</v>
      </c>
      <c r="AX48" s="19">
        <v>4.2138636363636371E-3</v>
      </c>
      <c r="AY48" s="19">
        <v>4.2418181818181825E-3</v>
      </c>
      <c r="AZ48" s="19">
        <v>4.269772727272728E-3</v>
      </c>
      <c r="BA48" s="19">
        <v>4.2977272727272734E-3</v>
      </c>
      <c r="BB48" s="19">
        <v>4.3256818181818188E-3</v>
      </c>
      <c r="BC48" s="19">
        <v>4.3536363636363642E-3</v>
      </c>
      <c r="BD48" s="19">
        <v>4.3815909090909096E-3</v>
      </c>
      <c r="BE48" s="19">
        <v>4.4095454545454551E-3</v>
      </c>
      <c r="BF48" s="19">
        <v>4.4375000000000005E-3</v>
      </c>
      <c r="BG48" s="19">
        <v>4.4654545454545459E-3</v>
      </c>
      <c r="BH48" s="19">
        <v>4.4934090909090913E-3</v>
      </c>
      <c r="BI48" s="19">
        <v>4.5213636363636367E-3</v>
      </c>
      <c r="BJ48" s="19">
        <v>4.5493181818181821E-3</v>
      </c>
      <c r="BK48" s="19">
        <v>4.5772727272727276E-3</v>
      </c>
      <c r="BL48" s="19">
        <v>4.605227272727273E-3</v>
      </c>
      <c r="BM48" s="19">
        <v>4.6331818181818184E-3</v>
      </c>
      <c r="BN48" s="19">
        <v>4.6611363636363638E-3</v>
      </c>
      <c r="BO48" s="19">
        <v>4.6890909090909101E-3</v>
      </c>
      <c r="BP48" s="19">
        <v>4.7170454545454547E-3</v>
      </c>
      <c r="BQ48" s="19">
        <v>4.745000000000001E-3</v>
      </c>
      <c r="BR48" s="19">
        <v>4.7729545454545455E-3</v>
      </c>
      <c r="BS48" s="19">
        <v>4.8009090909090918E-3</v>
      </c>
      <c r="BT48" s="19">
        <v>4.8288636363636372E-3</v>
      </c>
      <c r="BU48" s="19">
        <v>4.8568181818181826E-3</v>
      </c>
      <c r="BV48" s="19">
        <v>4.8847727272727281E-3</v>
      </c>
      <c r="BW48" s="19">
        <v>4.9127272727272735E-3</v>
      </c>
      <c r="BX48" s="19">
        <v>4.9406818181818189E-3</v>
      </c>
      <c r="BY48" s="19">
        <v>4.9686363636363643E-3</v>
      </c>
      <c r="BZ48" s="19">
        <v>4.9965909090909097E-3</v>
      </c>
      <c r="CA48" s="19">
        <v>5.0245454545454551E-3</v>
      </c>
      <c r="CB48" s="19">
        <v>5.0525000000000006E-3</v>
      </c>
      <c r="CC48" s="19">
        <v>5.080454545454546E-3</v>
      </c>
      <c r="CD48" s="19">
        <v>5.1084090909090914E-3</v>
      </c>
      <c r="CE48" s="19">
        <v>5.1363636363636368E-3</v>
      </c>
      <c r="CF48" s="19">
        <v>5.1643181818181822E-3</v>
      </c>
      <c r="CG48" s="19">
        <v>5.1922727272727277E-3</v>
      </c>
      <c r="CH48" s="19">
        <v>5.2202272727272731E-3</v>
      </c>
      <c r="CI48" s="19">
        <v>5.2481818181818185E-3</v>
      </c>
      <c r="CJ48" s="19">
        <v>5.2761363636363639E-3</v>
      </c>
      <c r="CK48" s="19">
        <v>5.3040909090909093E-3</v>
      </c>
      <c r="CL48" s="19">
        <v>5.3320454545454548E-3</v>
      </c>
      <c r="CM48" s="19">
        <v>5.3600000000000002E-3</v>
      </c>
    </row>
    <row r="49" spans="1:91" x14ac:dyDescent="0.25">
      <c r="A49" s="17"/>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row>
    <row r="50" spans="1:91" x14ac:dyDescent="0.25">
      <c r="A50" s="17" t="s">
        <v>18</v>
      </c>
      <c r="B50" s="5">
        <v>0</v>
      </c>
      <c r="C50" s="5">
        <v>0</v>
      </c>
      <c r="D50" s="5">
        <v>0</v>
      </c>
      <c r="E50" s="5">
        <v>0</v>
      </c>
      <c r="F50" s="5">
        <v>0</v>
      </c>
      <c r="G50" s="5">
        <v>0</v>
      </c>
      <c r="H50" s="5">
        <v>0</v>
      </c>
      <c r="I50" s="5">
        <v>0</v>
      </c>
      <c r="J50" s="5">
        <v>0</v>
      </c>
      <c r="K50" s="5">
        <v>0</v>
      </c>
      <c r="L50" s="5">
        <v>0</v>
      </c>
      <c r="M50" s="5">
        <v>0</v>
      </c>
      <c r="N50" s="5">
        <v>0</v>
      </c>
      <c r="O50" s="5">
        <v>0</v>
      </c>
      <c r="P50" s="5">
        <v>0</v>
      </c>
      <c r="Q50" s="5">
        <v>0</v>
      </c>
      <c r="R50" s="5">
        <v>0</v>
      </c>
      <c r="S50" s="5">
        <v>0</v>
      </c>
      <c r="T50" s="5">
        <v>0</v>
      </c>
      <c r="U50" s="5">
        <v>0</v>
      </c>
      <c r="V50" s="5">
        <v>0</v>
      </c>
      <c r="W50" s="5">
        <v>0</v>
      </c>
      <c r="X50" s="5">
        <v>0</v>
      </c>
      <c r="Y50" s="5">
        <v>0</v>
      </c>
      <c r="Z50" s="5">
        <v>0</v>
      </c>
      <c r="AA50" s="5">
        <v>0</v>
      </c>
      <c r="AB50" s="5">
        <v>0</v>
      </c>
      <c r="AC50" s="5">
        <v>0</v>
      </c>
      <c r="AD50" s="5">
        <v>0</v>
      </c>
      <c r="AE50" s="5">
        <v>0</v>
      </c>
      <c r="AF50" s="19">
        <v>8.6618671127481966E-4</v>
      </c>
      <c r="AG50" s="19">
        <v>8.7332065560907562E-4</v>
      </c>
      <c r="AH50" s="19">
        <v>8.8045459994333169E-4</v>
      </c>
      <c r="AI50" s="19">
        <v>8.8758854427758765E-4</v>
      </c>
      <c r="AJ50" s="19">
        <v>8.9472248861184372E-4</v>
      </c>
      <c r="AK50" s="19">
        <v>9.0185643294609969E-4</v>
      </c>
      <c r="AL50" s="19">
        <v>9.0899037728035576E-4</v>
      </c>
      <c r="AM50" s="19">
        <v>9.1612432161461172E-4</v>
      </c>
      <c r="AN50" s="19">
        <v>9.2325826594886768E-4</v>
      </c>
      <c r="AO50" s="19">
        <v>9.3039221028312375E-4</v>
      </c>
      <c r="AP50" s="19">
        <v>9.3752615461737982E-4</v>
      </c>
      <c r="AQ50" s="19">
        <v>9.4466009895163578E-4</v>
      </c>
      <c r="AR50" s="19">
        <v>9.5179404328589175E-4</v>
      </c>
      <c r="AS50" s="19">
        <v>9.5892798762014782E-4</v>
      </c>
      <c r="AT50" s="19">
        <v>9.6606193195440389E-4</v>
      </c>
      <c r="AU50" s="19">
        <v>9.7319587628865985E-4</v>
      </c>
      <c r="AV50" s="19">
        <v>9.9072164948453621E-4</v>
      </c>
      <c r="AW50" s="19">
        <v>1.0082474226804125E-3</v>
      </c>
      <c r="AX50" s="19">
        <v>1.0257731958762887E-3</v>
      </c>
      <c r="AY50" s="19">
        <v>1.043298969072165E-3</v>
      </c>
      <c r="AZ50" s="19">
        <v>1.0608247422680412E-3</v>
      </c>
      <c r="BA50" s="19">
        <v>1.0783505154639175E-3</v>
      </c>
      <c r="BB50" s="19">
        <v>1.095876288659794E-3</v>
      </c>
      <c r="BC50" s="19">
        <v>1.1134020618556702E-3</v>
      </c>
      <c r="BD50" s="19">
        <v>1.1309278350515465E-3</v>
      </c>
      <c r="BE50" s="19">
        <v>1.1484536082474227E-3</v>
      </c>
      <c r="BF50" s="19">
        <v>1.165979381443299E-3</v>
      </c>
      <c r="BG50" s="19">
        <v>1.1835051546391752E-3</v>
      </c>
      <c r="BH50" s="19">
        <v>1.2010309278350515E-3</v>
      </c>
      <c r="BI50" s="19">
        <v>1.2185567010309277E-3</v>
      </c>
      <c r="BJ50" s="19">
        <v>1.236082474226804E-3</v>
      </c>
      <c r="BK50" s="19">
        <v>1.2536082474226805E-3</v>
      </c>
      <c r="BL50" s="19">
        <v>1.2711340206185567E-3</v>
      </c>
      <c r="BM50" s="19">
        <v>1.288659793814433E-3</v>
      </c>
      <c r="BN50" s="19">
        <v>1.3061855670103092E-3</v>
      </c>
      <c r="BO50" s="19">
        <v>1.3237113402061855E-3</v>
      </c>
      <c r="BP50" s="19">
        <v>1.3412371134020619E-3</v>
      </c>
      <c r="BQ50" s="19">
        <v>1.3587628865979382E-3</v>
      </c>
      <c r="BR50" s="19">
        <v>1.3762886597938145E-3</v>
      </c>
      <c r="BS50" s="19">
        <v>1.3938144329896907E-3</v>
      </c>
      <c r="BT50" s="19">
        <v>1.411340206185567E-3</v>
      </c>
      <c r="BU50" s="19">
        <v>1.4288659793814432E-3</v>
      </c>
      <c r="BV50" s="19">
        <v>1.4463917525773195E-3</v>
      </c>
      <c r="BW50" s="19">
        <v>1.4639175257731957E-3</v>
      </c>
      <c r="BX50" s="19">
        <v>1.481443298969072E-3</v>
      </c>
      <c r="BY50" s="19">
        <v>1.4989690721649482E-3</v>
      </c>
      <c r="BZ50" s="19">
        <v>1.5164948453608247E-3</v>
      </c>
      <c r="CA50" s="19">
        <v>1.534020618556701E-3</v>
      </c>
      <c r="CB50" s="19">
        <v>1.5515463917525772E-3</v>
      </c>
      <c r="CC50" s="19">
        <v>1.5690721649484537E-3</v>
      </c>
      <c r="CD50" s="19">
        <v>1.5865979381443299E-3</v>
      </c>
      <c r="CE50" s="19">
        <v>1.6041237113402062E-3</v>
      </c>
      <c r="CF50" s="19">
        <v>1.6216494845360824E-3</v>
      </c>
      <c r="CG50" s="19">
        <v>1.6391752577319587E-3</v>
      </c>
      <c r="CH50" s="19">
        <v>1.656701030927835E-3</v>
      </c>
      <c r="CI50" s="19">
        <v>1.6742268041237112E-3</v>
      </c>
      <c r="CJ50" s="19">
        <v>1.6917525773195875E-3</v>
      </c>
      <c r="CK50" s="19">
        <v>1.7092783505154637E-3</v>
      </c>
      <c r="CL50" s="19">
        <v>1.72680412371134E-3</v>
      </c>
      <c r="CM50" s="19">
        <v>1.7443298969072164E-3</v>
      </c>
    </row>
    <row r="52" spans="1:91" x14ac:dyDescent="0.25">
      <c r="A52" s="25" t="s">
        <v>33</v>
      </c>
      <c r="B52" s="5">
        <f>'WAO Scenario Ag'!B23</f>
        <v>0</v>
      </c>
      <c r="C52" s="5">
        <f>'WAO Scenario Ag'!C23</f>
        <v>0</v>
      </c>
      <c r="D52" s="5">
        <f>'WAO Scenario Ag'!D23</f>
        <v>0</v>
      </c>
      <c r="E52" s="5">
        <f>'WAO Scenario Ag'!E23</f>
        <v>0</v>
      </c>
      <c r="F52" s="5">
        <f>'WAO Scenario Ag'!F23</f>
        <v>0</v>
      </c>
      <c r="G52" s="5">
        <f>'WAO Scenario Ag'!G23</f>
        <v>0</v>
      </c>
      <c r="H52" s="5">
        <f>'WAO Scenario Ag'!H23</f>
        <v>0</v>
      </c>
      <c r="I52" s="5">
        <f>'WAO Scenario Ag'!I23</f>
        <v>0</v>
      </c>
      <c r="J52" s="5">
        <f>'WAO Scenario Ag'!J23</f>
        <v>0</v>
      </c>
      <c r="K52" s="5">
        <f>'WAO Scenario Ag'!K23</f>
        <v>0</v>
      </c>
      <c r="L52" s="5">
        <f>'WAO Scenario Ag'!L23</f>
        <v>0</v>
      </c>
      <c r="M52" s="5">
        <f>'WAO Scenario Ag'!M23</f>
        <v>0</v>
      </c>
      <c r="N52" s="5">
        <f>'WAO Scenario Ag'!N23</f>
        <v>0</v>
      </c>
      <c r="O52" s="5">
        <f>'WAO Scenario Ag'!O23</f>
        <v>0</v>
      </c>
      <c r="P52" s="5">
        <f>'WAO Scenario Ag'!P23</f>
        <v>0</v>
      </c>
      <c r="Q52" s="5">
        <f>'WAO Scenario Ag'!Q23</f>
        <v>0</v>
      </c>
      <c r="R52" s="5">
        <f>'WAO Scenario Ag'!R23</f>
        <v>0</v>
      </c>
      <c r="S52" s="5">
        <f>'WAO Scenario Ag'!S23</f>
        <v>0</v>
      </c>
      <c r="T52" s="5">
        <f>'WAO Scenario Ag'!T23</f>
        <v>0</v>
      </c>
      <c r="U52" s="5">
        <f>'WAO Scenario Ag'!U23</f>
        <v>0</v>
      </c>
      <c r="V52" s="5">
        <f>'WAO Scenario Ag'!V23</f>
        <v>0</v>
      </c>
      <c r="W52" s="5">
        <f>'WAO Scenario Ag'!W23</f>
        <v>0</v>
      </c>
      <c r="X52" s="5">
        <f>'WAO Scenario Ag'!X23</f>
        <v>0</v>
      </c>
      <c r="Y52" s="5">
        <f>'WAO Scenario Ag'!Y23</f>
        <v>0</v>
      </c>
      <c r="Z52" s="5">
        <f>'WAO Scenario Ag'!Z23</f>
        <v>0</v>
      </c>
      <c r="AA52" s="5">
        <f>'WAO Scenario Ag'!AA23</f>
        <v>0</v>
      </c>
      <c r="AB52" s="5">
        <f>'WAO Scenario Ag'!AB23</f>
        <v>0</v>
      </c>
      <c r="AC52" s="5">
        <f>'WAO Scenario Ag'!AC23</f>
        <v>0</v>
      </c>
      <c r="AD52" s="5">
        <f>'WAO Scenario Ag'!AD23</f>
        <v>0</v>
      </c>
      <c r="AE52" s="5">
        <f>'WAO Scenario Ag'!AE23</f>
        <v>0</v>
      </c>
      <c r="AF52" s="52">
        <f>'WAO Scenario Ag'!AF23</f>
        <v>264298.13384870189</v>
      </c>
      <c r="AG52" s="52">
        <f>'WAO Scenario Ag'!AG23</f>
        <v>520633.93324715138</v>
      </c>
      <c r="AH52" s="52">
        <f>'WAO Scenario Ag'!AH23</f>
        <v>769361.87263473251</v>
      </c>
      <c r="AI52" s="52">
        <f>'WAO Scenario Ag'!AI23</f>
        <v>1010815.693040224</v>
      </c>
      <c r="AJ52" s="52">
        <f>'WAO Scenario Ag'!AJ23</f>
        <v>1245309.8961211501</v>
      </c>
      <c r="AK52" s="52">
        <f>'WAO Scenario Ag'!AK23</f>
        <v>1473141.1108468894</v>
      </c>
      <c r="AL52" s="52">
        <f>'WAO Scenario Ag'!AL23</f>
        <v>1694589.3453137057</v>
      </c>
      <c r="AM52" s="52">
        <f>'WAO Scenario Ag'!AM23</f>
        <v>1909919.13479971</v>
      </c>
      <c r="AN52" s="52">
        <f>'WAO Scenario Ag'!AN23</f>
        <v>2119380.5959568662</v>
      </c>
      <c r="AO52" s="52">
        <f>'WAO Scenario Ag'!AO23</f>
        <v>2323210.3959727613</v>
      </c>
      <c r="AP52" s="52">
        <f>'WAO Scenario Ag'!AP23</f>
        <v>2528030.7295535938</v>
      </c>
      <c r="AQ52" s="52">
        <f>'WAO Scenario Ag'!AQ23</f>
        <v>3025243.1509060082</v>
      </c>
      <c r="AR52" s="52">
        <f>'WAO Scenario Ag'!AR23</f>
        <v>3914439.356290834</v>
      </c>
      <c r="AS52" s="52">
        <f>'WAO Scenario Ag'!AS23</f>
        <v>4710896.3697284199</v>
      </c>
      <c r="AT52" s="52">
        <f>'WAO Scenario Ag'!AT23</f>
        <v>5525197.0183615312</v>
      </c>
      <c r="AU52" s="52">
        <f>'WAO Scenario Ag'!AU23</f>
        <v>7231647.8086248199</v>
      </c>
      <c r="AV52" s="52">
        <f>'WAO Scenario Ag'!AV23</f>
        <v>10062408.411293173</v>
      </c>
      <c r="AW52" s="52">
        <f>'WAO Scenario Ag'!AW23</f>
        <v>13916648.357646741</v>
      </c>
      <c r="AX52" s="52">
        <f>'WAO Scenario Ag'!AX23</f>
        <v>14989749.552085569</v>
      </c>
      <c r="AY52" s="52">
        <f>'WAO Scenario Ag'!AY23</f>
        <v>16052595.374386443</v>
      </c>
      <c r="AZ52" s="52">
        <f>'WAO Scenario Ag'!AZ23</f>
        <v>17105346.28058739</v>
      </c>
      <c r="BA52" s="52">
        <f>'WAO Scenario Ag'!BA23</f>
        <v>18148158.904882386</v>
      </c>
      <c r="BB52" s="52">
        <f>'WAO Scenario Ag'!BB23</f>
        <v>19181186.192052074</v>
      </c>
      <c r="BC52" s="52">
        <f>'WAO Scenario Ag'!BC23</f>
        <v>20204577.523639631</v>
      </c>
      <c r="BD52" s="52">
        <f>'WAO Scenario Ag'!BD23</f>
        <v>21218478.838245515</v>
      </c>
      <c r="BE52" s="52">
        <f>'WAO Scenario Ag'!BE23</f>
        <v>22223032.746287949</v>
      </c>
      <c r="BF52" s="52">
        <f>'WAO Scenario Ag'!BF23</f>
        <v>23218378.639551979</v>
      </c>
      <c r="BG52" s="52">
        <f>'WAO Scenario Ag'!BG23</f>
        <v>24204652.795827199</v>
      </c>
      <c r="BH52" s="52">
        <f>'WAO Scenario Ag'!BH23</f>
        <v>25181987.072291125</v>
      </c>
      <c r="BI52" s="52">
        <f>'WAO Scenario Ag'!BI23</f>
        <v>25064612.762262426</v>
      </c>
      <c r="BJ52" s="52">
        <f>'WAO Scenario Ag'!BJ23</f>
        <v>24948435.012843952</v>
      </c>
      <c r="BK52" s="52">
        <f>'WAO Scenario Ag'!BK23</f>
        <v>24833433.107161608</v>
      </c>
      <c r="BL52" s="52">
        <f>'WAO Scenario Ag'!BL23</f>
        <v>24719586.874522451</v>
      </c>
      <c r="BM52" s="52">
        <f>'WAO Scenario Ag'!BM23</f>
        <v>24606876.670366194</v>
      </c>
      <c r="BN52" s="52">
        <f>'WAO Scenario Ag'!BN23</f>
        <v>24495283.357162248</v>
      </c>
      <c r="BO52" s="52">
        <f>'WAO Scenario Ag'!BO23</f>
        <v>24384788.286198508</v>
      </c>
      <c r="BP52" s="52">
        <f>'WAO Scenario Ag'!BP23</f>
        <v>24275373.280211478</v>
      </c>
      <c r="BQ52" s="52">
        <f>'WAO Scenario Ag'!BQ23</f>
        <v>24167020.616810769</v>
      </c>
      <c r="BR52" s="52">
        <f>'WAO Scenario Ag'!BR23</f>
        <v>24059713.012653835</v>
      </c>
      <c r="BS52" s="52">
        <f>'WAO Scenario Ag'!BS23</f>
        <v>23953433.608330019</v>
      </c>
      <c r="BT52" s="52">
        <f>'WAO Scenario Ag'!BT23</f>
        <v>23848165.953915156</v>
      </c>
      <c r="BU52" s="52">
        <f>'WAO Scenario Ag'!BU23</f>
        <v>23743893.99516074</v>
      </c>
      <c r="BV52" s="52">
        <f>'WAO Scenario Ag'!BV23</f>
        <v>23640602.060283817</v>
      </c>
      <c r="BW52" s="52">
        <f>'WAO Scenario Ag'!BW23</f>
        <v>23538274.847325832</v>
      </c>
      <c r="BX52" s="52">
        <f>'WAO Scenario Ag'!BX23</f>
        <v>23436897.412050642</v>
      </c>
      <c r="BY52" s="52">
        <f>'WAO Scenario Ag'!BY23</f>
        <v>23336455.156353746</v>
      </c>
      <c r="BZ52" s="52">
        <f>'WAO Scenario Ag'!BZ23</f>
        <v>23236933.81715643</v>
      </c>
      <c r="CA52" s="52">
        <f>'WAO Scenario Ag'!CA23</f>
        <v>23138319.455760162</v>
      </c>
      <c r="CB52" s="52">
        <f>'WAO Scenario Ag'!CB23</f>
        <v>23040598.447637934</v>
      </c>
      <c r="CC52" s="52">
        <f>'WAO Scenario Ag'!CC23</f>
        <v>22943757.472640749</v>
      </c>
      <c r="CD52" s="52">
        <f>'WAO Scenario Ag'!CD23</f>
        <v>22847783.505598642</v>
      </c>
      <c r="CE52" s="52">
        <f>'WAO Scenario Ag'!CE23</f>
        <v>22752663.807296842</v>
      </c>
      <c r="CF52" s="52">
        <f>'WAO Scenario Ag'!CF23</f>
        <v>22658385.915808756</v>
      </c>
      <c r="CG52" s="52">
        <f>'WAO Scenario Ag'!CG23</f>
        <v>22564937.638168637</v>
      </c>
      <c r="CH52" s="52">
        <f>'WAO Scenario Ag'!CH23</f>
        <v>22472307.042367555</v>
      </c>
      <c r="CI52" s="52">
        <f>'WAO Scenario Ag'!CI23</f>
        <v>22380482.449657399</v>
      </c>
      <c r="CJ52" s="52">
        <f>'WAO Scenario Ag'!CJ23</f>
        <v>22289452.427148387</v>
      </c>
      <c r="CK52" s="52">
        <f>'WAO Scenario Ag'!CK23</f>
        <v>22199205.780686386</v>
      </c>
      <c r="CL52" s="52">
        <f>'WAO Scenario Ag'!CL23</f>
        <v>22109731.547997098</v>
      </c>
      <c r="CM52" s="52">
        <f>'WAO Scenario Ag'!CM23</f>
        <v>22021018.992084838</v>
      </c>
    </row>
    <row r="53" spans="1:91" s="41" customFormat="1" x14ac:dyDescent="0.2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row>
    <row r="54" spans="1:91" x14ac:dyDescent="0.25">
      <c r="A54" s="25" t="s">
        <v>22</v>
      </c>
      <c r="B54" s="5">
        <f>'WAO Scenario Ag'!B24</f>
        <v>0</v>
      </c>
      <c r="C54" s="5">
        <f>'WAO Scenario Ag'!C24</f>
        <v>0</v>
      </c>
      <c r="D54" s="5">
        <f>'WAO Scenario Ag'!D24</f>
        <v>0</v>
      </c>
      <c r="E54" s="5">
        <f>'WAO Scenario Ag'!E24</f>
        <v>0</v>
      </c>
      <c r="F54" s="5">
        <f>'WAO Scenario Ag'!F24</f>
        <v>0</v>
      </c>
      <c r="G54" s="5">
        <f>'WAO Scenario Ag'!G24</f>
        <v>0</v>
      </c>
      <c r="H54" s="5">
        <f>'WAO Scenario Ag'!H24</f>
        <v>0</v>
      </c>
      <c r="I54" s="5">
        <f>'WAO Scenario Ag'!I24</f>
        <v>0</v>
      </c>
      <c r="J54" s="5">
        <f>'WAO Scenario Ag'!J24</f>
        <v>0</v>
      </c>
      <c r="K54" s="5">
        <f>'WAO Scenario Ag'!K24</f>
        <v>0</v>
      </c>
      <c r="L54" s="5">
        <f>'WAO Scenario Ag'!L24</f>
        <v>0</v>
      </c>
      <c r="M54" s="5">
        <f>'WAO Scenario Ag'!M24</f>
        <v>0</v>
      </c>
      <c r="N54" s="5">
        <f>'WAO Scenario Ag'!N24</f>
        <v>0</v>
      </c>
      <c r="O54" s="5">
        <f>'WAO Scenario Ag'!O24</f>
        <v>0</v>
      </c>
      <c r="P54" s="5">
        <f>'WAO Scenario Ag'!P24</f>
        <v>0</v>
      </c>
      <c r="Q54" s="5">
        <f>'WAO Scenario Ag'!Q24</f>
        <v>0</v>
      </c>
      <c r="R54" s="5">
        <f>'WAO Scenario Ag'!R24</f>
        <v>0</v>
      </c>
      <c r="S54" s="5">
        <f>'WAO Scenario Ag'!S24</f>
        <v>0</v>
      </c>
      <c r="T54" s="5">
        <f>'WAO Scenario Ag'!T24</f>
        <v>0</v>
      </c>
      <c r="U54" s="5">
        <f>'WAO Scenario Ag'!U24</f>
        <v>0</v>
      </c>
      <c r="V54" s="5">
        <f>'WAO Scenario Ag'!V24</f>
        <v>0</v>
      </c>
      <c r="W54" s="5">
        <f>'WAO Scenario Ag'!W24</f>
        <v>0</v>
      </c>
      <c r="X54" s="5">
        <f>'WAO Scenario Ag'!X24</f>
        <v>0</v>
      </c>
      <c r="Y54" s="5">
        <f>'WAO Scenario Ag'!Y24</f>
        <v>0</v>
      </c>
      <c r="Z54" s="5">
        <f>'WAO Scenario Ag'!Z24</f>
        <v>0</v>
      </c>
      <c r="AA54" s="5">
        <f>'WAO Scenario Ag'!AA24</f>
        <v>0</v>
      </c>
      <c r="AB54" s="5">
        <f>'WAO Scenario Ag'!AB24</f>
        <v>0</v>
      </c>
      <c r="AC54" s="5">
        <f>'WAO Scenario Ag'!AC24</f>
        <v>0</v>
      </c>
      <c r="AD54" s="5">
        <f>'WAO Scenario Ag'!AD24</f>
        <v>0</v>
      </c>
      <c r="AE54" s="5">
        <f>'WAO Scenario Ag'!AE24</f>
        <v>0</v>
      </c>
      <c r="AF54" s="52">
        <f>'WAO Scenario Ag'!AF24</f>
        <v>777759.74624482286</v>
      </c>
      <c r="AG54" s="52">
        <f>'WAO Scenario Ag'!AG24</f>
        <v>1533792.1904538609</v>
      </c>
      <c r="AH54" s="52">
        <f>'WAO Scenario Ag'!AH24</f>
        <v>2269044.276230094</v>
      </c>
      <c r="AI54" s="52">
        <f>'WAO Scenario Ag'!AI24</f>
        <v>2984406.6930602789</v>
      </c>
      <c r="AJ54" s="52">
        <f>'WAO Scenario Ag'!AJ24</f>
        <v>3680718.1010939237</v>
      </c>
      <c r="AK54" s="52">
        <f>'WAO Scenario Ag'!AK24</f>
        <v>4358768.9738319088</v>
      </c>
      <c r="AL54" s="52">
        <f>'WAO Scenario Ag'!AL24</f>
        <v>5019305.098966619</v>
      </c>
      <c r="AM54" s="52">
        <f>'WAO Scenario Ag'!AM24</f>
        <v>5663030.772797944</v>
      </c>
      <c r="AN54" s="52">
        <f>'WAO Scenario Ag'!AN24</f>
        <v>6290611.7194757117</v>
      </c>
      <c r="AO54" s="52">
        <f>'WAO Scenario Ag'!AO24</f>
        <v>6902677.7626944361</v>
      </c>
      <c r="AP54" s="52">
        <f>'WAO Scenario Ag'!AP24</f>
        <v>7508541.5116121201</v>
      </c>
      <c r="AQ54" s="52">
        <f>'WAO Scenario Ag'!AQ24</f>
        <v>8605931.4565988872</v>
      </c>
      <c r="AR54" s="52">
        <f>'WAO Scenario Ag'!AR24</f>
        <v>10082151.800710507</v>
      </c>
      <c r="AS54" s="52">
        <f>'WAO Scenario Ag'!AS24</f>
        <v>10285869.821985975</v>
      </c>
      <c r="AT54" s="52">
        <f>'WAO Scenario Ag'!AT24</f>
        <v>12902610.85683178</v>
      </c>
      <c r="AU54" s="52">
        <f>'WAO Scenario Ag'!AU24</f>
        <v>17390371.995686293</v>
      </c>
      <c r="AV54" s="52">
        <f>'WAO Scenario Ag'!AV24</f>
        <v>22066463.194527514</v>
      </c>
      <c r="AW54" s="52">
        <f>'WAO Scenario Ag'!AW24</f>
        <v>30990901.786748089</v>
      </c>
      <c r="AX54" s="52">
        <f>'WAO Scenario Ag'!AX24</f>
        <v>35552080.06755881</v>
      </c>
      <c r="AY54" s="52">
        <f>'WAO Scenario Ag'!AY24</f>
        <v>40030396.551835775</v>
      </c>
      <c r="AZ54" s="52">
        <f>'WAO Scenario Ag'!AZ24</f>
        <v>44428125.276055232</v>
      </c>
      <c r="BA54" s="52">
        <f>'WAO Scenario Ag'!BA24</f>
        <v>48747456.841562301</v>
      </c>
      <c r="BB54" s="52">
        <f>'WAO Scenario Ag'!BB24</f>
        <v>52990502.245586351</v>
      </c>
      <c r="BC54" s="52">
        <f>'WAO Scenario Ag'!BC24</f>
        <v>57159296.501211599</v>
      </c>
      <c r="BD54" s="52">
        <f>'WAO Scenario Ag'!BD24</f>
        <v>61255802.059848338</v>
      </c>
      <c r="BE54" s="52">
        <f>'WAO Scenario Ag'!BE24</f>
        <v>65281912.04875882</v>
      </c>
      <c r="BF54" s="52">
        <f>'WAO Scenario Ag'!BF24</f>
        <v>69239453.335282221</v>
      </c>
      <c r="BG54" s="52">
        <f>'WAO Scenario Ag'!BG24</f>
        <v>73130189.428567305</v>
      </c>
      <c r="BH54" s="52">
        <f>'WAO Scenario Ag'!BH24</f>
        <v>76955814.75744161</v>
      </c>
      <c r="BI54" s="52">
        <f>'WAO Scenario Ag'!BI24</f>
        <v>76318164.428839087</v>
      </c>
      <c r="BJ54" s="52">
        <f>'WAO Scenario Ag'!BJ24</f>
        <v>75691155.723274812</v>
      </c>
      <c r="BK54" s="52">
        <f>'WAO Scenario Ag'!BK24</f>
        <v>75074521.600511879</v>
      </c>
      <c r="BL54" s="52">
        <f>'WAO Scenario Ag'!BL24</f>
        <v>74468003.965958089</v>
      </c>
      <c r="BM54" s="52">
        <f>'WAO Scenario Ag'!BM24</f>
        <v>73871353.296032876</v>
      </c>
      <c r="BN54" s="52">
        <f>'WAO Scenario Ag'!BN24</f>
        <v>73284328.282345057</v>
      </c>
      <c r="BO54" s="52">
        <f>'WAO Scenario Ag'!BO24</f>
        <v>72706695.493581548</v>
      </c>
      <c r="BP54" s="52">
        <f>'WAO Scenario Ag'!BP24</f>
        <v>72138229.054080173</v>
      </c>
      <c r="BQ54" s="52">
        <f>'WAO Scenario Ag'!BQ24</f>
        <v>71578710.338127732</v>
      </c>
      <c r="BR54" s="52">
        <f>'WAO Scenario Ag'!BR24</f>
        <v>71027927.679087177</v>
      </c>
      <c r="BS54" s="52">
        <f>'WAO Scenario Ag'!BS24</f>
        <v>70485676.092516273</v>
      </c>
      <c r="BT54" s="52">
        <f>'WAO Scenario Ag'!BT24</f>
        <v>69951757.012493655</v>
      </c>
      <c r="BU54" s="52">
        <f>'WAO Scenario Ag'!BU24</f>
        <v>69425978.04041858</v>
      </c>
      <c r="BV54" s="52">
        <f>'WAO Scenario Ag'!BV24</f>
        <v>68908152.705597222</v>
      </c>
      <c r="BW54" s="52">
        <f>'WAO Scenario Ag'!BW24</f>
        <v>68398100.236971125</v>
      </c>
      <c r="BX54" s="52">
        <f>'WAO Scenario Ag'!BX24</f>
        <v>67895645.345384061</v>
      </c>
      <c r="BY54" s="52">
        <f>'WAO Scenario Ag'!BY24</f>
        <v>67400618.015820414</v>
      </c>
      <c r="BZ54" s="52">
        <f>'WAO Scenario Ag'!BZ24</f>
        <v>66912853.309083536</v>
      </c>
      <c r="CA54" s="52">
        <f>'WAO Scenario Ag'!CA24</f>
        <v>66432191.172413953</v>
      </c>
      <c r="CB54" s="52">
        <f>'WAO Scenario Ag'!CB24</f>
        <v>65958476.258578815</v>
      </c>
      <c r="CC54" s="52">
        <f>'WAO Scenario Ag'!CC24</f>
        <v>65491557.75299038</v>
      </c>
      <c r="CD54" s="52">
        <f>'WAO Scenario Ag'!CD24</f>
        <v>65031289.208439164</v>
      </c>
      <c r="CE54" s="52">
        <f>'WAO Scenario Ag'!CE24</f>
        <v>64577528.387050763</v>
      </c>
      <c r="CF54" s="52">
        <f>'WAO Scenario Ag'!CF24</f>
        <v>64130137.109098673</v>
      </c>
      <c r="CG54" s="52">
        <f>'WAO Scenario Ag'!CG24</f>
        <v>63688981.108326808</v>
      </c>
      <c r="CH54" s="52">
        <f>'WAO Scenario Ag'!CH24</f>
        <v>63253929.893454954</v>
      </c>
      <c r="CI54" s="52">
        <f>'WAO Scenario Ag'!CI24</f>
        <v>62824856.615559742</v>
      </c>
      <c r="CJ54" s="52">
        <f>'WAO Scenario Ag'!CJ24</f>
        <v>62401637.941040576</v>
      </c>
      <c r="CK54" s="52">
        <f>'WAO Scenario Ag'!CK24</f>
        <v>61984153.929896623</v>
      </c>
      <c r="CL54" s="52">
        <f>'WAO Scenario Ag'!CL24</f>
        <v>61572287.919056296</v>
      </c>
      <c r="CM54" s="52">
        <f>'WAO Scenario Ag'!CM24</f>
        <v>61165926.410514846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4"/>
  <sheetViews>
    <sheetView topLeftCell="AB10" workbookViewId="0">
      <selection activeCell="CM54" sqref="AF52:CM54"/>
    </sheetView>
  </sheetViews>
  <sheetFormatPr defaultRowHeight="15" x14ac:dyDescent="0.25"/>
  <cols>
    <col min="1" max="1" width="47.5703125" style="25" customWidth="1"/>
    <col min="2" max="31" width="9.140625" style="5"/>
    <col min="32" max="16384" width="9.140625" style="25"/>
  </cols>
  <sheetData>
    <row r="1" spans="1:91" x14ac:dyDescent="0.25">
      <c r="B1" s="5">
        <v>1961</v>
      </c>
      <c r="C1" s="5">
        <v>1962</v>
      </c>
      <c r="D1" s="5">
        <v>1963</v>
      </c>
      <c r="E1" s="5">
        <v>1964</v>
      </c>
      <c r="F1" s="5">
        <v>1965</v>
      </c>
      <c r="G1" s="5">
        <v>1966</v>
      </c>
      <c r="H1" s="5">
        <v>1967</v>
      </c>
      <c r="I1" s="5">
        <v>1968</v>
      </c>
      <c r="J1" s="5">
        <v>1969</v>
      </c>
      <c r="K1" s="5">
        <v>1970</v>
      </c>
      <c r="L1" s="5">
        <v>1971</v>
      </c>
      <c r="M1" s="5">
        <v>1972</v>
      </c>
      <c r="N1" s="5">
        <v>1973</v>
      </c>
      <c r="O1" s="5">
        <v>1974</v>
      </c>
      <c r="P1" s="5">
        <v>1975</v>
      </c>
      <c r="Q1" s="5">
        <v>1976</v>
      </c>
      <c r="R1" s="5">
        <v>1977</v>
      </c>
      <c r="S1" s="5">
        <v>1978</v>
      </c>
      <c r="T1" s="5">
        <v>1979</v>
      </c>
      <c r="U1" s="5">
        <v>1980</v>
      </c>
      <c r="V1" s="5">
        <v>1981</v>
      </c>
      <c r="W1" s="5">
        <v>1982</v>
      </c>
      <c r="X1" s="5">
        <v>1983</v>
      </c>
      <c r="Y1" s="5">
        <v>1984</v>
      </c>
      <c r="Z1" s="5">
        <v>1985</v>
      </c>
      <c r="AA1" s="5">
        <v>1986</v>
      </c>
      <c r="AB1" s="5">
        <v>1987</v>
      </c>
      <c r="AC1" s="5">
        <v>1988</v>
      </c>
      <c r="AD1" s="5">
        <v>1989</v>
      </c>
      <c r="AE1" s="5">
        <v>1990</v>
      </c>
      <c r="AF1" s="25">
        <v>1991</v>
      </c>
      <c r="AG1" s="25">
        <v>1992</v>
      </c>
      <c r="AH1" s="25">
        <v>1993</v>
      </c>
      <c r="AI1" s="25">
        <v>1994</v>
      </c>
      <c r="AJ1" s="25">
        <v>1995</v>
      </c>
      <c r="AK1" s="25">
        <v>1996</v>
      </c>
      <c r="AL1" s="25">
        <v>1997</v>
      </c>
      <c r="AM1" s="25">
        <v>1998</v>
      </c>
      <c r="AN1" s="25">
        <v>1999</v>
      </c>
      <c r="AO1" s="25">
        <v>2000</v>
      </c>
      <c r="AP1" s="25">
        <v>2001</v>
      </c>
      <c r="AQ1" s="25">
        <v>2002</v>
      </c>
      <c r="AR1" s="25">
        <v>2003</v>
      </c>
      <c r="AS1" s="25">
        <v>2004</v>
      </c>
      <c r="AT1" s="25">
        <v>2005</v>
      </c>
      <c r="AU1" s="25">
        <v>2006</v>
      </c>
      <c r="AV1" s="25">
        <v>2007</v>
      </c>
      <c r="AW1" s="25">
        <v>2008</v>
      </c>
      <c r="AX1" s="25">
        <v>2009</v>
      </c>
      <c r="AY1" s="25">
        <v>2010</v>
      </c>
      <c r="AZ1" s="25">
        <v>2011</v>
      </c>
      <c r="BA1" s="25">
        <v>2012</v>
      </c>
      <c r="BB1" s="25">
        <v>2013</v>
      </c>
      <c r="BC1" s="25">
        <v>2014</v>
      </c>
      <c r="BD1" s="25">
        <v>2015</v>
      </c>
      <c r="BE1" s="25">
        <v>2016</v>
      </c>
      <c r="BF1" s="25">
        <v>2017</v>
      </c>
      <c r="BG1" s="25">
        <v>2018</v>
      </c>
      <c r="BH1" s="25">
        <v>2019</v>
      </c>
      <c r="BI1" s="25">
        <v>2020</v>
      </c>
      <c r="BJ1" s="25">
        <v>2021</v>
      </c>
      <c r="BK1" s="25">
        <v>2022</v>
      </c>
      <c r="BL1" s="25">
        <v>2023</v>
      </c>
      <c r="BM1" s="25">
        <v>2024</v>
      </c>
      <c r="BN1" s="25">
        <v>2025</v>
      </c>
      <c r="BO1" s="25">
        <v>2026</v>
      </c>
      <c r="BP1" s="25">
        <v>2027</v>
      </c>
      <c r="BQ1" s="25">
        <v>2028</v>
      </c>
      <c r="BR1" s="25">
        <v>2029</v>
      </c>
      <c r="BS1" s="25">
        <v>2030</v>
      </c>
      <c r="BT1" s="25">
        <v>2031</v>
      </c>
      <c r="BU1" s="25">
        <v>2032</v>
      </c>
      <c r="BV1" s="25">
        <v>2033</v>
      </c>
      <c r="BW1" s="25">
        <v>2034</v>
      </c>
      <c r="BX1" s="25">
        <v>2035</v>
      </c>
      <c r="BY1" s="25">
        <v>2036</v>
      </c>
      <c r="BZ1" s="25">
        <v>2037</v>
      </c>
      <c r="CA1" s="25">
        <v>2038</v>
      </c>
      <c r="CB1" s="25">
        <v>2039</v>
      </c>
      <c r="CC1" s="25">
        <v>2040</v>
      </c>
      <c r="CD1" s="25">
        <v>2041</v>
      </c>
      <c r="CE1" s="25">
        <v>2042</v>
      </c>
      <c r="CF1" s="25">
        <v>2043</v>
      </c>
      <c r="CG1" s="25">
        <v>2044</v>
      </c>
      <c r="CH1" s="25">
        <v>2045</v>
      </c>
      <c r="CI1" s="25">
        <v>2046</v>
      </c>
      <c r="CJ1" s="25">
        <v>2047</v>
      </c>
      <c r="CK1" s="25">
        <v>2048</v>
      </c>
      <c r="CL1" s="25">
        <v>2049</v>
      </c>
      <c r="CM1" s="25">
        <v>2050</v>
      </c>
    </row>
    <row r="2" spans="1:91" x14ac:dyDescent="0.25">
      <c r="A2" s="25" t="s">
        <v>0</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19">
        <v>1.0508415631190336E-5</v>
      </c>
      <c r="AG2" s="19">
        <v>1.0527618537027347E-5</v>
      </c>
      <c r="AH2" s="19">
        <v>1.0524144816427411E-5</v>
      </c>
      <c r="AI2" s="19">
        <v>1.0522462802637258E-5</v>
      </c>
      <c r="AJ2" s="19">
        <v>1.05226809524005E-5</v>
      </c>
      <c r="AK2" s="19">
        <v>1.0524797835739828E-5</v>
      </c>
      <c r="AL2" s="19">
        <v>1.0528848568531622E-5</v>
      </c>
      <c r="AM2" s="19">
        <v>1.0535257891350468E-5</v>
      </c>
      <c r="AN2" s="19">
        <v>1.0544407835154982E-5</v>
      </c>
      <c r="AO2" s="19">
        <v>1.0556611219831291E-5</v>
      </c>
      <c r="AP2" s="19">
        <v>1.0571844928448045E-5</v>
      </c>
      <c r="AQ2" s="19">
        <v>1.0589980349233616E-5</v>
      </c>
      <c r="AR2" s="19">
        <v>1.0610719107102551E-5</v>
      </c>
      <c r="AS2" s="19">
        <v>1.0633798162037924E-5</v>
      </c>
      <c r="AT2" s="19">
        <v>1.0658934712118934E-5</v>
      </c>
      <c r="AU2" s="19">
        <v>1.0686103454816139E-5</v>
      </c>
      <c r="AV2" s="19">
        <v>1.0706788216627059E-5</v>
      </c>
      <c r="AW2" s="19">
        <v>1.0728456082251589E-5</v>
      </c>
      <c r="AX2" s="19">
        <v>1.0751065831749288E-5</v>
      </c>
      <c r="AY2" s="19">
        <v>1.0774563840598372E-5</v>
      </c>
      <c r="AZ2" s="19">
        <v>1.0798960435799681E-5</v>
      </c>
      <c r="BA2" s="19">
        <v>1.0824295861764934E-5</v>
      </c>
      <c r="BB2" s="19">
        <v>1.0850592739258354E-5</v>
      </c>
      <c r="BC2" s="19">
        <v>1.087794097409725E-5</v>
      </c>
      <c r="BD2" s="19">
        <v>1.0906365789103285E-5</v>
      </c>
      <c r="BE2" s="19">
        <v>1.0935892652571851E-5</v>
      </c>
      <c r="BF2" s="19">
        <v>1.0966502632073501E-5</v>
      </c>
      <c r="BG2" s="19">
        <v>1.0998165758669703E-5</v>
      </c>
      <c r="BH2" s="19">
        <v>1.1030890589946637E-5</v>
      </c>
      <c r="BI2" s="19">
        <v>1.1064614208349465E-5</v>
      </c>
      <c r="BJ2" s="19">
        <v>1.1099352516874274E-5</v>
      </c>
      <c r="BK2" s="19">
        <v>1.1135071273339653E-5</v>
      </c>
      <c r="BL2" s="19">
        <v>1.1171768757387381E-5</v>
      </c>
      <c r="BM2" s="19">
        <v>1.1209435882853366E-5</v>
      </c>
      <c r="BN2" s="19">
        <v>1.1248082102841903E-5</v>
      </c>
      <c r="BO2" s="19">
        <v>1.1287650747779458E-5</v>
      </c>
      <c r="BP2" s="19">
        <v>1.1328155361841512E-5</v>
      </c>
      <c r="BQ2" s="19">
        <v>1.1369577202897563E-5</v>
      </c>
      <c r="BR2" s="19">
        <v>1.14119698203685E-5</v>
      </c>
      <c r="BS2" s="19">
        <v>1.1455315468409502E-5</v>
      </c>
      <c r="BT2" s="19">
        <v>1.149961791242872E-5</v>
      </c>
      <c r="BU2" s="19">
        <v>1.1544883091286491E-5</v>
      </c>
      <c r="BV2" s="19">
        <v>1.1591014547387159E-5</v>
      </c>
      <c r="BW2" s="19">
        <v>1.1637937189213889E-5</v>
      </c>
      <c r="BX2" s="19">
        <v>1.1685595032168294E-5</v>
      </c>
      <c r="BY2" s="19">
        <v>1.1733977016655489E-5</v>
      </c>
      <c r="BZ2" s="19">
        <v>1.1783073058060966E-5</v>
      </c>
      <c r="CA2" s="19">
        <v>1.1832927264751691E-5</v>
      </c>
      <c r="CB2" s="19">
        <v>1.1883595175689448E-5</v>
      </c>
      <c r="CC2" s="19">
        <v>1.1935118009080345E-5</v>
      </c>
      <c r="CD2" s="19">
        <v>1.1987488987436226E-5</v>
      </c>
      <c r="CE2" s="19">
        <v>1.204072754074284E-5</v>
      </c>
      <c r="CF2" s="19">
        <v>1.2094807145257598E-5</v>
      </c>
      <c r="CG2" s="19">
        <v>1.2149716763064159E-5</v>
      </c>
      <c r="CH2" s="19">
        <v>1.2205477055080803E-5</v>
      </c>
      <c r="CI2" s="19">
        <v>1.2262068474249293E-5</v>
      </c>
      <c r="CJ2" s="19">
        <v>1.2319520822137554E-5</v>
      </c>
      <c r="CK2" s="19">
        <v>1.237786806722634E-5</v>
      </c>
      <c r="CL2" s="19">
        <v>1.2437151013296541E-5</v>
      </c>
      <c r="CM2" s="19">
        <v>1.2497422526767769E-5</v>
      </c>
    </row>
    <row r="3" spans="1:91" x14ac:dyDescent="0.25">
      <c r="A3" s="25" t="s">
        <v>1</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19">
        <v>7.0000430409191978E-5</v>
      </c>
      <c r="AG3" s="19">
        <v>7.0630961246729871E-5</v>
      </c>
      <c r="AH3" s="19">
        <v>7.1066274150239037E-5</v>
      </c>
      <c r="AI3" s="19">
        <v>7.150778011594632E-5</v>
      </c>
      <c r="AJ3" s="19">
        <v>7.1952944698856812E-5</v>
      </c>
      <c r="AK3" s="19">
        <v>7.2400861735737981E-5</v>
      </c>
      <c r="AL3" s="19">
        <v>7.285284622485931E-5</v>
      </c>
      <c r="AM3" s="19">
        <v>7.3313273932656012E-5</v>
      </c>
      <c r="AN3" s="19">
        <v>7.3787111123243884E-5</v>
      </c>
      <c r="AO3" s="19">
        <v>7.4277957562576602E-5</v>
      </c>
      <c r="AP3" s="19">
        <v>7.478586235260993E-5</v>
      </c>
      <c r="AQ3" s="19">
        <v>7.5308758342790844E-5</v>
      </c>
      <c r="AR3" s="19">
        <v>7.5842609785929511E-5</v>
      </c>
      <c r="AS3" s="19">
        <v>7.6383079700261544E-5</v>
      </c>
      <c r="AT3" s="19">
        <v>7.6926134271035562E-5</v>
      </c>
      <c r="AU3" s="19">
        <v>7.74708096795645E-5</v>
      </c>
      <c r="AV3" s="19">
        <v>7.7835708482740454E-5</v>
      </c>
      <c r="AW3" s="19">
        <v>7.8201471463656532E-5</v>
      </c>
      <c r="AX3" s="19">
        <v>7.8567368679820893E-5</v>
      </c>
      <c r="AY3" s="19">
        <v>7.8932911450597094E-5</v>
      </c>
      <c r="AZ3" s="19">
        <v>7.9297852098800776E-5</v>
      </c>
      <c r="BA3" s="19">
        <v>7.9662257933066125E-5</v>
      </c>
      <c r="BB3" s="19">
        <v>8.0026718781396811E-5</v>
      </c>
      <c r="BC3" s="19">
        <v>8.0392479033655488E-5</v>
      </c>
      <c r="BD3" s="19">
        <v>8.0760241330582992E-5</v>
      </c>
      <c r="BE3" s="19">
        <v>8.1130206649503354E-5</v>
      </c>
      <c r="BF3" s="19">
        <v>8.1502220208843951E-5</v>
      </c>
      <c r="BG3" s="19">
        <v>8.1876586623157236E-5</v>
      </c>
      <c r="BH3" s="19">
        <v>8.2253773652320511E-5</v>
      </c>
      <c r="BI3" s="19">
        <v>8.2633805686775901E-5</v>
      </c>
      <c r="BJ3" s="19">
        <v>8.3016912391095407E-5</v>
      </c>
      <c r="BK3" s="19">
        <v>8.3402934492782065E-5</v>
      </c>
      <c r="BL3" s="19">
        <v>8.379154793872499E-5</v>
      </c>
      <c r="BM3" s="19">
        <v>8.4182322844702172E-5</v>
      </c>
      <c r="BN3" s="19">
        <v>8.4575119602724896E-5</v>
      </c>
      <c r="BO3" s="19">
        <v>8.4969477988109616E-5</v>
      </c>
      <c r="BP3" s="19">
        <v>8.5365604263626746E-5</v>
      </c>
      <c r="BQ3" s="19">
        <v>8.5763088438758648E-5</v>
      </c>
      <c r="BR3" s="19">
        <v>8.6162014741530959E-5</v>
      </c>
      <c r="BS3" s="19">
        <v>8.6562046837841089E-5</v>
      </c>
      <c r="BT3" s="19">
        <v>8.6909831975358727E-5</v>
      </c>
      <c r="BU3" s="19">
        <v>8.7260257869877498E-5</v>
      </c>
      <c r="BV3" s="19">
        <v>8.7612980013969039E-5</v>
      </c>
      <c r="BW3" s="19">
        <v>8.7968210364206207E-5</v>
      </c>
      <c r="BX3" s="19">
        <v>8.8325924179781699E-5</v>
      </c>
      <c r="BY3" s="19">
        <v>8.8686259003845197E-5</v>
      </c>
      <c r="BZ3" s="19">
        <v>8.9048882229405665E-5</v>
      </c>
      <c r="CA3" s="19">
        <v>8.9414053805702252E-5</v>
      </c>
      <c r="CB3" s="19">
        <v>8.9781752363607951E-5</v>
      </c>
      <c r="CC3" s="19">
        <v>9.0152000277690048E-5</v>
      </c>
      <c r="CD3" s="19">
        <v>9.0524660714826535E-5</v>
      </c>
      <c r="CE3" s="19">
        <v>9.0899780625042673E-5</v>
      </c>
      <c r="CF3" s="19">
        <v>9.1277330608923702E-5</v>
      </c>
      <c r="CG3" s="19">
        <v>9.1657233421723404E-5</v>
      </c>
      <c r="CH3" s="19">
        <v>9.2039602584603042E-5</v>
      </c>
      <c r="CI3" s="19">
        <v>9.242432100084031E-5</v>
      </c>
      <c r="CJ3" s="19">
        <v>9.2811362732216811E-5</v>
      </c>
      <c r="CK3" s="19">
        <v>9.3200498186654245E-5</v>
      </c>
      <c r="CL3" s="19">
        <v>9.3591909887886761E-5</v>
      </c>
      <c r="CM3" s="19">
        <v>9.3985309441606062E-5</v>
      </c>
    </row>
    <row r="4" spans="1:91" x14ac:dyDescent="0.25">
      <c r="A4" s="25" t="s">
        <v>2</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19">
        <v>1.3228986578653787E-5</v>
      </c>
      <c r="AG4" s="19">
        <v>1.3351004035312167E-5</v>
      </c>
      <c r="AH4" s="19">
        <v>1.3448210690384045E-5</v>
      </c>
      <c r="AI4" s="19">
        <v>1.3548882358160103E-5</v>
      </c>
      <c r="AJ4" s="19">
        <v>1.365327018224468E-5</v>
      </c>
      <c r="AK4" s="19">
        <v>1.3761500883312822E-5</v>
      </c>
      <c r="AL4" s="19">
        <v>1.387370090955609E-5</v>
      </c>
      <c r="AM4" s="19">
        <v>1.3990474699641369E-5</v>
      </c>
      <c r="AN4" s="19">
        <v>1.4112378817260886E-5</v>
      </c>
      <c r="AO4" s="19">
        <v>1.4239928335395459E-5</v>
      </c>
      <c r="AP4" s="19">
        <v>1.4373258842965937E-5</v>
      </c>
      <c r="AQ4" s="19">
        <v>1.4512396972370334E-5</v>
      </c>
      <c r="AR4" s="19">
        <v>1.4657165111117269E-5</v>
      </c>
      <c r="AS4" s="19">
        <v>1.4807426681632889E-5</v>
      </c>
      <c r="AT4" s="19">
        <v>1.4962997035753534E-5</v>
      </c>
      <c r="AU4" s="19">
        <v>1.5124019551113483E-5</v>
      </c>
      <c r="AV4" s="19">
        <v>1.5129679469184749E-5</v>
      </c>
      <c r="AW4" s="19">
        <v>1.5136668183505505E-5</v>
      </c>
      <c r="AX4" s="19">
        <v>1.5144948109290246E-5</v>
      </c>
      <c r="AY4" s="19">
        <v>1.5154462024834499E-5</v>
      </c>
      <c r="AZ4" s="19">
        <v>1.5165243320731007E-5</v>
      </c>
      <c r="BA4" s="19">
        <v>1.5177362977126023E-5</v>
      </c>
      <c r="BB4" s="19">
        <v>1.5190865046527137E-5</v>
      </c>
      <c r="BC4" s="19">
        <v>1.5205885679193845E-5</v>
      </c>
      <c r="BD4" s="19">
        <v>1.5222476092568192E-5</v>
      </c>
      <c r="BE4" s="19">
        <v>1.5240690367872361E-5</v>
      </c>
      <c r="BF4" s="19">
        <v>1.5260525310550297E-5</v>
      </c>
      <c r="BG4" s="19">
        <v>1.5281970137911179E-5</v>
      </c>
      <c r="BH4" s="19">
        <v>1.5305072604409572E-5</v>
      </c>
      <c r="BI4" s="19">
        <v>1.5329779965360515E-5</v>
      </c>
      <c r="BJ4" s="19">
        <v>1.5356153846789519E-5</v>
      </c>
      <c r="BK4" s="19">
        <v>1.5384179273723803E-5</v>
      </c>
      <c r="BL4" s="19">
        <v>1.5413889957734609E-5</v>
      </c>
      <c r="BM4" s="19">
        <v>1.5445306992464522E-5</v>
      </c>
      <c r="BN4" s="19">
        <v>1.5478482896908194E-5</v>
      </c>
      <c r="BO4" s="19">
        <v>1.5513378357914852E-5</v>
      </c>
      <c r="BP4" s="19">
        <v>1.555004767317005E-5</v>
      </c>
      <c r="BQ4" s="19">
        <v>1.5588500151053576E-5</v>
      </c>
      <c r="BR4" s="19">
        <v>1.5628829986834069E-5</v>
      </c>
      <c r="BS4" s="19">
        <v>1.567104412217074E-5</v>
      </c>
      <c r="BT4" s="19">
        <v>1.5715175740897283E-5</v>
      </c>
      <c r="BU4" s="19">
        <v>1.576127411843068E-5</v>
      </c>
      <c r="BV4" s="19">
        <v>1.5809239413469278E-5</v>
      </c>
      <c r="BW4" s="19">
        <v>1.5859003238648446E-5</v>
      </c>
      <c r="BX4" s="19">
        <v>1.5910525374817119E-5</v>
      </c>
      <c r="BY4" s="19">
        <v>1.5963826475578374E-5</v>
      </c>
      <c r="BZ4" s="19">
        <v>1.6018932390953672E-5</v>
      </c>
      <c r="CA4" s="19">
        <v>1.6075946092514357E-5</v>
      </c>
      <c r="CB4" s="19">
        <v>1.6134996204646558E-5</v>
      </c>
      <c r="CC4" s="19">
        <v>1.619617700250283E-5</v>
      </c>
      <c r="CD4" s="19">
        <v>1.6259530794417312E-5</v>
      </c>
      <c r="CE4" s="19">
        <v>1.6325137705062302E-5</v>
      </c>
      <c r="CF4" s="19">
        <v>1.6393003462244631E-5</v>
      </c>
      <c r="CG4" s="19">
        <v>1.646317079761857E-5</v>
      </c>
      <c r="CH4" s="19">
        <v>1.6535713142124513E-5</v>
      </c>
      <c r="CI4" s="19">
        <v>1.6610675973681363E-5</v>
      </c>
      <c r="CJ4" s="19">
        <v>1.6688154385214631E-5</v>
      </c>
      <c r="CK4" s="19">
        <v>1.6768272358873779E-5</v>
      </c>
      <c r="CL4" s="19">
        <v>1.6851146193557374E-5</v>
      </c>
      <c r="CM4" s="19">
        <v>1.6936941244662474E-5</v>
      </c>
    </row>
    <row r="5" spans="1:91" x14ac:dyDescent="0.25">
      <c r="A5" s="25" t="s">
        <v>2</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19">
        <v>7.0121002027183778E-6</v>
      </c>
      <c r="AG5" s="19">
        <v>7.2210894119728063E-6</v>
      </c>
      <c r="AH5" s="19">
        <v>7.4202145751621905E-6</v>
      </c>
      <c r="AI5" s="19">
        <v>7.6288203120131999E-6</v>
      </c>
      <c r="AJ5" s="19">
        <v>7.8474396653895003E-6</v>
      </c>
      <c r="AK5" s="19">
        <v>8.0765895476182639E-6</v>
      </c>
      <c r="AL5" s="19">
        <v>8.3168765465417997E-6</v>
      </c>
      <c r="AM5" s="19">
        <v>8.569263350893212E-6</v>
      </c>
      <c r="AN5" s="19">
        <v>8.8347261253526665E-6</v>
      </c>
      <c r="AO5" s="19">
        <v>9.11421427809247E-6</v>
      </c>
      <c r="AP5" s="19">
        <v>9.4084016592827995E-6</v>
      </c>
      <c r="AQ5" s="19">
        <v>9.7178946223932155E-6</v>
      </c>
      <c r="AR5" s="19">
        <v>1.0043173749519153E-5</v>
      </c>
      <c r="AS5" s="19">
        <v>1.0384788452865011E-5</v>
      </c>
      <c r="AT5" s="19">
        <v>1.0743308883754397E-5</v>
      </c>
      <c r="AU5" s="19">
        <v>1.1119589377810111E-5</v>
      </c>
      <c r="AV5" s="19">
        <v>1.1213796586475904E-5</v>
      </c>
      <c r="AW5" s="19">
        <v>1.1310063229022583E-5</v>
      </c>
      <c r="AX5" s="19">
        <v>1.1408394646721938E-5</v>
      </c>
      <c r="AY5" s="19">
        <v>1.1508780806381498E-5</v>
      </c>
      <c r="AZ5" s="19">
        <v>1.1611279737027922E-5</v>
      </c>
      <c r="BA5" s="19">
        <v>1.1715979237498833E-5</v>
      </c>
      <c r="BB5" s="19">
        <v>1.1822947929307411E-5</v>
      </c>
      <c r="BC5" s="19">
        <v>1.1932326332599029E-5</v>
      </c>
      <c r="BD5" s="19">
        <v>1.2044191881680218E-5</v>
      </c>
      <c r="BE5" s="19">
        <v>1.2158625474257043E-5</v>
      </c>
      <c r="BF5" s="19">
        <v>1.2275663650896177E-5</v>
      </c>
      <c r="BG5" s="19">
        <v>1.2395333374645749E-5</v>
      </c>
      <c r="BH5" s="19">
        <v>1.2517706778337661E-5</v>
      </c>
      <c r="BI5" s="19">
        <v>1.2642778251082926E-5</v>
      </c>
      <c r="BJ5" s="19">
        <v>1.2770631328073203E-5</v>
      </c>
      <c r="BK5" s="19">
        <v>1.2901293894719471E-5</v>
      </c>
      <c r="BL5" s="19">
        <v>1.3034830919942682E-5</v>
      </c>
      <c r="BM5" s="19">
        <v>1.3171300126526274E-5</v>
      </c>
      <c r="BN5" s="19">
        <v>1.3310782826788613E-5</v>
      </c>
      <c r="BO5" s="19">
        <v>1.3453288136796965E-5</v>
      </c>
      <c r="BP5" s="19">
        <v>1.3598902811408791E-5</v>
      </c>
      <c r="BQ5" s="19">
        <v>1.3747680101340874E-5</v>
      </c>
      <c r="BR5" s="19">
        <v>1.3899750761434954E-5</v>
      </c>
      <c r="BS5" s="19">
        <v>1.4055169790404232E-5</v>
      </c>
      <c r="BT5" s="19">
        <v>1.4214018533221651E-5</v>
      </c>
      <c r="BU5" s="19">
        <v>1.4376384341841042E-5</v>
      </c>
      <c r="BV5" s="19">
        <v>1.454223838780701E-5</v>
      </c>
      <c r="BW5" s="19">
        <v>1.4711573778200049E-5</v>
      </c>
      <c r="BX5" s="19">
        <v>1.4884409820544955E-5</v>
      </c>
      <c r="BY5" s="19">
        <v>1.5060817919501827E-5</v>
      </c>
      <c r="BZ5" s="19">
        <v>1.5240874558207107E-5</v>
      </c>
      <c r="CA5" s="19">
        <v>1.5424723193414205E-5</v>
      </c>
      <c r="CB5" s="19">
        <v>1.5612527123797715E-5</v>
      </c>
      <c r="CC5" s="19">
        <v>1.5804430627085273E-5</v>
      </c>
      <c r="CD5" s="19">
        <v>1.6000527546420064E-5</v>
      </c>
      <c r="CE5" s="19">
        <v>1.6200948175775143E-5</v>
      </c>
      <c r="CF5" s="19">
        <v>1.6405763465364506E-5</v>
      </c>
      <c r="CG5" s="19">
        <v>1.6615072156938698E-5</v>
      </c>
      <c r="CH5" s="19">
        <v>1.6829007697501241E-5</v>
      </c>
      <c r="CI5" s="19">
        <v>1.7047670489944911E-5</v>
      </c>
      <c r="CJ5" s="19">
        <v>1.7271213764054107E-5</v>
      </c>
      <c r="CK5" s="19">
        <v>1.7499810138009306E-5</v>
      </c>
      <c r="CL5" s="19">
        <v>1.7733635779794166E-5</v>
      </c>
      <c r="CM5" s="19">
        <v>1.7972898028142205E-5</v>
      </c>
    </row>
    <row r="7" spans="1:91" x14ac:dyDescent="0.25">
      <c r="A7" s="25" t="s">
        <v>3</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19">
        <v>3.6843336955314182E-5</v>
      </c>
      <c r="AG7" s="19">
        <v>3.6790336088918271E-5</v>
      </c>
      <c r="AH7" s="19">
        <v>3.6735360620641035E-5</v>
      </c>
      <c r="AI7" s="19">
        <v>3.667954216924579E-5</v>
      </c>
      <c r="AJ7" s="19">
        <v>3.6623172446285202E-5</v>
      </c>
      <c r="AK7" s="19">
        <v>3.6566333390967918E-5</v>
      </c>
      <c r="AL7" s="19">
        <v>3.6509049093726465E-5</v>
      </c>
      <c r="AM7" s="19">
        <v>3.6451465927738483E-5</v>
      </c>
      <c r="AN7" s="19">
        <v>3.6393772236650164E-5</v>
      </c>
      <c r="AO7" s="19">
        <v>3.6336058437465606E-5</v>
      </c>
      <c r="AP7" s="19">
        <v>3.6278480991528786E-5</v>
      </c>
      <c r="AQ7" s="19">
        <v>3.6221086104825362E-5</v>
      </c>
      <c r="AR7" s="19">
        <v>3.6163908142653389E-5</v>
      </c>
      <c r="AS7" s="19">
        <v>3.6106967137093158E-5</v>
      </c>
      <c r="AT7" s="19">
        <v>3.6050252332744931E-5</v>
      </c>
      <c r="AU7" s="19">
        <v>3.5993815782955002E-5</v>
      </c>
      <c r="AV7" s="19">
        <v>3.6240761422145941E-5</v>
      </c>
      <c r="AW7" s="19">
        <v>3.6488319224976524E-5</v>
      </c>
      <c r="AX7" s="19">
        <v>3.6736401572061515E-5</v>
      </c>
      <c r="AY7" s="19">
        <v>3.6984942058821465E-5</v>
      </c>
      <c r="AZ7" s="19">
        <v>3.7233916194726742E-5</v>
      </c>
      <c r="BA7" s="19">
        <v>3.7483340931640341E-5</v>
      </c>
      <c r="BB7" s="19">
        <v>3.7733264583550239E-5</v>
      </c>
      <c r="BC7" s="19">
        <v>3.7983771721610727E-5</v>
      </c>
      <c r="BD7" s="19">
        <v>3.8234915476011561E-5</v>
      </c>
      <c r="BE7" s="19">
        <v>3.8486709306004642E-5</v>
      </c>
      <c r="BF7" s="19">
        <v>3.8739112982091046E-5</v>
      </c>
      <c r="BG7" s="19">
        <v>3.8992095716647596E-5</v>
      </c>
      <c r="BH7" s="19">
        <v>3.924562373175183E-5</v>
      </c>
      <c r="BI7" s="19">
        <v>3.9499678545098855E-5</v>
      </c>
      <c r="BJ7" s="19">
        <v>3.9754240321908044E-5</v>
      </c>
      <c r="BK7" s="19">
        <v>4.000932417248637E-5</v>
      </c>
      <c r="BL7" s="19">
        <v>4.026490274229546E-5</v>
      </c>
      <c r="BM7" s="19">
        <v>4.0520979757742613E-5</v>
      </c>
      <c r="BN7" s="19">
        <v>4.077753345059938E-5</v>
      </c>
      <c r="BO7" s="19">
        <v>4.103455970645964E-5</v>
      </c>
      <c r="BP7" s="19">
        <v>4.1292070796830004E-5</v>
      </c>
      <c r="BQ7" s="19">
        <v>4.1550084585070373E-5</v>
      </c>
      <c r="BR7" s="19">
        <v>4.1808652143139597E-5</v>
      </c>
      <c r="BS7" s="19">
        <v>4.2067777718082665E-5</v>
      </c>
      <c r="BT7" s="19">
        <v>4.205732655042336E-5</v>
      </c>
      <c r="BU7" s="19">
        <v>4.20475698536695E-5</v>
      </c>
      <c r="BV7" s="19">
        <v>4.2038515839406725E-5</v>
      </c>
      <c r="BW7" s="19">
        <v>4.2030165165065959E-5</v>
      </c>
      <c r="BX7" s="19">
        <v>4.2022517883421977E-5</v>
      </c>
      <c r="BY7" s="19">
        <v>4.2015578646874784E-5</v>
      </c>
      <c r="BZ7" s="19">
        <v>4.2009349904398449E-5</v>
      </c>
      <c r="CA7" s="19">
        <v>4.2003839410619271E-5</v>
      </c>
      <c r="CB7" s="19">
        <v>4.1999035700128213E-5</v>
      </c>
      <c r="CC7" s="19">
        <v>4.1994954482370675E-5</v>
      </c>
      <c r="CD7" s="19">
        <v>4.1991583571040976E-5</v>
      </c>
      <c r="CE7" s="19">
        <v>4.198892315455593E-5</v>
      </c>
      <c r="CF7" s="19">
        <v>4.1986974316149639E-5</v>
      </c>
      <c r="CG7" s="19">
        <v>4.1985724723765034E-5</v>
      </c>
      <c r="CH7" s="19">
        <v>4.1985181176711097E-5</v>
      </c>
      <c r="CI7" s="19">
        <v>4.1985334042555348E-5</v>
      </c>
      <c r="CJ7" s="19">
        <v>4.1986179969974803E-5</v>
      </c>
      <c r="CK7" s="19">
        <v>4.1987715798084247E-5</v>
      </c>
      <c r="CL7" s="19">
        <v>4.1989957362986156E-5</v>
      </c>
      <c r="CM7" s="19">
        <v>4.1992888143846221E-5</v>
      </c>
    </row>
    <row r="8" spans="1:91" x14ac:dyDescent="0.25">
      <c r="A8" s="25" t="s">
        <v>1</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19">
        <v>5.2769166477933858E-5</v>
      </c>
      <c r="AG8" s="19">
        <v>5.2693255559611984E-5</v>
      </c>
      <c r="AH8" s="19">
        <v>5.2614516501821335E-5</v>
      </c>
      <c r="AI8" s="19">
        <v>5.25345700746617E-5</v>
      </c>
      <c r="AJ8" s="19">
        <v>5.2453834084356881E-5</v>
      </c>
      <c r="AK8" s="19">
        <v>5.2372425888999203E-5</v>
      </c>
      <c r="AL8" s="19">
        <v>5.2290379992305006E-5</v>
      </c>
      <c r="AM8" s="19">
        <v>5.2207906038438337E-5</v>
      </c>
      <c r="AN8" s="19">
        <v>5.2125273784105413E-5</v>
      </c>
      <c r="AO8" s="19">
        <v>5.204261272978946E-5</v>
      </c>
      <c r="AP8" s="19">
        <v>5.1960146968512207E-5</v>
      </c>
      <c r="AQ8" s="19">
        <v>5.187794267916924E-5</v>
      </c>
      <c r="AR8" s="19">
        <v>5.1796049081735804E-5</v>
      </c>
      <c r="AS8" s="19">
        <v>5.1714494867320529E-5</v>
      </c>
      <c r="AT8" s="19">
        <v>5.1633264631415317E-5</v>
      </c>
      <c r="AU8" s="19">
        <v>5.1552432927845249E-5</v>
      </c>
      <c r="AV8" s="19">
        <v>5.1426673049312509E-5</v>
      </c>
      <c r="AW8" s="19">
        <v>5.1301940254642099E-5</v>
      </c>
      <c r="AX8" s="19">
        <v>5.1178110902497184E-5</v>
      </c>
      <c r="AY8" s="19">
        <v>5.105509507926116E-5</v>
      </c>
      <c r="AZ8" s="19">
        <v>5.0932863792962064E-5</v>
      </c>
      <c r="BA8" s="19">
        <v>5.0811445390446209E-5</v>
      </c>
      <c r="BB8" s="19">
        <v>5.0690909576079458E-5</v>
      </c>
      <c r="BC8" s="19">
        <v>5.0571372672563091E-5</v>
      </c>
      <c r="BD8" s="19">
        <v>5.0452904928954989E-5</v>
      </c>
      <c r="BE8" s="19">
        <v>5.0335521782884781E-5</v>
      </c>
      <c r="BF8" s="19">
        <v>5.0219168035245482E-5</v>
      </c>
      <c r="BG8" s="19">
        <v>5.0103801412425793E-5</v>
      </c>
      <c r="BH8" s="19">
        <v>4.9989377866887931E-5</v>
      </c>
      <c r="BI8" s="19">
        <v>4.9875873697931907E-5</v>
      </c>
      <c r="BJ8" s="19">
        <v>4.9763264739644714E-5</v>
      </c>
      <c r="BK8" s="19">
        <v>4.9651571402519582E-5</v>
      </c>
      <c r="BL8" s="19">
        <v>4.9540760809332245E-5</v>
      </c>
      <c r="BM8" s="19">
        <v>4.9430839326372468E-5</v>
      </c>
      <c r="BN8" s="19">
        <v>4.9321782578794245E-5</v>
      </c>
      <c r="BO8" s="19">
        <v>4.921358818595785E-5</v>
      </c>
      <c r="BP8" s="19">
        <v>4.9106274165759208E-5</v>
      </c>
      <c r="BQ8" s="19">
        <v>4.8999864266282466E-5</v>
      </c>
      <c r="BR8" s="19">
        <v>4.8894420639971825E-5</v>
      </c>
      <c r="BS8" s="19">
        <v>4.878994838437421E-5</v>
      </c>
      <c r="BT8" s="19">
        <v>4.8777827184769348E-5</v>
      </c>
      <c r="BU8" s="19">
        <v>4.8766511428224931E-5</v>
      </c>
      <c r="BV8" s="19">
        <v>4.8756010638487174E-5</v>
      </c>
      <c r="BW8" s="19">
        <v>4.8746325578040402E-5</v>
      </c>
      <c r="BX8" s="19">
        <v>4.8737456308092499E-5</v>
      </c>
      <c r="BY8" s="19">
        <v>4.872940822446818E-5</v>
      </c>
      <c r="BZ8" s="19">
        <v>4.8722184167472422E-5</v>
      </c>
      <c r="CA8" s="19">
        <v>4.8715793130872858E-5</v>
      </c>
      <c r="CB8" s="19">
        <v>4.8710221817159014E-5</v>
      </c>
      <c r="CC8" s="19">
        <v>4.8705488446048469E-5</v>
      </c>
      <c r="CD8" s="19">
        <v>4.8701578883939272E-5</v>
      </c>
      <c r="CE8" s="19">
        <v>4.8698493349356099E-5</v>
      </c>
      <c r="CF8" s="19">
        <v>4.8696233098627154E-5</v>
      </c>
      <c r="CG8" s="19">
        <v>4.8694783829108917E-5</v>
      </c>
      <c r="CH8" s="19">
        <v>4.8694153426597895E-5</v>
      </c>
      <c r="CI8" s="19">
        <v>4.8694330719458511E-5</v>
      </c>
      <c r="CJ8" s="19">
        <v>4.8695311820847057E-5</v>
      </c>
      <c r="CK8" s="19">
        <v>4.8697093064788418E-5</v>
      </c>
      <c r="CL8" s="19">
        <v>4.8699692817896317E-5</v>
      </c>
      <c r="CM8" s="19">
        <v>4.870309191940927E-5</v>
      </c>
    </row>
    <row r="9" spans="1:91" x14ac:dyDescent="0.25">
      <c r="A9" s="25" t="s">
        <v>1</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19">
        <v>3.755643379961059E-5</v>
      </c>
      <c r="AG9" s="19">
        <v>3.7502407109994121E-5</v>
      </c>
      <c r="AH9" s="19">
        <v>3.7446367600395375E-5</v>
      </c>
      <c r="AI9" s="19">
        <v>3.7389468791876361E-5</v>
      </c>
      <c r="AJ9" s="19">
        <v>3.7332008042019762E-5</v>
      </c>
      <c r="AK9" s="19">
        <v>3.7274068875954395E-5</v>
      </c>
      <c r="AL9" s="19">
        <v>3.7215675850379237E-5</v>
      </c>
      <c r="AM9" s="19">
        <v>3.7156978171501163E-5</v>
      </c>
      <c r="AN9" s="19">
        <v>3.7098167828327268E-5</v>
      </c>
      <c r="AO9" s="19">
        <v>3.7039336987868168E-5</v>
      </c>
      <c r="AP9" s="19">
        <v>3.6980645139751931E-5</v>
      </c>
      <c r="AQ9" s="19">
        <v>3.692213938427361E-5</v>
      </c>
      <c r="AR9" s="19">
        <v>3.6863854751866036E-5</v>
      </c>
      <c r="AS9" s="19">
        <v>3.6805811662327231E-5</v>
      </c>
      <c r="AT9" s="19">
        <v>3.6747999152088383E-5</v>
      </c>
      <c r="AU9" s="19">
        <v>3.6690470281979947E-5</v>
      </c>
      <c r="AV9" s="19">
        <v>3.6554387193524668E-5</v>
      </c>
      <c r="AW9" s="19">
        <v>3.6419049694988411E-5</v>
      </c>
      <c r="AX9" s="19">
        <v>3.6284369969327323E-5</v>
      </c>
      <c r="AY9" s="19">
        <v>3.6150284528647284E-5</v>
      </c>
      <c r="AZ9" s="19">
        <v>3.6016773330156356E-5</v>
      </c>
      <c r="BA9" s="19">
        <v>3.5883856943783344E-5</v>
      </c>
      <c r="BB9" s="19">
        <v>3.5751585028125387E-5</v>
      </c>
      <c r="BC9" s="19">
        <v>3.5620039904606293E-5</v>
      </c>
      <c r="BD9" s="19">
        <v>3.5489271002261883E-5</v>
      </c>
      <c r="BE9" s="19">
        <v>3.5359288935229114E-5</v>
      </c>
      <c r="BF9" s="19">
        <v>3.5230054652750892E-5</v>
      </c>
      <c r="BG9" s="19">
        <v>3.510153824522978E-5</v>
      </c>
      <c r="BH9" s="19">
        <v>3.497370878428771E-5</v>
      </c>
      <c r="BI9" s="19">
        <v>3.4846549671034063E-5</v>
      </c>
      <c r="BJ9" s="19">
        <v>3.4720044118473136E-5</v>
      </c>
      <c r="BK9" s="19">
        <v>3.4594206533365417E-5</v>
      </c>
      <c r="BL9" s="19">
        <v>3.4469014128796276E-5</v>
      </c>
      <c r="BM9" s="19">
        <v>3.434447153570656E-5</v>
      </c>
      <c r="BN9" s="19">
        <v>3.4220562067128782E-5</v>
      </c>
      <c r="BO9" s="19">
        <v>3.4097284369947345E-5</v>
      </c>
      <c r="BP9" s="19">
        <v>3.3974651310643246E-5</v>
      </c>
      <c r="BQ9" s="19">
        <v>3.3852679612556282E-5</v>
      </c>
      <c r="BR9" s="19">
        <v>3.3731412442074227E-5</v>
      </c>
      <c r="BS9" s="19">
        <v>3.3610853331457794E-5</v>
      </c>
      <c r="BT9" s="19">
        <v>3.3602503171729998E-5</v>
      </c>
      <c r="BU9" s="19">
        <v>3.359470787277717E-5</v>
      </c>
      <c r="BV9" s="19">
        <v>3.3587473995402277E-5</v>
      </c>
      <c r="BW9" s="19">
        <v>3.3580802064872276E-5</v>
      </c>
      <c r="BX9" s="19">
        <v>3.3574692123352602E-5</v>
      </c>
      <c r="BY9" s="19">
        <v>3.3569147887966958E-5</v>
      </c>
      <c r="BZ9" s="19">
        <v>3.3564171315369903E-5</v>
      </c>
      <c r="CA9" s="19">
        <v>3.3559768601267973E-5</v>
      </c>
      <c r="CB9" s="19">
        <v>3.3555930585153986E-5</v>
      </c>
      <c r="CC9" s="19">
        <v>3.3552669818388946E-5</v>
      </c>
      <c r="CD9" s="19">
        <v>3.3549976564491491E-5</v>
      </c>
      <c r="CE9" s="19">
        <v>3.3547850974000863E-5</v>
      </c>
      <c r="CF9" s="19">
        <v>3.3546293912387592E-5</v>
      </c>
      <c r="CG9" s="19">
        <v>3.3545295526719481E-5</v>
      </c>
      <c r="CH9" s="19">
        <v>3.3544861249434111E-5</v>
      </c>
      <c r="CI9" s="19">
        <v>3.354498338451587E-5</v>
      </c>
      <c r="CJ9" s="19">
        <v>3.3545659254361305E-5</v>
      </c>
      <c r="CK9" s="19">
        <v>3.3546886333520914E-5</v>
      </c>
      <c r="CL9" s="19">
        <v>3.3548677274550791E-5</v>
      </c>
      <c r="CM9" s="19">
        <v>3.3551018877815263E-5</v>
      </c>
    </row>
    <row r="10" spans="1:91" x14ac:dyDescent="0.25">
      <c r="A10" s="25" t="s">
        <v>1</v>
      </c>
      <c r="B10" s="5">
        <v>0</v>
      </c>
      <c r="C10" s="5">
        <v>0</v>
      </c>
      <c r="D10" s="5">
        <v>0</v>
      </c>
      <c r="E10" s="5">
        <v>0</v>
      </c>
      <c r="F10" s="5">
        <v>0</v>
      </c>
      <c r="G10" s="5">
        <v>0</v>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c r="AA10" s="5">
        <v>0</v>
      </c>
      <c r="AB10" s="5">
        <v>0</v>
      </c>
      <c r="AC10" s="5">
        <v>0</v>
      </c>
      <c r="AD10" s="5">
        <v>0</v>
      </c>
      <c r="AE10" s="5">
        <v>0</v>
      </c>
      <c r="AF10" s="19">
        <v>3.2802454837634565E-5</v>
      </c>
      <c r="AG10" s="19">
        <v>3.2755266969488529E-5</v>
      </c>
      <c r="AH10" s="19">
        <v>3.2706321068699752E-5</v>
      </c>
      <c r="AI10" s="19">
        <v>3.2656624641005933E-5</v>
      </c>
      <c r="AJ10" s="19">
        <v>3.260643740378941E-5</v>
      </c>
      <c r="AK10" s="19">
        <v>3.2555832309377881E-5</v>
      </c>
      <c r="AL10" s="19">
        <v>3.2504830806027448E-5</v>
      </c>
      <c r="AM10" s="19">
        <v>3.2453563213083297E-5</v>
      </c>
      <c r="AN10" s="19">
        <v>3.2402197217146604E-5</v>
      </c>
      <c r="AO10" s="19">
        <v>3.2350813318517766E-5</v>
      </c>
      <c r="AP10" s="19">
        <v>3.2299550818264349E-5</v>
      </c>
      <c r="AQ10" s="19">
        <v>3.2248450854618708E-5</v>
      </c>
      <c r="AR10" s="19">
        <v>3.2197544023781722E-5</v>
      </c>
      <c r="AS10" s="19">
        <v>3.2146848160766819E-5</v>
      </c>
      <c r="AT10" s="19">
        <v>3.2096353689798707E-5</v>
      </c>
      <c r="AU10" s="19">
        <v>3.2046106955147048E-5</v>
      </c>
      <c r="AV10" s="19">
        <v>3.2141497387667968E-5</v>
      </c>
      <c r="AW10" s="19">
        <v>3.2237471864924206E-5</v>
      </c>
      <c r="AX10" s="19">
        <v>3.2333952858260567E-5</v>
      </c>
      <c r="AY10" s="19">
        <v>3.2430882594832423E-5</v>
      </c>
      <c r="AZ10" s="19">
        <v>3.252824084985104E-5</v>
      </c>
      <c r="BA10" s="19">
        <v>3.2626043771889077E-5</v>
      </c>
      <c r="BB10" s="19">
        <v>3.2724334507413949E-5</v>
      </c>
      <c r="BC10" s="19">
        <v>3.2823187104594656E-5</v>
      </c>
      <c r="BD10" s="19">
        <v>3.2922647348466289E-5</v>
      </c>
      <c r="BE10" s="19">
        <v>3.3022726225326942E-5</v>
      </c>
      <c r="BF10" s="19">
        <v>3.3123388546184533E-5</v>
      </c>
      <c r="BG10" s="19">
        <v>3.322460737319037E-5</v>
      </c>
      <c r="BH10" s="19">
        <v>3.3326353757518896E-5</v>
      </c>
      <c r="BI10" s="19">
        <v>3.3428611963271228E-5</v>
      </c>
      <c r="BJ10" s="19">
        <v>3.3531365432526505E-5</v>
      </c>
      <c r="BK10" s="19">
        <v>3.3634627298655102E-5</v>
      </c>
      <c r="BL10" s="19">
        <v>3.3738374843246775E-5</v>
      </c>
      <c r="BM10" s="19">
        <v>3.3842611651175989E-5</v>
      </c>
      <c r="BN10" s="19">
        <v>3.3947320107804405E-5</v>
      </c>
      <c r="BO10" s="19">
        <v>3.4052497461805553E-5</v>
      </c>
      <c r="BP10" s="19">
        <v>3.4158154753509541E-5</v>
      </c>
      <c r="BQ10" s="19">
        <v>3.4264307410199167E-5</v>
      </c>
      <c r="BR10" s="19">
        <v>3.4370998047757487E-5</v>
      </c>
      <c r="BS10" s="19">
        <v>3.4478230191624447E-5</v>
      </c>
      <c r="BT10" s="19">
        <v>3.4469664543903668E-5</v>
      </c>
      <c r="BU10" s="19">
        <v>3.4461668075945619E-5</v>
      </c>
      <c r="BV10" s="19">
        <v>3.4454247517864263E-5</v>
      </c>
      <c r="BW10" s="19">
        <v>3.4447403408481883E-5</v>
      </c>
      <c r="BX10" s="19">
        <v>3.4441135791052025E-5</v>
      </c>
      <c r="BY10" s="19">
        <v>3.4435448478624177E-5</v>
      </c>
      <c r="BZ10" s="19">
        <v>3.4430343478347179E-5</v>
      </c>
      <c r="CA10" s="19">
        <v>3.4425827145816816E-5</v>
      </c>
      <c r="CB10" s="19">
        <v>3.4421890084125702E-5</v>
      </c>
      <c r="CC10" s="19">
        <v>3.4418545168540914E-5</v>
      </c>
      <c r="CD10" s="19">
        <v>3.4415782411317079E-5</v>
      </c>
      <c r="CE10" s="19">
        <v>3.4413601966878305E-5</v>
      </c>
      <c r="CF10" s="19">
        <v>3.4412004723029851E-5</v>
      </c>
      <c r="CG10" s="19">
        <v>3.4410980572570303E-5</v>
      </c>
      <c r="CH10" s="19">
        <v>3.4410535088129198E-5</v>
      </c>
      <c r="CI10" s="19">
        <v>3.4410660375084007E-5</v>
      </c>
      <c r="CJ10" s="19">
        <v>3.441135368673192E-5</v>
      </c>
      <c r="CK10" s="19">
        <v>3.4412612432450478E-5</v>
      </c>
      <c r="CL10" s="19">
        <v>3.4414449591313397E-5</v>
      </c>
      <c r="CM10" s="19">
        <v>3.4416851623049204E-5</v>
      </c>
    </row>
    <row r="11" spans="1:91" x14ac:dyDescent="0.25">
      <c r="A11" s="25" t="s">
        <v>1</v>
      </c>
      <c r="B11" s="5">
        <v>0</v>
      </c>
      <c r="C11" s="5">
        <v>0</v>
      </c>
      <c r="D11" s="5">
        <v>0</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0</v>
      </c>
      <c r="AF11" s="19">
        <v>9.854236723099179E-6</v>
      </c>
      <c r="AG11" s="19">
        <v>9.9823313516283816E-6</v>
      </c>
      <c r="AH11" s="19">
        <v>1.0100376622903003E-5</v>
      </c>
      <c r="AI11" s="19">
        <v>1.0217954371032664E-5</v>
      </c>
      <c r="AJ11" s="19">
        <v>1.0335036222756833E-5</v>
      </c>
      <c r="AK11" s="19">
        <v>1.0451609591361124E-5</v>
      </c>
      <c r="AL11" s="19">
        <v>1.0567721275233579E-5</v>
      </c>
      <c r="AM11" s="19">
        <v>1.0683584645201572E-5</v>
      </c>
      <c r="AN11" s="19">
        <v>1.0799445063931594E-5</v>
      </c>
      <c r="AO11" s="19">
        <v>1.0915504194081234E-5</v>
      </c>
      <c r="AP11" s="19">
        <v>1.1031807456688384E-5</v>
      </c>
      <c r="AQ11" s="19">
        <v>1.1148309525294568E-5</v>
      </c>
      <c r="AR11" s="19">
        <v>1.1264870100794226E-5</v>
      </c>
      <c r="AS11" s="19">
        <v>1.1381328286422772E-5</v>
      </c>
      <c r="AT11" s="19">
        <v>1.1497512483415883E-5</v>
      </c>
      <c r="AU11" s="19">
        <v>1.1613397424679677E-5</v>
      </c>
      <c r="AV11" s="19">
        <v>1.1713798570050842E-5</v>
      </c>
      <c r="AW11" s="19">
        <v>1.1814470296277969E-5</v>
      </c>
      <c r="AX11" s="19">
        <v>1.191534638981658E-5</v>
      </c>
      <c r="AY11" s="19">
        <v>1.2016381020005536E-5</v>
      </c>
      <c r="AZ11" s="19">
        <v>1.2117558271218646E-5</v>
      </c>
      <c r="BA11" s="19">
        <v>1.2218890985596653E-5</v>
      </c>
      <c r="BB11" s="19">
        <v>1.2320406157975561E-5</v>
      </c>
      <c r="BC11" s="19">
        <v>1.2422163359147807E-5</v>
      </c>
      <c r="BD11" s="19">
        <v>1.2524187390788021E-5</v>
      </c>
      <c r="BE11" s="19">
        <v>1.2626483878628047E-5</v>
      </c>
      <c r="BF11" s="19">
        <v>1.2729030779148932E-5</v>
      </c>
      <c r="BG11" s="19">
        <v>1.2831824775562305E-5</v>
      </c>
      <c r="BH11" s="19">
        <v>1.293486824139877E-5</v>
      </c>
      <c r="BI11" s="19">
        <v>1.3038141931290572E-5</v>
      </c>
      <c r="BJ11" s="19">
        <v>1.3141646057248452E-5</v>
      </c>
      <c r="BK11" s="19">
        <v>1.324536198402301E-5</v>
      </c>
      <c r="BL11" s="19">
        <v>1.3349273223858244E-5</v>
      </c>
      <c r="BM11" s="19">
        <v>1.3453362055576217E-5</v>
      </c>
      <c r="BN11" s="19">
        <v>1.3557618363085972E-5</v>
      </c>
      <c r="BO11" s="19">
        <v>1.3662013491165603E-5</v>
      </c>
      <c r="BP11" s="19">
        <v>1.3766547886425956E-5</v>
      </c>
      <c r="BQ11" s="19">
        <v>1.3871201491620626E-5</v>
      </c>
      <c r="BR11" s="19">
        <v>1.3975979456877814E-5</v>
      </c>
      <c r="BS11" s="19">
        <v>1.408086503385868E-5</v>
      </c>
      <c r="BT11" s="19">
        <v>1.4176705987784486E-5</v>
      </c>
      <c r="BU11" s="19">
        <v>1.4272897661288029E-5</v>
      </c>
      <c r="BV11" s="19">
        <v>1.4369405170972683E-5</v>
      </c>
      <c r="BW11" s="19">
        <v>1.4466221110106797E-5</v>
      </c>
      <c r="BX11" s="19">
        <v>1.4563333182956466E-5</v>
      </c>
      <c r="BY11" s="19">
        <v>1.4660743453509237E-5</v>
      </c>
      <c r="BZ11" s="19">
        <v>1.4758440388510096E-5</v>
      </c>
      <c r="CA11" s="19">
        <v>1.485643337428682E-5</v>
      </c>
      <c r="CB11" s="19">
        <v>1.4954723711917591E-5</v>
      </c>
      <c r="CC11" s="19">
        <v>1.5053310912873919E-5</v>
      </c>
      <c r="CD11" s="19">
        <v>1.5152187297695958E-5</v>
      </c>
      <c r="CE11" s="19">
        <v>1.5251347954090991E-5</v>
      </c>
      <c r="CF11" s="19">
        <v>1.535078884672587E-5</v>
      </c>
      <c r="CG11" s="19">
        <v>1.5450503085557794E-5</v>
      </c>
      <c r="CH11" s="19">
        <v>1.5550493837403647E-5</v>
      </c>
      <c r="CI11" s="19">
        <v>1.5650748955160461E-5</v>
      </c>
      <c r="CJ11" s="19">
        <v>1.5751267258813495E-5</v>
      </c>
      <c r="CK11" s="19">
        <v>1.5852032855683394E-5</v>
      </c>
      <c r="CL11" s="19">
        <v>1.5953046526604541E-5</v>
      </c>
      <c r="CM11" s="19">
        <v>1.6054290103878199E-5</v>
      </c>
    </row>
    <row r="12" spans="1:91" x14ac:dyDescent="0.25">
      <c r="A12" s="25" t="s">
        <v>1</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19">
        <v>2.1546611417777664E-5</v>
      </c>
      <c r="AG12" s="19">
        <v>2.1548776353901259E-5</v>
      </c>
      <c r="AH12" s="19">
        <v>2.1529813843228388E-5</v>
      </c>
      <c r="AI12" s="19">
        <v>2.1511796280261009E-5</v>
      </c>
      <c r="AJ12" s="19">
        <v>2.1494294630538175E-5</v>
      </c>
      <c r="AK12" s="19">
        <v>2.1477258718884035E-5</v>
      </c>
      <c r="AL12" s="19">
        <v>2.1460780711870611E-5</v>
      </c>
      <c r="AM12" s="19">
        <v>2.1445238306112089E-5</v>
      </c>
      <c r="AN12" s="19">
        <v>2.1430974190250699E-5</v>
      </c>
      <c r="AO12" s="19">
        <v>2.1418246228484336E-5</v>
      </c>
      <c r="AP12" s="19">
        <v>2.1406989135757382E-5</v>
      </c>
      <c r="AQ12" s="19">
        <v>2.1396971476561034E-5</v>
      </c>
      <c r="AR12" s="19">
        <v>2.1387819441490876E-5</v>
      </c>
      <c r="AS12" s="19">
        <v>2.1379160748666734E-5</v>
      </c>
      <c r="AT12" s="19">
        <v>2.1370586114888923E-5</v>
      </c>
      <c r="AU12" s="19">
        <v>2.136207988774734E-5</v>
      </c>
      <c r="AV12" s="19">
        <v>2.1431219936181367E-5</v>
      </c>
      <c r="AW12" s="19">
        <v>2.1500621928855455E-5</v>
      </c>
      <c r="AX12" s="19">
        <v>2.1570179413566521E-5</v>
      </c>
      <c r="AY12" s="19">
        <v>2.1639821924105715E-5</v>
      </c>
      <c r="AZ12" s="19">
        <v>2.1709567707921659E-5</v>
      </c>
      <c r="BA12" s="19">
        <v>2.1779462959994464E-5</v>
      </c>
      <c r="BB12" s="19">
        <v>2.1849626776714623E-5</v>
      </c>
      <c r="BC12" s="19">
        <v>2.1920278464497534E-5</v>
      </c>
      <c r="BD12" s="19">
        <v>2.1991551238002374E-5</v>
      </c>
      <c r="BE12" s="19">
        <v>2.2063475894961098E-5</v>
      </c>
      <c r="BF12" s="19">
        <v>2.2136022770592723E-5</v>
      </c>
      <c r="BG12" s="19">
        <v>2.2209233349265895E-5</v>
      </c>
      <c r="BH12" s="19">
        <v>2.2283196844612381E-5</v>
      </c>
      <c r="BI12" s="19">
        <v>2.2357890539718146E-5</v>
      </c>
      <c r="BJ12" s="19">
        <v>2.2433347003655922E-5</v>
      </c>
      <c r="BK12" s="19">
        <v>2.2509532403832295E-5</v>
      </c>
      <c r="BL12" s="19">
        <v>2.2586360106813801E-5</v>
      </c>
      <c r="BM12" s="19">
        <v>2.266373951206043E-5</v>
      </c>
      <c r="BN12" s="19">
        <v>2.2741629068060705E-5</v>
      </c>
      <c r="BO12" s="19">
        <v>2.2819945752611374E-5</v>
      </c>
      <c r="BP12" s="19">
        <v>2.2898700583336664E-5</v>
      </c>
      <c r="BQ12" s="19">
        <v>2.2977838939417841E-5</v>
      </c>
      <c r="BR12" s="19">
        <v>2.3057373635006435E-5</v>
      </c>
      <c r="BS12" s="19">
        <v>2.3137229080172518E-5</v>
      </c>
      <c r="BT12" s="19">
        <v>2.322088460377657E-5</v>
      </c>
      <c r="BU12" s="19">
        <v>2.3304856513304948E-5</v>
      </c>
      <c r="BV12" s="19">
        <v>2.3389124320775309E-5</v>
      </c>
      <c r="BW12" s="19">
        <v>2.3473652943025843E-5</v>
      </c>
      <c r="BX12" s="19">
        <v>2.3558450585572394E-5</v>
      </c>
      <c r="BY12" s="19">
        <v>2.3643525071400696E-5</v>
      </c>
      <c r="BZ12" s="19">
        <v>2.3728839924302104E-5</v>
      </c>
      <c r="CA12" s="19">
        <v>2.3814449363319564E-5</v>
      </c>
      <c r="CB12" s="19">
        <v>2.3900368603731259E-5</v>
      </c>
      <c r="CC12" s="19">
        <v>2.398661922121495E-5</v>
      </c>
      <c r="CD12" s="19">
        <v>2.4073166653929001E-5</v>
      </c>
      <c r="CE12" s="19">
        <v>2.4160049413654472E-5</v>
      </c>
      <c r="CF12" s="19">
        <v>2.4247233568978547E-5</v>
      </c>
      <c r="CG12" s="19">
        <v>2.4334710078056624E-5</v>
      </c>
      <c r="CH12" s="19">
        <v>2.4422475304205185E-5</v>
      </c>
      <c r="CI12" s="19">
        <v>2.4510534334148943E-5</v>
      </c>
      <c r="CJ12" s="19">
        <v>2.4598868961428005E-5</v>
      </c>
      <c r="CK12" s="19">
        <v>2.4687474773804851E-5</v>
      </c>
      <c r="CL12" s="19">
        <v>2.4776359815924639E-5</v>
      </c>
      <c r="CM12" s="19">
        <v>2.4865496205584895E-5</v>
      </c>
    </row>
    <row r="14" spans="1:91" x14ac:dyDescent="0.25">
      <c r="A14" s="25" t="s">
        <v>4</v>
      </c>
      <c r="B14" s="5">
        <v>0</v>
      </c>
      <c r="C14" s="5">
        <v>0</v>
      </c>
      <c r="D14" s="5">
        <v>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19">
        <v>7.2579400635636128E-5</v>
      </c>
      <c r="AG14" s="19">
        <v>7.2710750357848772E-5</v>
      </c>
      <c r="AH14" s="19">
        <v>7.2835631481469562E-5</v>
      </c>
      <c r="AI14" s="19">
        <v>7.2966844650889425E-5</v>
      </c>
      <c r="AJ14" s="19">
        <v>7.3104359921105733E-5</v>
      </c>
      <c r="AK14" s="19">
        <v>7.3248246864508071E-5</v>
      </c>
      <c r="AL14" s="19">
        <v>7.3398754505103175E-5</v>
      </c>
      <c r="AM14" s="19">
        <v>7.3555626460515322E-5</v>
      </c>
      <c r="AN14" s="19">
        <v>7.3718630250443402E-5</v>
      </c>
      <c r="AO14" s="19">
        <v>7.3887930394828121E-5</v>
      </c>
      <c r="AP14" s="19">
        <v>7.4063048210976443E-5</v>
      </c>
      <c r="AQ14" s="19">
        <v>7.4244147109695115E-5</v>
      </c>
      <c r="AR14" s="19">
        <v>7.4431632375143155E-5</v>
      </c>
      <c r="AS14" s="19">
        <v>7.4625871636400709E-5</v>
      </c>
      <c r="AT14" s="19">
        <v>7.4827372348252132E-5</v>
      </c>
      <c r="AU14" s="19">
        <v>7.5036047961920654E-5</v>
      </c>
      <c r="AV14" s="19">
        <v>7.5196129754424222E-5</v>
      </c>
      <c r="AW14" s="19">
        <v>7.5362226892668419E-5</v>
      </c>
      <c r="AX14" s="19">
        <v>7.5533423136030673E-5</v>
      </c>
      <c r="AY14" s="19">
        <v>7.570918252286068E-5</v>
      </c>
      <c r="AZ14" s="19">
        <v>7.5889042320633371E-5</v>
      </c>
      <c r="BA14" s="19">
        <v>7.6072967370297419E-5</v>
      </c>
      <c r="BB14" s="19">
        <v>7.6260690065726422E-5</v>
      </c>
      <c r="BC14" s="19">
        <v>7.6451712192685824E-5</v>
      </c>
      <c r="BD14" s="19">
        <v>7.6645708716077289E-5</v>
      </c>
      <c r="BE14" s="19">
        <v>7.6842653727074298E-5</v>
      </c>
      <c r="BF14" s="19">
        <v>7.7042342470197924E-5</v>
      </c>
      <c r="BG14" s="19">
        <v>7.724507134193393E-5</v>
      </c>
      <c r="BH14" s="19">
        <v>7.7450697007099199E-5</v>
      </c>
      <c r="BI14" s="19">
        <v>7.7659336093488269E-5</v>
      </c>
      <c r="BJ14" s="19">
        <v>7.7871119041523682E-5</v>
      </c>
      <c r="BK14" s="19">
        <v>7.8085962512260875E-5</v>
      </c>
      <c r="BL14" s="19">
        <v>7.8304194048995108E-5</v>
      </c>
      <c r="BM14" s="19">
        <v>7.8526200171564843E-5</v>
      </c>
      <c r="BN14" s="19">
        <v>7.8752113447964735E-5</v>
      </c>
      <c r="BO14" s="19">
        <v>7.8982140394694782E-5</v>
      </c>
      <c r="BP14" s="19">
        <v>7.9215967873173866E-5</v>
      </c>
      <c r="BQ14" s="19">
        <v>7.9453663292605763E-5</v>
      </c>
      <c r="BR14" s="19">
        <v>7.9694685625893665E-5</v>
      </c>
      <c r="BS14" s="19">
        <v>8.0939140319541284E-5</v>
      </c>
      <c r="BT14" s="19">
        <v>8.1144580689791697E-5</v>
      </c>
      <c r="BU14" s="19">
        <v>8.1352255328899303E-5</v>
      </c>
      <c r="BV14" s="19">
        <v>8.1561589635048809E-5</v>
      </c>
      <c r="BW14" s="19">
        <v>8.1772238866018886E-5</v>
      </c>
      <c r="BX14" s="19">
        <v>8.1983732728382883E-5</v>
      </c>
      <c r="BY14" s="19">
        <v>8.2195784794655147E-5</v>
      </c>
      <c r="BZ14" s="19">
        <v>8.240854022039316E-5</v>
      </c>
      <c r="CA14" s="19">
        <v>8.2621769860770545E-5</v>
      </c>
      <c r="CB14" s="19">
        <v>8.2835636290142024E-5</v>
      </c>
      <c r="CC14" s="19">
        <v>8.3049975000763771E-5</v>
      </c>
      <c r="CD14" s="19">
        <v>8.3264965361052375E-5</v>
      </c>
      <c r="CE14" s="19">
        <v>8.3480476330671094E-5</v>
      </c>
      <c r="CF14" s="19">
        <v>8.3696427440170748E-5</v>
      </c>
      <c r="CG14" s="19">
        <v>8.3912861801149424E-5</v>
      </c>
      <c r="CH14" s="19">
        <v>8.4129687508903073E-5</v>
      </c>
      <c r="CI14" s="19">
        <v>8.4347050159480082E-5</v>
      </c>
      <c r="CJ14" s="19">
        <v>8.4564999780692071E-5</v>
      </c>
      <c r="CK14" s="19">
        <v>8.4783852786025421E-5</v>
      </c>
      <c r="CL14" s="19">
        <v>8.5003601175681514E-5</v>
      </c>
      <c r="CM14" s="19">
        <v>8.5224739069646827E-5</v>
      </c>
    </row>
    <row r="16" spans="1:91" x14ac:dyDescent="0.25">
      <c r="A16" s="25" t="s">
        <v>5</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25">
        <v>2.6047124150016419E-5</v>
      </c>
      <c r="AG16" s="25">
        <v>2.5931820509822103E-5</v>
      </c>
      <c r="AH16" s="25">
        <v>2.5817027287951345E-5</v>
      </c>
      <c r="AI16" s="25">
        <v>2.5702742224918969E-5</v>
      </c>
      <c r="AJ16" s="25">
        <v>2.5588963071241946E-5</v>
      </c>
      <c r="AK16" s="25">
        <v>2.5475687587395098E-5</v>
      </c>
      <c r="AL16" s="25">
        <v>2.5362913543767027E-5</v>
      </c>
      <c r="AM16" s="25">
        <v>2.5250638720616227E-5</v>
      </c>
      <c r="AN16" s="25">
        <v>2.5138860908027395E-5</v>
      </c>
      <c r="AO16" s="25">
        <v>2.5027577905867931E-5</v>
      </c>
      <c r="AP16" s="25">
        <v>2.4916787523744632E-5</v>
      </c>
      <c r="AQ16" s="25">
        <v>2.4806487580960574E-5</v>
      </c>
      <c r="AR16" s="25">
        <v>2.4696675906472202E-5</v>
      </c>
      <c r="AS16" s="25">
        <v>2.4587350338846587E-5</v>
      </c>
      <c r="AT16" s="25">
        <v>2.4478508726218878E-5</v>
      </c>
      <c r="AU16" s="25">
        <v>2.4370148926249962E-5</v>
      </c>
      <c r="AV16" s="25">
        <v>2.4378852289661097E-5</v>
      </c>
      <c r="AW16" s="25">
        <v>2.438755876132302E-5</v>
      </c>
      <c r="AX16" s="25">
        <v>2.4396268342345792E-5</v>
      </c>
      <c r="AY16" s="25">
        <v>2.4404981033839863E-5</v>
      </c>
      <c r="AZ16" s="25">
        <v>2.4413696836916083E-5</v>
      </c>
      <c r="BA16" s="25">
        <v>2.4422415752685697E-5</v>
      </c>
      <c r="BB16" s="25">
        <v>2.443113778226035E-5</v>
      </c>
      <c r="BC16" s="25">
        <v>2.4439862926752079E-5</v>
      </c>
      <c r="BD16" s="25">
        <v>2.4448591187273323E-5</v>
      </c>
      <c r="BE16" s="25">
        <v>2.4457322564936916E-5</v>
      </c>
      <c r="BF16" s="25">
        <v>2.4466057060856087E-5</v>
      </c>
      <c r="BG16" s="25">
        <v>2.4474794676144469E-5</v>
      </c>
      <c r="BH16" s="25">
        <v>2.4483535411916089E-5</v>
      </c>
      <c r="BI16" s="25">
        <v>2.4492279269285369E-5</v>
      </c>
      <c r="BJ16" s="25">
        <v>2.4501026249367136E-5</v>
      </c>
      <c r="BK16" s="25">
        <v>2.4509776353276607E-5</v>
      </c>
      <c r="BL16" s="25">
        <v>2.4518529582129402E-5</v>
      </c>
      <c r="BM16" s="25">
        <v>2.4527285937041538E-5</v>
      </c>
      <c r="BN16" s="25">
        <v>2.4536045419129436E-5</v>
      </c>
      <c r="BO16" s="25">
        <v>2.4544808029509907E-5</v>
      </c>
      <c r="BP16" s="25">
        <v>2.4553573769300165E-5</v>
      </c>
      <c r="BQ16" s="25">
        <v>2.4562342639617823E-5</v>
      </c>
      <c r="BR16" s="25">
        <v>2.4571114641580892E-5</v>
      </c>
      <c r="BS16" s="25">
        <v>2.4579889776307785E-5</v>
      </c>
      <c r="BT16" s="25">
        <v>2.4588668044917313E-5</v>
      </c>
      <c r="BU16" s="25">
        <v>2.4597449448528686E-5</v>
      </c>
      <c r="BV16" s="25">
        <v>2.460623398826151E-5</v>
      </c>
      <c r="BW16" s="25">
        <v>2.4615021665235799E-5</v>
      </c>
      <c r="BX16" s="25">
        <v>2.4623812480571962E-5</v>
      </c>
      <c r="BY16" s="25">
        <v>2.463260643539081E-5</v>
      </c>
      <c r="BZ16" s="25">
        <v>2.4641403530813551E-5</v>
      </c>
      <c r="CA16" s="25">
        <v>2.4650203767961796E-5</v>
      </c>
      <c r="CB16" s="25">
        <v>2.4659007147957558E-5</v>
      </c>
      <c r="CC16" s="25">
        <v>2.4667813671923248E-5</v>
      </c>
      <c r="CD16" s="25">
        <v>2.4676623340981674E-5</v>
      </c>
      <c r="CE16" s="25">
        <v>2.4685436156256055E-5</v>
      </c>
      <c r="CF16" s="25">
        <v>2.4694252118870006E-5</v>
      </c>
      <c r="CG16" s="25">
        <v>2.4703071229947542E-5</v>
      </c>
      <c r="CH16" s="25">
        <v>2.4711893490613081E-5</v>
      </c>
      <c r="CI16" s="25">
        <v>2.4720718901991441E-5</v>
      </c>
      <c r="CJ16" s="25">
        <v>2.4729547465207841E-5</v>
      </c>
      <c r="CK16" s="25">
        <v>2.4738379181387907E-5</v>
      </c>
      <c r="CL16" s="25">
        <v>2.4747214051657664E-5</v>
      </c>
      <c r="CM16" s="25">
        <v>2.4756052077143536E-5</v>
      </c>
    </row>
    <row r="17" spans="1:91" x14ac:dyDescent="0.25">
      <c r="A17" s="25" t="s">
        <v>1</v>
      </c>
      <c r="B17" s="5">
        <v>0</v>
      </c>
      <c r="C17" s="5">
        <v>0</v>
      </c>
      <c r="D17" s="5">
        <v>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19">
        <v>2.0100000000000001E-4</v>
      </c>
      <c r="AG17" s="19">
        <v>2.0106666666666668E-4</v>
      </c>
      <c r="AH17" s="19">
        <v>2.0113333333333333E-4</v>
      </c>
      <c r="AI17" s="19">
        <v>2.0120000000000001E-4</v>
      </c>
      <c r="AJ17" s="19">
        <v>2.0126666666666666E-4</v>
      </c>
      <c r="AK17" s="19">
        <v>2.0133333333333334E-4</v>
      </c>
      <c r="AL17" s="19">
        <v>2.0140000000000002E-4</v>
      </c>
      <c r="AM17" s="19">
        <v>2.0146666666666667E-4</v>
      </c>
      <c r="AN17" s="19">
        <v>2.0153333333333334E-4</v>
      </c>
      <c r="AO17" s="19">
        <v>2.0159999999999999E-4</v>
      </c>
      <c r="AP17" s="19">
        <v>2.0166666666666667E-4</v>
      </c>
      <c r="AQ17" s="19">
        <v>2.0173333333333335E-4</v>
      </c>
      <c r="AR17" s="19">
        <v>2.018E-4</v>
      </c>
      <c r="AS17" s="19">
        <v>2.0186666666666668E-4</v>
      </c>
      <c r="AT17" s="19">
        <v>2.0193333333333333E-4</v>
      </c>
      <c r="AU17" s="19">
        <v>2.02E-4</v>
      </c>
      <c r="AV17" s="19">
        <v>2.0254166666666668E-4</v>
      </c>
      <c r="AW17" s="19">
        <v>2.0308333333333333E-4</v>
      </c>
      <c r="AX17" s="19">
        <v>2.03625E-4</v>
      </c>
      <c r="AY17" s="19">
        <v>2.0416666666666668E-4</v>
      </c>
      <c r="AZ17" s="19">
        <v>2.0470833333333333E-4</v>
      </c>
      <c r="BA17" s="19">
        <v>2.0525E-4</v>
      </c>
      <c r="BB17" s="19">
        <v>2.0579166666666668E-4</v>
      </c>
      <c r="BC17" s="19">
        <v>2.0633333333333333E-4</v>
      </c>
      <c r="BD17" s="19">
        <v>2.06875E-4</v>
      </c>
      <c r="BE17" s="19">
        <v>2.0741666666666668E-4</v>
      </c>
      <c r="BF17" s="19">
        <v>2.0795833333333332E-4</v>
      </c>
      <c r="BG17" s="19">
        <v>2.085E-4</v>
      </c>
      <c r="BH17" s="19">
        <v>2.0904166666666667E-4</v>
      </c>
      <c r="BI17" s="19">
        <v>2.0958333333333332E-4</v>
      </c>
      <c r="BJ17" s="19">
        <v>2.10125E-4</v>
      </c>
      <c r="BK17" s="19">
        <v>2.1066666666666667E-4</v>
      </c>
      <c r="BL17" s="19">
        <v>2.1120833333333332E-4</v>
      </c>
      <c r="BM17" s="19">
        <v>2.1175E-4</v>
      </c>
      <c r="BN17" s="19">
        <v>2.1229166666666667E-4</v>
      </c>
      <c r="BO17" s="19">
        <v>2.1283333333333332E-4</v>
      </c>
      <c r="BP17" s="19">
        <v>2.13375E-4</v>
      </c>
      <c r="BQ17" s="19">
        <v>2.1391666666666667E-4</v>
      </c>
      <c r="BR17" s="19">
        <v>2.1445833333333332E-4</v>
      </c>
      <c r="BS17" s="19">
        <v>2.1499999999999999E-4</v>
      </c>
      <c r="BT17" s="19">
        <v>2.1535E-4</v>
      </c>
      <c r="BU17" s="19">
        <v>2.1569999999999998E-4</v>
      </c>
      <c r="BV17" s="19">
        <v>2.1604999999999999E-4</v>
      </c>
      <c r="BW17" s="19">
        <v>2.164E-4</v>
      </c>
      <c r="BX17" s="19">
        <v>2.1674999999999998E-4</v>
      </c>
      <c r="BY17" s="19">
        <v>2.1709999999999999E-4</v>
      </c>
      <c r="BZ17" s="19">
        <v>2.1745E-4</v>
      </c>
      <c r="CA17" s="19">
        <v>2.1780000000000001E-4</v>
      </c>
      <c r="CB17" s="19">
        <v>2.1814999999999999E-4</v>
      </c>
      <c r="CC17" s="19">
        <v>2.185E-4</v>
      </c>
      <c r="CD17" s="19">
        <v>2.1885000000000001E-4</v>
      </c>
      <c r="CE17" s="19">
        <v>2.1919999999999999E-4</v>
      </c>
      <c r="CF17" s="19">
        <v>2.1955E-4</v>
      </c>
      <c r="CG17" s="19">
        <v>2.1990000000000001E-4</v>
      </c>
      <c r="CH17" s="19">
        <v>2.2025000000000001E-4</v>
      </c>
      <c r="CI17" s="19">
        <v>2.206E-4</v>
      </c>
      <c r="CJ17" s="19">
        <v>2.2095E-4</v>
      </c>
      <c r="CK17" s="19">
        <v>2.2130000000000001E-4</v>
      </c>
      <c r="CL17" s="19">
        <v>2.2164999999999999E-4</v>
      </c>
      <c r="CM17" s="19">
        <v>2.22E-4</v>
      </c>
    </row>
    <row r="18" spans="1:91" x14ac:dyDescent="0.25">
      <c r="A18" s="25" t="s">
        <v>2</v>
      </c>
      <c r="B18" s="5">
        <v>0</v>
      </c>
      <c r="C18" s="5">
        <v>0</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25">
        <v>3.1090007506599416E-5</v>
      </c>
      <c r="AG18" s="25">
        <v>3.1214866974497405E-5</v>
      </c>
      <c r="AH18" s="25">
        <v>3.1340227886041568E-5</v>
      </c>
      <c r="AI18" s="25">
        <v>3.1466092255061819E-5</v>
      </c>
      <c r="AJ18" s="25">
        <v>3.1592462103475722E-5</v>
      </c>
      <c r="AK18" s="25">
        <v>3.1719339461321004E-5</v>
      </c>
      <c r="AL18" s="25">
        <v>3.1846726366788155E-5</v>
      </c>
      <c r="AM18" s="25">
        <v>3.1974624866253171E-5</v>
      </c>
      <c r="AN18" s="25">
        <v>3.2103037014310414E-5</v>
      </c>
      <c r="AO18" s="25">
        <v>3.2231964873805633E-5</v>
      </c>
      <c r="AP18" s="25">
        <v>3.2361410515869112E-5</v>
      </c>
      <c r="AQ18" s="25">
        <v>3.2491376019948906E-5</v>
      </c>
      <c r="AR18" s="25">
        <v>3.2621863473844284E-5</v>
      </c>
      <c r="AS18" s="25">
        <v>3.2752874973739242E-5</v>
      </c>
      <c r="AT18" s="25">
        <v>3.288441262423619E-5</v>
      </c>
      <c r="AU18" s="25">
        <v>3.3016478538389752E-5</v>
      </c>
      <c r="AV18" s="25">
        <v>3.3049495016928139E-5</v>
      </c>
      <c r="AW18" s="25">
        <v>3.3082544511945068E-5</v>
      </c>
      <c r="AX18" s="25">
        <v>3.3115627056457015E-5</v>
      </c>
      <c r="AY18" s="25">
        <v>3.3148742683513472E-5</v>
      </c>
      <c r="AZ18" s="25">
        <v>3.3181891426196984E-5</v>
      </c>
      <c r="BA18" s="25">
        <v>3.3215073317623179E-5</v>
      </c>
      <c r="BB18" s="25">
        <v>3.3248288390940805E-5</v>
      </c>
      <c r="BC18" s="25">
        <v>3.3281536679331748E-5</v>
      </c>
      <c r="BD18" s="25">
        <v>3.3314818216011078E-5</v>
      </c>
      <c r="BE18" s="25">
        <v>3.3348133034227087E-5</v>
      </c>
      <c r="BF18" s="25">
        <v>3.3381481167261313E-5</v>
      </c>
      <c r="BG18" s="25">
        <v>3.3414862648428577E-5</v>
      </c>
      <c r="BH18" s="25">
        <v>3.3448277511077007E-5</v>
      </c>
      <c r="BI18" s="25">
        <v>3.3481725788588084E-5</v>
      </c>
      <c r="BJ18" s="25">
        <v>3.3515207514376674E-5</v>
      </c>
      <c r="BK18" s="25">
        <v>3.3548722721891052E-5</v>
      </c>
      <c r="BL18" s="25">
        <v>3.3582271444612947E-5</v>
      </c>
      <c r="BM18" s="25">
        <v>3.361585371605756E-5</v>
      </c>
      <c r="BN18" s="25">
        <v>3.3649469569773618E-5</v>
      </c>
      <c r="BO18" s="25">
        <v>3.3683119039343394E-5</v>
      </c>
      <c r="BP18" s="25">
        <v>3.3716802158382734E-5</v>
      </c>
      <c r="BQ18" s="25">
        <v>3.3750518960541119E-5</v>
      </c>
      <c r="BR18" s="25">
        <v>3.3784269479501661E-5</v>
      </c>
      <c r="BS18" s="25">
        <v>3.3818053748981164E-5</v>
      </c>
      <c r="BT18" s="25">
        <v>3.3851871802730143E-5</v>
      </c>
      <c r="BU18" s="25">
        <v>3.3885723674532874E-5</v>
      </c>
      <c r="BV18" s="25">
        <v>3.3919609398207405E-5</v>
      </c>
      <c r="BW18" s="25">
        <v>3.3953529007605609E-5</v>
      </c>
      <c r="BX18" s="25">
        <v>3.3987482536613218E-5</v>
      </c>
      <c r="BY18" s="25">
        <v>3.4021470019149833E-5</v>
      </c>
      <c r="BZ18" s="25">
        <v>3.4055491489168982E-5</v>
      </c>
      <c r="CA18" s="25">
        <v>3.4089546980658153E-5</v>
      </c>
      <c r="CB18" s="25">
        <v>3.412363652763881E-5</v>
      </c>
      <c r="CC18" s="25">
        <v>3.4157760164166448E-5</v>
      </c>
      <c r="CD18" s="25">
        <v>3.4191917924330613E-5</v>
      </c>
      <c r="CE18" s="25">
        <v>3.4226109842254942E-5</v>
      </c>
      <c r="CF18" s="25">
        <v>3.4260335952097197E-5</v>
      </c>
      <c r="CG18" s="25">
        <v>3.4294596288049293E-5</v>
      </c>
      <c r="CH18" s="25">
        <v>3.4328890884337344E-5</v>
      </c>
      <c r="CI18" s="25">
        <v>3.4363219775221679E-5</v>
      </c>
      <c r="CJ18" s="25">
        <v>3.4397582994996899E-5</v>
      </c>
      <c r="CK18" s="25">
        <v>3.4431980577991895E-5</v>
      </c>
      <c r="CL18" s="25">
        <v>3.4466412558569886E-5</v>
      </c>
      <c r="CM18" s="25">
        <v>3.4500878971128458E-5</v>
      </c>
    </row>
    <row r="19" spans="1:91" x14ac:dyDescent="0.25">
      <c r="A19" s="25" t="s">
        <v>2</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25">
        <v>1.9058062501626263E-5</v>
      </c>
      <c r="AG19" s="25">
        <v>1.9367949696774658E-5</v>
      </c>
      <c r="AH19" s="25">
        <v>1.9682875708104327E-5</v>
      </c>
      <c r="AI19" s="25">
        <v>2.0002922467585699E-5</v>
      </c>
      <c r="AJ19" s="25">
        <v>2.0328173239416362E-5</v>
      </c>
      <c r="AK19" s="25">
        <v>2.0658712641683296E-5</v>
      </c>
      <c r="AL19" s="25">
        <v>2.0994626668377332E-5</v>
      </c>
      <c r="AM19" s="25">
        <v>2.1336002711765583E-5</v>
      </c>
      <c r="AN19" s="25">
        <v>2.1682929585127624E-5</v>
      </c>
      <c r="AO19" s="25">
        <v>2.2035497545861405E-5</v>
      </c>
      <c r="AP19" s="25">
        <v>2.2393798318964842E-5</v>
      </c>
      <c r="AQ19" s="25">
        <v>2.2757925120899231E-5</v>
      </c>
      <c r="AR19" s="25">
        <v>2.3127972683840682E-5</v>
      </c>
      <c r="AS19" s="25">
        <v>2.3504037280325898E-5</v>
      </c>
      <c r="AT19" s="25">
        <v>2.3886216748298676E-5</v>
      </c>
      <c r="AU19" s="25">
        <v>2.4274610516563694E-5</v>
      </c>
      <c r="AV19" s="25">
        <v>2.4444532790179639E-5</v>
      </c>
      <c r="AW19" s="25">
        <v>2.4615644519710897E-5</v>
      </c>
      <c r="AX19" s="25">
        <v>2.4787954031348874E-5</v>
      </c>
      <c r="AY19" s="25">
        <v>2.4961469709568316E-5</v>
      </c>
      <c r="AZ19" s="25">
        <v>2.5136199997535295E-5</v>
      </c>
      <c r="BA19" s="25">
        <v>2.5312153397518044E-5</v>
      </c>
      <c r="BB19" s="25">
        <v>2.5489338471300669E-5</v>
      </c>
      <c r="BC19" s="25">
        <v>2.5667763840599773E-5</v>
      </c>
      <c r="BD19" s="25">
        <v>2.5847438187483973E-5</v>
      </c>
      <c r="BE19" s="25">
        <v>2.6028370254796361E-5</v>
      </c>
      <c r="BF19" s="25">
        <v>2.6210568846579936E-5</v>
      </c>
      <c r="BG19" s="25">
        <v>2.6394042828505995E-5</v>
      </c>
      <c r="BH19" s="25">
        <v>2.6578801128305539E-5</v>
      </c>
      <c r="BI19" s="25">
        <v>2.6764852736203677E-5</v>
      </c>
      <c r="BJ19" s="25">
        <v>2.6952206705357104E-5</v>
      </c>
      <c r="BK19" s="25">
        <v>2.7140872152294603E-5</v>
      </c>
      <c r="BL19" s="25">
        <v>2.7330858257360666E-5</v>
      </c>
      <c r="BM19" s="25">
        <v>2.7522174265162191E-5</v>
      </c>
      <c r="BN19" s="25">
        <v>2.7714829485018327E-5</v>
      </c>
      <c r="BO19" s="25">
        <v>2.7908833291413456E-5</v>
      </c>
      <c r="BP19" s="25">
        <v>2.8104195124453349E-5</v>
      </c>
      <c r="BQ19" s="25">
        <v>2.8300924490324521E-5</v>
      </c>
      <c r="BR19" s="25">
        <v>2.8499030961756792E-5</v>
      </c>
      <c r="BS19" s="25">
        <v>2.8698524178489089E-5</v>
      </c>
      <c r="BT19" s="25">
        <v>2.8899413847738511E-5</v>
      </c>
      <c r="BU19" s="25">
        <v>2.9101709744672679E-5</v>
      </c>
      <c r="BV19" s="25">
        <v>2.9305421712885388E-5</v>
      </c>
      <c r="BW19" s="25">
        <v>2.9510559664875587E-5</v>
      </c>
      <c r="BX19" s="25">
        <v>2.9717133582529715E-5</v>
      </c>
      <c r="BY19" s="25">
        <v>2.9925153517607422E-5</v>
      </c>
      <c r="BZ19" s="25">
        <v>3.0134629592230675E-5</v>
      </c>
      <c r="CA19" s="25">
        <v>3.0345571999376289E-5</v>
      </c>
      <c r="CB19" s="25">
        <v>3.0557991003371919E-5</v>
      </c>
      <c r="CC19" s="25">
        <v>3.0771896940395526E-5</v>
      </c>
      <c r="CD19" s="25">
        <v>3.0987300218978292E-5</v>
      </c>
      <c r="CE19" s="25">
        <v>3.120421132051114E-5</v>
      </c>
      <c r="CF19" s="25">
        <v>3.1422640799754715E-5</v>
      </c>
      <c r="CG19" s="25">
        <v>3.1642599285352998E-5</v>
      </c>
      <c r="CH19" s="25">
        <v>3.1864097480350471E-5</v>
      </c>
      <c r="CI19" s="25">
        <v>3.2087146162712921E-5</v>
      </c>
      <c r="CJ19" s="25">
        <v>3.2311756185851908E-5</v>
      </c>
      <c r="CK19" s="25">
        <v>3.2537938479152873E-5</v>
      </c>
      <c r="CL19" s="25">
        <v>3.2765704048506942E-5</v>
      </c>
      <c r="CM19" s="25">
        <v>3.299506397684649E-5</v>
      </c>
    </row>
    <row r="21" spans="1:91" x14ac:dyDescent="0.25">
      <c r="A21" s="25" t="s">
        <v>6</v>
      </c>
      <c r="B21" s="5">
        <v>0</v>
      </c>
      <c r="C21" s="5">
        <v>0</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25">
        <v>3.7310549777117386E-5</v>
      </c>
      <c r="AG21" s="19">
        <v>3.7387320455671127E-5</v>
      </c>
      <c r="AH21" s="19">
        <v>3.7464091134224867E-5</v>
      </c>
      <c r="AI21" s="19">
        <v>3.7540861812778601E-5</v>
      </c>
      <c r="AJ21" s="19">
        <v>3.7617632491332342E-5</v>
      </c>
      <c r="AK21" s="19">
        <v>3.7694403169886082E-5</v>
      </c>
      <c r="AL21" s="19">
        <v>3.7771173848439823E-5</v>
      </c>
      <c r="AM21" s="19">
        <v>3.7847944526993563E-5</v>
      </c>
      <c r="AN21" s="19">
        <v>3.7924715205547297E-5</v>
      </c>
      <c r="AO21" s="19">
        <v>3.8001485884101038E-5</v>
      </c>
      <c r="AP21" s="19">
        <v>3.8078256562654778E-5</v>
      </c>
      <c r="AQ21" s="19">
        <v>3.8155027241208519E-5</v>
      </c>
      <c r="AR21" s="19">
        <v>3.823179791976226E-5</v>
      </c>
      <c r="AS21" s="19">
        <v>3.8308568598315993E-5</v>
      </c>
      <c r="AT21" s="19">
        <v>3.8385339276869734E-5</v>
      </c>
      <c r="AU21" s="25">
        <v>3.8462109955423475E-5</v>
      </c>
      <c r="AV21" s="19">
        <v>3.8690126860987058E-5</v>
      </c>
      <c r="AW21" s="19">
        <v>3.8918143766550648E-5</v>
      </c>
      <c r="AX21" s="19">
        <v>3.9146160672114232E-5</v>
      </c>
      <c r="AY21" s="19">
        <v>3.9374177577677815E-5</v>
      </c>
      <c r="AZ21" s="19">
        <v>3.9602194483241399E-5</v>
      </c>
      <c r="BA21" s="19">
        <v>3.9830211388804982E-5</v>
      </c>
      <c r="BB21" s="19">
        <v>4.0058228294368573E-5</v>
      </c>
      <c r="BC21" s="19">
        <v>4.0286245199932156E-5</v>
      </c>
      <c r="BD21" s="19">
        <v>4.051426210549574E-5</v>
      </c>
      <c r="BE21" s="19">
        <v>4.074227901105933E-5</v>
      </c>
      <c r="BF21" s="19">
        <v>4.0970295916622914E-5</v>
      </c>
      <c r="BG21" s="19">
        <v>4.1198312822186497E-5</v>
      </c>
      <c r="BH21" s="19">
        <v>4.1426329727750081E-5</v>
      </c>
      <c r="BI21" s="19">
        <v>4.1654346633313664E-5</v>
      </c>
      <c r="BJ21" s="19">
        <v>4.1882363538877255E-5</v>
      </c>
      <c r="BK21" s="19">
        <v>4.2110380444440838E-5</v>
      </c>
      <c r="BL21" s="19">
        <v>4.2338397350004422E-5</v>
      </c>
      <c r="BM21" s="19">
        <v>4.2566414255568012E-5</v>
      </c>
      <c r="BN21" s="19">
        <v>4.2794431161131595E-5</v>
      </c>
      <c r="BO21" s="19">
        <v>4.3022448066695179E-5</v>
      </c>
      <c r="BP21" s="19">
        <v>4.3250464972258763E-5</v>
      </c>
      <c r="BQ21" s="19">
        <v>4.3478481877822346E-5</v>
      </c>
      <c r="BR21" s="19">
        <v>4.3706498783385936E-5</v>
      </c>
      <c r="BS21" s="25">
        <v>4.393451568894952E-5</v>
      </c>
      <c r="BT21" s="19">
        <v>4.393451568894952E-5</v>
      </c>
      <c r="BU21" s="19">
        <v>4.393451568894952E-5</v>
      </c>
      <c r="BV21" s="19">
        <v>4.393451568894952E-5</v>
      </c>
      <c r="BW21" s="19">
        <v>4.393451568894952E-5</v>
      </c>
      <c r="BX21" s="19">
        <v>4.393451568894952E-5</v>
      </c>
      <c r="BY21" s="19">
        <v>4.393451568894952E-5</v>
      </c>
      <c r="BZ21" s="19">
        <v>4.393451568894952E-5</v>
      </c>
      <c r="CA21" s="19">
        <v>4.393451568894952E-5</v>
      </c>
      <c r="CB21" s="19">
        <v>4.393451568894952E-5</v>
      </c>
      <c r="CC21" s="19">
        <v>4.393451568894952E-5</v>
      </c>
      <c r="CD21" s="19">
        <v>4.393451568894952E-5</v>
      </c>
      <c r="CE21" s="19">
        <v>4.393451568894952E-5</v>
      </c>
      <c r="CF21" s="19">
        <v>4.393451568894952E-5</v>
      </c>
      <c r="CG21" s="19">
        <v>4.393451568894952E-5</v>
      </c>
      <c r="CH21" s="19">
        <v>4.393451568894952E-5</v>
      </c>
      <c r="CI21" s="19">
        <v>4.393451568894952E-5</v>
      </c>
      <c r="CJ21" s="19">
        <v>4.393451568894952E-5</v>
      </c>
      <c r="CK21" s="19">
        <v>4.393451568894952E-5</v>
      </c>
      <c r="CL21" s="19">
        <v>4.393451568894952E-5</v>
      </c>
      <c r="CM21" s="25">
        <v>4.393451568894952E-5</v>
      </c>
    </row>
    <row r="22" spans="1:91" x14ac:dyDescent="0.25">
      <c r="A22" s="25" t="s">
        <v>1</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25">
        <v>5.3438335809806834E-5</v>
      </c>
      <c r="AG22" s="19">
        <v>5.3548291233283803E-5</v>
      </c>
      <c r="AH22" s="19">
        <v>5.3658246656760772E-5</v>
      </c>
      <c r="AI22" s="19">
        <v>5.3768202080237741E-5</v>
      </c>
      <c r="AJ22" s="19">
        <v>5.3878157503714709E-5</v>
      </c>
      <c r="AK22" s="19">
        <v>5.3988112927191678E-5</v>
      </c>
      <c r="AL22" s="19">
        <v>5.4098068350668647E-5</v>
      </c>
      <c r="AM22" s="19">
        <v>5.4208023774145616E-5</v>
      </c>
      <c r="AN22" s="19">
        <v>5.4317979197622585E-5</v>
      </c>
      <c r="AO22" s="19">
        <v>5.4427934621099554E-5</v>
      </c>
      <c r="AP22" s="19">
        <v>5.4537890044576523E-5</v>
      </c>
      <c r="AQ22" s="19">
        <v>5.4647845468053492E-5</v>
      </c>
      <c r="AR22" s="19">
        <v>5.4757800891530461E-5</v>
      </c>
      <c r="AS22" s="19">
        <v>5.4867756315007429E-5</v>
      </c>
      <c r="AT22" s="19">
        <v>5.4977711738484398E-5</v>
      </c>
      <c r="AU22" s="25">
        <v>5.5087667161961367E-5</v>
      </c>
      <c r="AV22" s="19">
        <v>5.4915471844219341E-5</v>
      </c>
      <c r="AW22" s="19">
        <v>5.4743276526477322E-5</v>
      </c>
      <c r="AX22" s="19">
        <v>5.4571081208735296E-5</v>
      </c>
      <c r="AY22" s="19">
        <v>5.439888589099327E-5</v>
      </c>
      <c r="AZ22" s="19">
        <v>5.4226690573251244E-5</v>
      </c>
      <c r="BA22" s="19">
        <v>5.4054495255509225E-5</v>
      </c>
      <c r="BB22" s="19">
        <v>5.3882299937767199E-5</v>
      </c>
      <c r="BC22" s="19">
        <v>5.3710104620025173E-5</v>
      </c>
      <c r="BD22" s="19">
        <v>5.3537909302283154E-5</v>
      </c>
      <c r="BE22" s="19">
        <v>5.3365713984541128E-5</v>
      </c>
      <c r="BF22" s="19">
        <v>5.3193518666799102E-5</v>
      </c>
      <c r="BG22" s="19">
        <v>5.3021323349057076E-5</v>
      </c>
      <c r="BH22" s="19">
        <v>5.2849128031315057E-5</v>
      </c>
      <c r="BI22" s="19">
        <v>5.2676932713573031E-5</v>
      </c>
      <c r="BJ22" s="19">
        <v>5.2504737395831005E-5</v>
      </c>
      <c r="BK22" s="19">
        <v>5.2332542078088986E-5</v>
      </c>
      <c r="BL22" s="19">
        <v>5.216034676034696E-5</v>
      </c>
      <c r="BM22" s="19">
        <v>5.1988151442604934E-5</v>
      </c>
      <c r="BN22" s="19">
        <v>5.1815956124862915E-5</v>
      </c>
      <c r="BO22" s="19">
        <v>5.1643760807120889E-5</v>
      </c>
      <c r="BP22" s="19">
        <v>5.1471565489378863E-5</v>
      </c>
      <c r="BQ22" s="19">
        <v>5.1299370171636837E-5</v>
      </c>
      <c r="BR22" s="19">
        <v>5.1127174853894818E-5</v>
      </c>
      <c r="BS22" s="25">
        <v>5.0954979536152792E-5</v>
      </c>
      <c r="BT22" s="19">
        <v>5.0954979536152792E-5</v>
      </c>
      <c r="BU22" s="19">
        <v>5.0954979536152792E-5</v>
      </c>
      <c r="BV22" s="19">
        <v>5.0954979536152792E-5</v>
      </c>
      <c r="BW22" s="19">
        <v>5.0954979536152792E-5</v>
      </c>
      <c r="BX22" s="19">
        <v>5.0954979536152792E-5</v>
      </c>
      <c r="BY22" s="19">
        <v>5.0954979536152792E-5</v>
      </c>
      <c r="BZ22" s="19">
        <v>5.0954979536152792E-5</v>
      </c>
      <c r="CA22" s="19">
        <v>5.0954979536152792E-5</v>
      </c>
      <c r="CB22" s="19">
        <v>5.0954979536152792E-5</v>
      </c>
      <c r="CC22" s="19">
        <v>5.0954979536152792E-5</v>
      </c>
      <c r="CD22" s="19">
        <v>5.0954979536152792E-5</v>
      </c>
      <c r="CE22" s="19">
        <v>5.0954979536152792E-5</v>
      </c>
      <c r="CF22" s="19">
        <v>5.0954979536152792E-5</v>
      </c>
      <c r="CG22" s="19">
        <v>5.0954979536152792E-5</v>
      </c>
      <c r="CH22" s="19">
        <v>5.0954979536152792E-5</v>
      </c>
      <c r="CI22" s="19">
        <v>5.0954979536152792E-5</v>
      </c>
      <c r="CJ22" s="19">
        <v>5.0954979536152792E-5</v>
      </c>
      <c r="CK22" s="19">
        <v>5.0954979536152792E-5</v>
      </c>
      <c r="CL22" s="19">
        <v>5.0954979536152792E-5</v>
      </c>
      <c r="CM22" s="25">
        <v>5.0954979536152792E-5</v>
      </c>
    </row>
    <row r="23" spans="1:91" x14ac:dyDescent="0.25">
      <c r="A23" s="25" t="s">
        <v>1</v>
      </c>
      <c r="B23" s="5">
        <v>0</v>
      </c>
      <c r="C23" s="5">
        <v>0</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25">
        <v>3.8032689450222883E-5</v>
      </c>
      <c r="AG23" s="19">
        <v>3.8110946012877659E-5</v>
      </c>
      <c r="AH23" s="19">
        <v>3.8189202575532442E-5</v>
      </c>
      <c r="AI23" s="19">
        <v>3.8267459138187219E-5</v>
      </c>
      <c r="AJ23" s="19">
        <v>3.8345715700842002E-5</v>
      </c>
      <c r="AK23" s="19">
        <v>3.8423972263496778E-5</v>
      </c>
      <c r="AL23" s="19">
        <v>3.8502228826151561E-5</v>
      </c>
      <c r="AM23" s="19">
        <v>3.8580485388806337E-5</v>
      </c>
      <c r="AN23" s="19">
        <v>3.865874195146112E-5</v>
      </c>
      <c r="AO23" s="19">
        <v>3.8736998514115897E-5</v>
      </c>
      <c r="AP23" s="19">
        <v>3.881525507677068E-5</v>
      </c>
      <c r="AQ23" s="19">
        <v>3.8893511639425456E-5</v>
      </c>
      <c r="AR23" s="19">
        <v>3.8971768202080239E-5</v>
      </c>
      <c r="AS23" s="19">
        <v>3.9050024764735016E-5</v>
      </c>
      <c r="AT23" s="19">
        <v>3.9128281327389799E-5</v>
      </c>
      <c r="AU23" s="25">
        <v>3.9206537890044575E-5</v>
      </c>
      <c r="AV23" s="19">
        <v>3.9035528779460066E-5</v>
      </c>
      <c r="AW23" s="19">
        <v>3.8864519668875558E-5</v>
      </c>
      <c r="AX23" s="19">
        <v>3.8693510558291049E-5</v>
      </c>
      <c r="AY23" s="19">
        <v>3.8522501447706541E-5</v>
      </c>
      <c r="AZ23" s="19">
        <v>3.8351492337122032E-5</v>
      </c>
      <c r="BA23" s="19">
        <v>3.8180483226537523E-5</v>
      </c>
      <c r="BB23" s="19">
        <v>3.8009474115953015E-5</v>
      </c>
      <c r="BC23" s="19">
        <v>3.7838465005368506E-5</v>
      </c>
      <c r="BD23" s="19">
        <v>3.7667455894783998E-5</v>
      </c>
      <c r="BE23" s="19">
        <v>3.7496446784199489E-5</v>
      </c>
      <c r="BF23" s="19">
        <v>3.7325437673614981E-5</v>
      </c>
      <c r="BG23" s="19">
        <v>3.7154428563030472E-5</v>
      </c>
      <c r="BH23" s="19">
        <v>3.6983419452445963E-5</v>
      </c>
      <c r="BI23" s="19">
        <v>3.6812410341861455E-5</v>
      </c>
      <c r="BJ23" s="19">
        <v>3.6641401231276946E-5</v>
      </c>
      <c r="BK23" s="19">
        <v>3.6470392120692438E-5</v>
      </c>
      <c r="BL23" s="19">
        <v>3.6299383010107929E-5</v>
      </c>
      <c r="BM23" s="19">
        <v>3.612837389952342E-5</v>
      </c>
      <c r="BN23" s="19">
        <v>3.5957364788938912E-5</v>
      </c>
      <c r="BO23" s="19">
        <v>3.5786355678354403E-5</v>
      </c>
      <c r="BP23" s="19">
        <v>3.5615346567769895E-5</v>
      </c>
      <c r="BQ23" s="19">
        <v>3.5444337457185386E-5</v>
      </c>
      <c r="BR23" s="19">
        <v>3.5273328346600878E-5</v>
      </c>
      <c r="BS23" s="25">
        <v>3.5102319236016369E-5</v>
      </c>
      <c r="BT23" s="19">
        <v>3.5102319236016369E-5</v>
      </c>
      <c r="BU23" s="19">
        <v>3.5102319236016369E-5</v>
      </c>
      <c r="BV23" s="19">
        <v>3.5102319236016369E-5</v>
      </c>
      <c r="BW23" s="19">
        <v>3.5102319236016369E-5</v>
      </c>
      <c r="BX23" s="19">
        <v>3.5102319236016369E-5</v>
      </c>
      <c r="BY23" s="19">
        <v>3.5102319236016369E-5</v>
      </c>
      <c r="BZ23" s="19">
        <v>3.5102319236016369E-5</v>
      </c>
      <c r="CA23" s="19">
        <v>3.5102319236016369E-5</v>
      </c>
      <c r="CB23" s="19">
        <v>3.5102319236016369E-5</v>
      </c>
      <c r="CC23" s="19">
        <v>3.5102319236016369E-5</v>
      </c>
      <c r="CD23" s="19">
        <v>3.5102319236016369E-5</v>
      </c>
      <c r="CE23" s="19">
        <v>3.5102319236016369E-5</v>
      </c>
      <c r="CF23" s="19">
        <v>3.5102319236016369E-5</v>
      </c>
      <c r="CG23" s="19">
        <v>3.5102319236016369E-5</v>
      </c>
      <c r="CH23" s="19">
        <v>3.5102319236016369E-5</v>
      </c>
      <c r="CI23" s="19">
        <v>3.5102319236016369E-5</v>
      </c>
      <c r="CJ23" s="19">
        <v>3.5102319236016369E-5</v>
      </c>
      <c r="CK23" s="19">
        <v>3.5102319236016369E-5</v>
      </c>
      <c r="CL23" s="19">
        <v>3.5102319236016369E-5</v>
      </c>
      <c r="CM23" s="25">
        <v>3.5102319236016369E-5</v>
      </c>
    </row>
    <row r="24" spans="1:91" x14ac:dyDescent="0.25">
      <c r="A24" s="25" t="s">
        <v>1</v>
      </c>
      <c r="B24" s="5">
        <v>0</v>
      </c>
      <c r="C24" s="5">
        <v>0</v>
      </c>
      <c r="D24" s="5">
        <v>0</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25">
        <v>3.3218424962852898E-5</v>
      </c>
      <c r="AG24" s="19">
        <v>3.3286775631500744E-5</v>
      </c>
      <c r="AH24" s="19">
        <v>3.3355126300148591E-5</v>
      </c>
      <c r="AI24" s="19">
        <v>3.3423476968796431E-5</v>
      </c>
      <c r="AJ24" s="19">
        <v>3.3491827637444278E-5</v>
      </c>
      <c r="AK24" s="19">
        <v>3.3560178306092124E-5</v>
      </c>
      <c r="AL24" s="19">
        <v>3.3628528974739971E-5</v>
      </c>
      <c r="AM24" s="19">
        <v>3.3696879643387817E-5</v>
      </c>
      <c r="AN24" s="19">
        <v>3.3765230312035657E-5</v>
      </c>
      <c r="AO24" s="19">
        <v>3.3833580980683504E-5</v>
      </c>
      <c r="AP24" s="19">
        <v>3.3901931649331351E-5</v>
      </c>
      <c r="AQ24" s="19">
        <v>3.3970282317979197E-5</v>
      </c>
      <c r="AR24" s="19">
        <v>3.4038632986627044E-5</v>
      </c>
      <c r="AS24" s="19">
        <v>3.4106983655274884E-5</v>
      </c>
      <c r="AT24" s="19">
        <v>3.417533432392273E-5</v>
      </c>
      <c r="AU24" s="25">
        <v>3.4243684992570577E-5</v>
      </c>
      <c r="AV24" s="19">
        <v>3.4317205848666858E-5</v>
      </c>
      <c r="AW24" s="19">
        <v>3.4390726704763139E-5</v>
      </c>
      <c r="AX24" s="19">
        <v>3.446424756085942E-5</v>
      </c>
      <c r="AY24" s="19">
        <v>3.4537768416955701E-5</v>
      </c>
      <c r="AZ24" s="19">
        <v>3.4611289273051982E-5</v>
      </c>
      <c r="BA24" s="19">
        <v>3.4684810129148263E-5</v>
      </c>
      <c r="BB24" s="19">
        <v>3.4758330985244537E-5</v>
      </c>
      <c r="BC24" s="19">
        <v>3.4831851841340818E-5</v>
      </c>
      <c r="BD24" s="19">
        <v>3.4905372697437099E-5</v>
      </c>
      <c r="BE24" s="19">
        <v>3.497889355353338E-5</v>
      </c>
      <c r="BF24" s="19">
        <v>3.5052414409629662E-5</v>
      </c>
      <c r="BG24" s="19">
        <v>3.5125935265725943E-5</v>
      </c>
      <c r="BH24" s="19">
        <v>3.5199456121822224E-5</v>
      </c>
      <c r="BI24" s="19">
        <v>3.5272976977918505E-5</v>
      </c>
      <c r="BJ24" s="19">
        <v>3.5346497834014786E-5</v>
      </c>
      <c r="BK24" s="19">
        <v>3.5420018690111067E-5</v>
      </c>
      <c r="BL24" s="19">
        <v>3.5493539546207348E-5</v>
      </c>
      <c r="BM24" s="19">
        <v>3.5567060402303622E-5</v>
      </c>
      <c r="BN24" s="19">
        <v>3.5640581258399903E-5</v>
      </c>
      <c r="BO24" s="19">
        <v>3.5714102114496184E-5</v>
      </c>
      <c r="BP24" s="19">
        <v>3.5787622970592465E-5</v>
      </c>
      <c r="BQ24" s="19">
        <v>3.5861143826688746E-5</v>
      </c>
      <c r="BR24" s="19">
        <v>3.5934664682785027E-5</v>
      </c>
      <c r="BS24" s="25">
        <v>3.6008185538881308E-5</v>
      </c>
      <c r="BT24" s="19">
        <v>3.6008185538881308E-5</v>
      </c>
      <c r="BU24" s="19">
        <v>3.6008185538881308E-5</v>
      </c>
      <c r="BV24" s="19">
        <v>3.6008185538881308E-5</v>
      </c>
      <c r="BW24" s="19">
        <v>3.6008185538881308E-5</v>
      </c>
      <c r="BX24" s="19">
        <v>3.6008185538881308E-5</v>
      </c>
      <c r="BY24" s="19">
        <v>3.6008185538881308E-5</v>
      </c>
      <c r="BZ24" s="19">
        <v>3.6008185538881308E-5</v>
      </c>
      <c r="CA24" s="19">
        <v>3.6008185538881308E-5</v>
      </c>
      <c r="CB24" s="19">
        <v>3.6008185538881308E-5</v>
      </c>
      <c r="CC24" s="19">
        <v>3.6008185538881308E-5</v>
      </c>
      <c r="CD24" s="19">
        <v>3.6008185538881308E-5</v>
      </c>
      <c r="CE24" s="19">
        <v>3.6008185538881308E-5</v>
      </c>
      <c r="CF24" s="19">
        <v>3.6008185538881308E-5</v>
      </c>
      <c r="CG24" s="19">
        <v>3.6008185538881308E-5</v>
      </c>
      <c r="CH24" s="19">
        <v>3.6008185538881308E-5</v>
      </c>
      <c r="CI24" s="19">
        <v>3.6008185538881308E-5</v>
      </c>
      <c r="CJ24" s="19">
        <v>3.6008185538881308E-5</v>
      </c>
      <c r="CK24" s="19">
        <v>3.6008185538881308E-5</v>
      </c>
      <c r="CL24" s="19">
        <v>3.6008185538881308E-5</v>
      </c>
      <c r="CM24" s="25">
        <v>3.6008185538881308E-5</v>
      </c>
    </row>
    <row r="25" spans="1:91" x14ac:dyDescent="0.25">
      <c r="A25" s="25" t="s">
        <v>1</v>
      </c>
      <c r="B25" s="5">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25">
        <v>1.5999999999999999E-5</v>
      </c>
      <c r="AG25" s="19">
        <v>1.6200000000000001E-5</v>
      </c>
      <c r="AH25" s="19">
        <v>1.6399999999999999E-5</v>
      </c>
      <c r="AI25" s="19">
        <v>1.66E-5</v>
      </c>
      <c r="AJ25" s="19">
        <v>1.6799999999999998E-5</v>
      </c>
      <c r="AK25" s="19">
        <v>1.7E-5</v>
      </c>
      <c r="AL25" s="19">
        <v>1.7200000000000001E-5</v>
      </c>
      <c r="AM25" s="19">
        <v>1.7399999999999999E-5</v>
      </c>
      <c r="AN25" s="19">
        <v>1.7600000000000001E-5</v>
      </c>
      <c r="AO25" s="19">
        <v>1.7799999999999999E-5</v>
      </c>
      <c r="AP25" s="19">
        <v>1.8E-5</v>
      </c>
      <c r="AQ25" s="19">
        <v>1.8200000000000002E-5</v>
      </c>
      <c r="AR25" s="19">
        <v>1.84E-5</v>
      </c>
      <c r="AS25" s="19">
        <v>1.8600000000000001E-5</v>
      </c>
      <c r="AT25" s="19">
        <v>1.88E-5</v>
      </c>
      <c r="AU25" s="25">
        <v>1.9000000000000001E-5</v>
      </c>
      <c r="AV25" s="19">
        <v>1.9041666666666668E-5</v>
      </c>
      <c r="AW25" s="19">
        <v>1.9083333333333334E-5</v>
      </c>
      <c r="AX25" s="19">
        <v>1.9125000000000001E-5</v>
      </c>
      <c r="AY25" s="19">
        <v>1.9166666666666667E-5</v>
      </c>
      <c r="AZ25" s="19">
        <v>1.9208333333333334E-5</v>
      </c>
      <c r="BA25" s="19">
        <v>1.925E-5</v>
      </c>
      <c r="BB25" s="19">
        <v>1.9291666666666667E-5</v>
      </c>
      <c r="BC25" s="19">
        <v>1.9333333333333333E-5</v>
      </c>
      <c r="BD25" s="19">
        <v>1.9375E-5</v>
      </c>
      <c r="BE25" s="19">
        <v>1.9416666666666667E-5</v>
      </c>
      <c r="BF25" s="19">
        <v>1.9458333333333333E-5</v>
      </c>
      <c r="BG25" s="19">
        <v>1.95E-5</v>
      </c>
      <c r="BH25" s="19">
        <v>1.954166666666667E-5</v>
      </c>
      <c r="BI25" s="19">
        <v>1.9583333333333336E-5</v>
      </c>
      <c r="BJ25" s="19">
        <v>1.9625000000000003E-5</v>
      </c>
      <c r="BK25" s="19">
        <v>1.9666666666666669E-5</v>
      </c>
      <c r="BL25" s="19">
        <v>1.9708333333333336E-5</v>
      </c>
      <c r="BM25" s="19">
        <v>1.9750000000000002E-5</v>
      </c>
      <c r="BN25" s="19">
        <v>1.9791666666666669E-5</v>
      </c>
      <c r="BO25" s="19">
        <v>1.9833333333333335E-5</v>
      </c>
      <c r="BP25" s="19">
        <v>1.9875000000000002E-5</v>
      </c>
      <c r="BQ25" s="19">
        <v>1.9916666666666669E-5</v>
      </c>
      <c r="BR25" s="19">
        <v>1.9958333333333335E-5</v>
      </c>
      <c r="BS25" s="25">
        <v>2.0000000000000002E-5</v>
      </c>
      <c r="BT25" s="19">
        <v>2.0050000000000003E-5</v>
      </c>
      <c r="BU25" s="19">
        <v>2.0100000000000001E-5</v>
      </c>
      <c r="BV25" s="19">
        <v>2.0150000000000002E-5</v>
      </c>
      <c r="BW25" s="19">
        <v>2.02E-5</v>
      </c>
      <c r="BX25" s="19">
        <v>2.0250000000000001E-5</v>
      </c>
      <c r="BY25" s="19">
        <v>2.0300000000000002E-5</v>
      </c>
      <c r="BZ25" s="19">
        <v>2.035E-5</v>
      </c>
      <c r="CA25" s="19">
        <v>2.0400000000000001E-5</v>
      </c>
      <c r="CB25" s="19">
        <v>2.0449999999999999E-5</v>
      </c>
      <c r="CC25" s="19">
        <v>2.05E-5</v>
      </c>
      <c r="CD25" s="19">
        <v>2.0550000000000001E-5</v>
      </c>
      <c r="CE25" s="19">
        <v>2.0599999999999999E-5</v>
      </c>
      <c r="CF25" s="19">
        <v>2.065E-5</v>
      </c>
      <c r="CG25" s="19">
        <v>2.0699999999999998E-5</v>
      </c>
      <c r="CH25" s="19">
        <v>2.075E-5</v>
      </c>
      <c r="CI25" s="19">
        <v>2.0800000000000001E-5</v>
      </c>
      <c r="CJ25" s="19">
        <v>2.0849999999999999E-5</v>
      </c>
      <c r="CK25" s="19">
        <v>2.09E-5</v>
      </c>
      <c r="CL25" s="19">
        <v>2.0949999999999998E-5</v>
      </c>
      <c r="CM25" s="25">
        <v>2.0999999999999999E-5</v>
      </c>
    </row>
    <row r="26" spans="1:91" x14ac:dyDescent="0.25">
      <c r="A26" s="25" t="s">
        <v>1</v>
      </c>
      <c r="B26" s="5">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25">
        <v>3.6000000000000001E-5</v>
      </c>
      <c r="AG26" s="19">
        <v>3.5866666666666667E-5</v>
      </c>
      <c r="AH26" s="19">
        <v>3.5733333333333332E-5</v>
      </c>
      <c r="AI26" s="19">
        <v>3.5599999999999998E-5</v>
      </c>
      <c r="AJ26" s="19">
        <v>3.546666666666667E-5</v>
      </c>
      <c r="AK26" s="19">
        <v>3.5333333333333336E-5</v>
      </c>
      <c r="AL26" s="19">
        <v>3.5200000000000002E-5</v>
      </c>
      <c r="AM26" s="19">
        <v>3.5066666666666667E-5</v>
      </c>
      <c r="AN26" s="19">
        <v>3.4933333333333333E-5</v>
      </c>
      <c r="AO26" s="19">
        <v>3.4799999999999999E-5</v>
      </c>
      <c r="AP26" s="19">
        <v>3.4666666666666665E-5</v>
      </c>
      <c r="AQ26" s="19">
        <v>3.453333333333333E-5</v>
      </c>
      <c r="AR26" s="19">
        <v>3.4400000000000003E-5</v>
      </c>
      <c r="AS26" s="19">
        <v>3.4266666666666668E-5</v>
      </c>
      <c r="AT26" s="19">
        <v>3.4133333333333334E-5</v>
      </c>
      <c r="AU26" s="25">
        <v>3.4E-5</v>
      </c>
      <c r="AV26" s="19">
        <v>3.3958333333333337E-5</v>
      </c>
      <c r="AW26" s="19">
        <v>3.3916666666666667E-5</v>
      </c>
      <c r="AX26" s="19">
        <v>3.3874999999999997E-5</v>
      </c>
      <c r="AY26" s="19">
        <v>3.3833333333333334E-5</v>
      </c>
      <c r="AZ26" s="19">
        <v>3.379166666666667E-5</v>
      </c>
      <c r="BA26" s="19">
        <v>3.375E-5</v>
      </c>
      <c r="BB26" s="19">
        <v>3.370833333333333E-5</v>
      </c>
      <c r="BC26" s="19">
        <v>3.3666666666666667E-5</v>
      </c>
      <c r="BD26" s="19">
        <v>3.3625000000000004E-5</v>
      </c>
      <c r="BE26" s="19">
        <v>3.3583333333333334E-5</v>
      </c>
      <c r="BF26" s="19">
        <v>3.3541666666666664E-5</v>
      </c>
      <c r="BG26" s="19">
        <v>3.3500000000000001E-5</v>
      </c>
      <c r="BH26" s="19">
        <v>3.3458333333333338E-5</v>
      </c>
      <c r="BI26" s="19">
        <v>3.3416666666666668E-5</v>
      </c>
      <c r="BJ26" s="19">
        <v>3.3374999999999998E-5</v>
      </c>
      <c r="BK26" s="19">
        <v>3.3333333333333335E-5</v>
      </c>
      <c r="BL26" s="19">
        <v>3.3291666666666672E-5</v>
      </c>
      <c r="BM26" s="19">
        <v>3.3250000000000002E-5</v>
      </c>
      <c r="BN26" s="19">
        <v>3.3208333333333332E-5</v>
      </c>
      <c r="BO26" s="19">
        <v>3.3166666666666669E-5</v>
      </c>
      <c r="BP26" s="19">
        <v>3.3125000000000006E-5</v>
      </c>
      <c r="BQ26" s="19">
        <v>3.3083333333333336E-5</v>
      </c>
      <c r="BR26" s="19">
        <v>3.3041666666666666E-5</v>
      </c>
      <c r="BS26" s="25">
        <v>3.3000000000000003E-5</v>
      </c>
      <c r="BT26" s="19">
        <v>3.3000000000000003E-5</v>
      </c>
      <c r="BU26" s="19">
        <v>3.3000000000000003E-5</v>
      </c>
      <c r="BV26" s="19">
        <v>3.3000000000000003E-5</v>
      </c>
      <c r="BW26" s="19">
        <v>3.3000000000000003E-5</v>
      </c>
      <c r="BX26" s="19">
        <v>3.3000000000000003E-5</v>
      </c>
      <c r="BY26" s="19">
        <v>3.3000000000000003E-5</v>
      </c>
      <c r="BZ26" s="19">
        <v>3.3000000000000003E-5</v>
      </c>
      <c r="CA26" s="19">
        <v>3.3000000000000003E-5</v>
      </c>
      <c r="CB26" s="19">
        <v>3.3000000000000003E-5</v>
      </c>
      <c r="CC26" s="19">
        <v>3.3000000000000003E-5</v>
      </c>
      <c r="CD26" s="19">
        <v>3.3000000000000003E-5</v>
      </c>
      <c r="CE26" s="19">
        <v>3.3000000000000003E-5</v>
      </c>
      <c r="CF26" s="19">
        <v>3.3000000000000003E-5</v>
      </c>
      <c r="CG26" s="19">
        <v>3.3000000000000003E-5</v>
      </c>
      <c r="CH26" s="19">
        <v>3.3000000000000003E-5</v>
      </c>
      <c r="CI26" s="19">
        <v>3.3000000000000003E-5</v>
      </c>
      <c r="CJ26" s="19">
        <v>3.3000000000000003E-5</v>
      </c>
      <c r="CK26" s="19">
        <v>3.3000000000000003E-5</v>
      </c>
      <c r="CL26" s="19">
        <v>3.3000000000000003E-5</v>
      </c>
      <c r="CM26" s="25">
        <v>3.3000000000000003E-5</v>
      </c>
    </row>
    <row r="28" spans="1:91" x14ac:dyDescent="0.25">
      <c r="A28" s="25" t="s">
        <v>7</v>
      </c>
      <c r="B28" s="5">
        <v>0</v>
      </c>
      <c r="C28" s="5">
        <v>0</v>
      </c>
      <c r="D28" s="5">
        <v>0</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0</v>
      </c>
      <c r="AE28" s="5">
        <v>0</v>
      </c>
      <c r="AF28" s="25">
        <v>8.0900000000000001E-5</v>
      </c>
      <c r="AG28" s="19">
        <v>8.0833333333333338E-5</v>
      </c>
      <c r="AH28" s="19">
        <v>8.0766666666666674E-5</v>
      </c>
      <c r="AI28" s="19">
        <v>8.0699999999999996E-5</v>
      </c>
      <c r="AJ28" s="19">
        <v>8.0633333333333333E-5</v>
      </c>
      <c r="AK28" s="19">
        <v>8.0566666666666669E-5</v>
      </c>
      <c r="AL28" s="19">
        <v>8.0500000000000005E-5</v>
      </c>
      <c r="AM28" s="19">
        <v>8.0433333333333341E-5</v>
      </c>
      <c r="AN28" s="19">
        <v>8.0366666666666664E-5</v>
      </c>
      <c r="AO28" s="19">
        <v>8.03E-5</v>
      </c>
      <c r="AP28" s="19">
        <v>8.0233333333333337E-5</v>
      </c>
      <c r="AQ28" s="19">
        <v>8.0166666666666673E-5</v>
      </c>
      <c r="AR28" s="19">
        <v>8.0100000000000009E-5</v>
      </c>
      <c r="AS28" s="19">
        <v>8.0033333333333332E-5</v>
      </c>
      <c r="AT28" s="19">
        <v>7.9966666666666668E-5</v>
      </c>
      <c r="AU28" s="25">
        <v>7.9900000000000004E-5</v>
      </c>
      <c r="AV28" s="19">
        <v>7.9790909090909099E-5</v>
      </c>
      <c r="AW28" s="19">
        <v>7.9681818181818179E-5</v>
      </c>
      <c r="AX28" s="19">
        <v>7.9572727272727274E-5</v>
      </c>
      <c r="AY28" s="19">
        <v>7.9463636363636368E-5</v>
      </c>
      <c r="AZ28" s="19">
        <v>7.9354545454545463E-5</v>
      </c>
      <c r="BA28" s="19">
        <v>7.9245454545454544E-5</v>
      </c>
      <c r="BB28" s="19">
        <v>7.9136363636363638E-5</v>
      </c>
      <c r="BC28" s="19">
        <v>7.9027272727272732E-5</v>
      </c>
      <c r="BD28" s="19">
        <v>7.8918181818181827E-5</v>
      </c>
      <c r="BE28" s="19">
        <v>7.8809090909090908E-5</v>
      </c>
      <c r="BF28" s="19">
        <v>7.8700000000000002E-5</v>
      </c>
      <c r="BG28" s="19">
        <v>7.8590909090909096E-5</v>
      </c>
      <c r="BH28" s="19">
        <v>7.8481818181818177E-5</v>
      </c>
      <c r="BI28" s="19">
        <v>7.8372727272727272E-5</v>
      </c>
      <c r="BJ28" s="19">
        <v>7.8263636363636366E-5</v>
      </c>
      <c r="BK28" s="19">
        <v>7.8154545454545461E-5</v>
      </c>
      <c r="BL28" s="19">
        <v>7.8045454545454541E-5</v>
      </c>
      <c r="BM28" s="19">
        <v>7.7936363636363636E-5</v>
      </c>
      <c r="BN28" s="19">
        <v>7.782727272727273E-5</v>
      </c>
      <c r="BO28" s="19">
        <v>7.7718181818181825E-5</v>
      </c>
      <c r="BP28" s="19">
        <v>7.7609090909090906E-5</v>
      </c>
      <c r="BQ28" s="19">
        <v>7.75E-5</v>
      </c>
      <c r="BR28" s="19">
        <v>7.7390909090909094E-5</v>
      </c>
      <c r="BS28" s="25">
        <v>7.6000000000000004E-5</v>
      </c>
      <c r="BT28" s="19">
        <v>7.5955E-5</v>
      </c>
      <c r="BU28" s="19">
        <v>7.5909999999999997E-5</v>
      </c>
      <c r="BV28" s="19">
        <v>7.5865000000000006E-5</v>
      </c>
      <c r="BW28" s="19">
        <v>7.5820000000000003E-5</v>
      </c>
      <c r="BX28" s="19">
        <v>7.5774999999999999E-5</v>
      </c>
      <c r="BY28" s="19">
        <v>7.5730000000000008E-5</v>
      </c>
      <c r="BZ28" s="19">
        <v>7.5685000000000005E-5</v>
      </c>
      <c r="CA28" s="19">
        <v>7.5640000000000001E-5</v>
      </c>
      <c r="CB28" s="19">
        <v>7.5594999999999997E-5</v>
      </c>
      <c r="CC28" s="19">
        <v>7.5549999999999993E-5</v>
      </c>
      <c r="CD28" s="19">
        <v>7.5505000000000003E-5</v>
      </c>
      <c r="CE28" s="19">
        <v>7.5459999999999999E-5</v>
      </c>
      <c r="CF28" s="19">
        <v>7.5414999999999995E-5</v>
      </c>
      <c r="CG28" s="19">
        <v>7.5370000000000005E-5</v>
      </c>
      <c r="CH28" s="19">
        <v>7.5325000000000001E-5</v>
      </c>
      <c r="CI28" s="19">
        <v>7.5279999999999998E-5</v>
      </c>
      <c r="CJ28" s="19">
        <v>7.5234999999999994E-5</v>
      </c>
      <c r="CK28" s="19">
        <v>7.518999999999999E-5</v>
      </c>
      <c r="CL28" s="19">
        <v>7.5145E-5</v>
      </c>
      <c r="CM28" s="25">
        <v>7.5099999999999996E-5</v>
      </c>
    </row>
    <row r="30" spans="1:91" x14ac:dyDescent="0.25">
      <c r="A30" s="17" t="s">
        <v>13</v>
      </c>
      <c r="B30" s="5">
        <v>0</v>
      </c>
      <c r="C30" s="5">
        <v>0</v>
      </c>
      <c r="D30" s="5">
        <v>0</v>
      </c>
      <c r="E30" s="5">
        <v>0</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0</v>
      </c>
      <c r="AE30" s="5">
        <v>0</v>
      </c>
      <c r="AF30" s="45">
        <v>2.8586557155908612E-3</v>
      </c>
      <c r="AG30" s="45">
        <v>2.909963886131464E-3</v>
      </c>
      <c r="AH30" s="45">
        <v>2.9612720566720677E-3</v>
      </c>
      <c r="AI30" s="45">
        <v>3.0125802272126705E-3</v>
      </c>
      <c r="AJ30" s="45">
        <v>3.0638883977532742E-3</v>
      </c>
      <c r="AK30" s="45">
        <v>3.1151965682938766E-3</v>
      </c>
      <c r="AL30" s="45">
        <v>3.1665047388344802E-3</v>
      </c>
      <c r="AM30" s="45">
        <v>3.2178129093750835E-3</v>
      </c>
      <c r="AN30" s="45">
        <v>3.2691210799156863E-3</v>
      </c>
      <c r="AO30" s="45">
        <v>3.3204292504562887E-3</v>
      </c>
      <c r="AP30" s="45">
        <v>3.3717374209968911E-3</v>
      </c>
      <c r="AQ30" s="45">
        <v>3.4230455915374956E-3</v>
      </c>
      <c r="AR30" s="45">
        <v>3.474353762078098E-3</v>
      </c>
      <c r="AS30" s="45">
        <v>3.5256619326187004E-3</v>
      </c>
      <c r="AT30" s="45">
        <v>3.5769701031593041E-3</v>
      </c>
      <c r="AU30" s="45">
        <v>3.6282782736999073E-3</v>
      </c>
      <c r="AV30" s="45">
        <v>3.6601435786098075E-3</v>
      </c>
      <c r="AW30" s="45">
        <v>3.6920088835197063E-3</v>
      </c>
      <c r="AX30" s="45">
        <v>3.7238741884296055E-3</v>
      </c>
      <c r="AY30" s="45">
        <v>3.7557394933395052E-3</v>
      </c>
      <c r="AZ30" s="45">
        <v>3.7876047982494045E-3</v>
      </c>
      <c r="BA30" s="45">
        <v>3.8194701031593042E-3</v>
      </c>
      <c r="BB30" s="45">
        <v>3.8513354080692043E-3</v>
      </c>
      <c r="BC30" s="45">
        <v>3.8832007129791031E-3</v>
      </c>
      <c r="BD30" s="45">
        <v>3.9150660178890037E-3</v>
      </c>
      <c r="BE30" s="45">
        <v>3.9469313227989029E-3</v>
      </c>
      <c r="BF30" s="45">
        <v>3.9787966277088022E-3</v>
      </c>
      <c r="BG30" s="45">
        <v>4.0106619326187015E-3</v>
      </c>
      <c r="BH30" s="45">
        <v>4.0425272375286016E-3</v>
      </c>
      <c r="BI30" s="45">
        <v>4.0743925424385008E-3</v>
      </c>
      <c r="BJ30" s="45">
        <v>4.1062578473483992E-3</v>
      </c>
      <c r="BK30" s="45">
        <v>4.1381231522582993E-3</v>
      </c>
      <c r="BL30" s="45">
        <v>4.1699884571681986E-3</v>
      </c>
      <c r="BM30" s="45">
        <v>4.2018537620780979E-3</v>
      </c>
      <c r="BN30" s="45">
        <v>4.233719066987998E-3</v>
      </c>
      <c r="BO30" s="45">
        <v>4.2655843718978972E-3</v>
      </c>
      <c r="BP30" s="45">
        <v>4.2974496768077956E-3</v>
      </c>
      <c r="BQ30" s="45">
        <v>4.3293149817176958E-3</v>
      </c>
      <c r="BR30" s="45">
        <v>4.3611802866275959E-3</v>
      </c>
      <c r="BS30" s="45">
        <v>4.3930455915374969E-3</v>
      </c>
      <c r="BT30" s="45">
        <v>4.4249108964473944E-3</v>
      </c>
      <c r="BU30" s="45">
        <v>4.4567762013572945E-3</v>
      </c>
      <c r="BV30" s="45">
        <v>4.4886415062671938E-3</v>
      </c>
      <c r="BW30" s="45">
        <v>4.520506811177093E-3</v>
      </c>
      <c r="BX30" s="45">
        <v>4.5523721160869923E-3</v>
      </c>
      <c r="BY30" s="45">
        <v>4.5842374209968924E-3</v>
      </c>
      <c r="BZ30" s="45">
        <v>4.6161027259067908E-3</v>
      </c>
      <c r="CA30" s="45">
        <v>4.6479680308166918E-3</v>
      </c>
      <c r="CB30" s="45">
        <v>4.6798333357265902E-3</v>
      </c>
      <c r="CC30" s="45">
        <v>4.7116986406364903E-3</v>
      </c>
      <c r="CD30" s="45">
        <v>4.7435639455463896E-3</v>
      </c>
      <c r="CE30" s="45">
        <v>4.7754292504562897E-3</v>
      </c>
      <c r="CF30" s="45">
        <v>4.8072945553661881E-3</v>
      </c>
      <c r="CG30" s="45">
        <v>4.8391598602760891E-3</v>
      </c>
      <c r="CH30" s="45">
        <v>4.8710251651859866E-3</v>
      </c>
      <c r="CI30" s="45">
        <v>4.9028904700958876E-3</v>
      </c>
      <c r="CJ30" s="45">
        <v>4.9347557750057851E-3</v>
      </c>
      <c r="CK30" s="45">
        <v>4.9666210799156861E-3</v>
      </c>
      <c r="CL30" s="45">
        <v>4.9984863848255862E-3</v>
      </c>
      <c r="CM30" s="45">
        <v>5.0303516897354846E-3</v>
      </c>
    </row>
    <row r="31" spans="1:91" x14ac:dyDescent="0.25">
      <c r="A31" s="17" t="s">
        <v>1</v>
      </c>
      <c r="B31" s="5">
        <v>0</v>
      </c>
      <c r="C31" s="5">
        <v>0</v>
      </c>
      <c r="D31" s="5">
        <v>0</v>
      </c>
      <c r="E31" s="5">
        <v>0</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45">
        <v>2.21991625074704E-3</v>
      </c>
      <c r="AG31" s="45">
        <v>2.2566263371078163E-3</v>
      </c>
      <c r="AH31" s="45">
        <v>2.2933364234685931E-3</v>
      </c>
      <c r="AI31" s="45">
        <v>2.3300465098293689E-3</v>
      </c>
      <c r="AJ31" s="45">
        <v>2.3667565961901457E-3</v>
      </c>
      <c r="AK31" s="45">
        <v>2.403466682550922E-3</v>
      </c>
      <c r="AL31" s="45">
        <v>2.4401767689116983E-3</v>
      </c>
      <c r="AM31" s="45">
        <v>2.4768868552724754E-3</v>
      </c>
      <c r="AN31" s="45">
        <v>2.5135969416332517E-3</v>
      </c>
      <c r="AO31" s="45">
        <v>2.5503070279940276E-3</v>
      </c>
      <c r="AP31" s="45">
        <v>2.5870171143548043E-3</v>
      </c>
      <c r="AQ31" s="45">
        <v>2.6237272007155811E-3</v>
      </c>
      <c r="AR31" s="45">
        <v>2.6604372870763569E-3</v>
      </c>
      <c r="AS31" s="45">
        <v>2.6971473734371336E-3</v>
      </c>
      <c r="AT31" s="45">
        <v>2.7338574597979095E-3</v>
      </c>
      <c r="AU31" s="45">
        <v>2.7705675461586858E-3</v>
      </c>
      <c r="AV31" s="45">
        <v>2.7941732069956472E-3</v>
      </c>
      <c r="AW31" s="45">
        <v>2.8177788678326082E-3</v>
      </c>
      <c r="AX31" s="45">
        <v>2.8413845286695688E-3</v>
      </c>
      <c r="AY31" s="45">
        <v>2.8649901895065294E-3</v>
      </c>
      <c r="AZ31" s="45">
        <v>2.8885958503434904E-3</v>
      </c>
      <c r="BA31" s="45">
        <v>2.9122015111804514E-3</v>
      </c>
      <c r="BB31" s="45">
        <v>2.9358071720174115E-3</v>
      </c>
      <c r="BC31" s="45">
        <v>2.9594128328543738E-3</v>
      </c>
      <c r="BD31" s="45">
        <v>2.9830184936913344E-3</v>
      </c>
      <c r="BE31" s="45">
        <v>3.0066241545282949E-3</v>
      </c>
      <c r="BF31" s="45">
        <v>3.030229815365256E-3</v>
      </c>
      <c r="BG31" s="45">
        <v>3.0538354762022174E-3</v>
      </c>
      <c r="BH31" s="45">
        <v>3.0774411370391771E-3</v>
      </c>
      <c r="BI31" s="45">
        <v>3.1010467978761381E-3</v>
      </c>
      <c r="BJ31" s="45">
        <v>3.1246524587130987E-3</v>
      </c>
      <c r="BK31" s="45">
        <v>3.1482581195500597E-3</v>
      </c>
      <c r="BL31" s="45">
        <v>3.1718637803870211E-3</v>
      </c>
      <c r="BM31" s="45">
        <v>3.1954694412239821E-3</v>
      </c>
      <c r="BN31" s="45">
        <v>3.2190751020609435E-3</v>
      </c>
      <c r="BO31" s="45">
        <v>3.2426807628979037E-3</v>
      </c>
      <c r="BP31" s="45">
        <v>3.2662864237348651E-3</v>
      </c>
      <c r="BQ31" s="45">
        <v>3.2898920845718252E-3</v>
      </c>
      <c r="BR31" s="45">
        <v>3.3134977454087858E-3</v>
      </c>
      <c r="BS31" s="45">
        <v>3.3371034062457468E-3</v>
      </c>
      <c r="BT31" s="45">
        <v>3.3607090670827078E-3</v>
      </c>
      <c r="BU31" s="45">
        <v>3.3843147279196684E-3</v>
      </c>
      <c r="BV31" s="45">
        <v>3.4079203887566302E-3</v>
      </c>
      <c r="BW31" s="45">
        <v>3.4315260495935899E-3</v>
      </c>
      <c r="BX31" s="45">
        <v>3.4551317104305514E-3</v>
      </c>
      <c r="BY31" s="45">
        <v>3.4787373712675128E-3</v>
      </c>
      <c r="BZ31" s="45">
        <v>3.5023430321044729E-3</v>
      </c>
      <c r="CA31" s="45">
        <v>3.5259486929414339E-3</v>
      </c>
      <c r="CB31" s="45">
        <v>3.5495543537783945E-3</v>
      </c>
      <c r="CC31" s="45">
        <v>3.5731600146153551E-3</v>
      </c>
      <c r="CD31" s="45">
        <v>3.5967656754523165E-3</v>
      </c>
      <c r="CE31" s="45">
        <v>3.6203713362892771E-3</v>
      </c>
      <c r="CF31" s="45">
        <v>3.6439769971262381E-3</v>
      </c>
      <c r="CG31" s="45">
        <v>3.6675826579631995E-3</v>
      </c>
      <c r="CH31" s="45">
        <v>3.6911883188001609E-3</v>
      </c>
      <c r="CI31" s="45">
        <v>3.7147939796371206E-3</v>
      </c>
      <c r="CJ31" s="45">
        <v>3.7383996404740821E-3</v>
      </c>
      <c r="CK31" s="45">
        <v>3.7620053013110422E-3</v>
      </c>
      <c r="CL31" s="45">
        <v>3.7856109621480032E-3</v>
      </c>
      <c r="CM31" s="45">
        <v>3.8092166229849646E-3</v>
      </c>
    </row>
    <row r="32" spans="1:91" x14ac:dyDescent="0.25">
      <c r="A32" s="17" t="s">
        <v>1</v>
      </c>
      <c r="B32" s="5">
        <v>0</v>
      </c>
      <c r="C32" s="5">
        <v>0</v>
      </c>
      <c r="D32" s="5">
        <v>0</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0</v>
      </c>
      <c r="AF32" s="45">
        <v>3.2695631189309741E-3</v>
      </c>
      <c r="AG32" s="45">
        <v>3.3190680876783053E-3</v>
      </c>
      <c r="AH32" s="45">
        <v>3.3685730564256351E-3</v>
      </c>
      <c r="AI32" s="45">
        <v>3.4180780251729654E-3</v>
      </c>
      <c r="AJ32" s="45">
        <v>3.4675829939202975E-3</v>
      </c>
      <c r="AK32" s="45">
        <v>3.5170879626676278E-3</v>
      </c>
      <c r="AL32" s="45">
        <v>3.566592931414959E-3</v>
      </c>
      <c r="AM32" s="45">
        <v>3.6160979001622893E-3</v>
      </c>
      <c r="AN32" s="45">
        <v>3.66560286890962E-3</v>
      </c>
      <c r="AO32" s="45">
        <v>3.7151078376569512E-3</v>
      </c>
      <c r="AP32" s="45">
        <v>3.764612806404282E-3</v>
      </c>
      <c r="AQ32" s="45">
        <v>3.8141177751516123E-3</v>
      </c>
      <c r="AR32" s="45">
        <v>3.8636227438989435E-3</v>
      </c>
      <c r="AS32" s="45">
        <v>3.9131277126462733E-3</v>
      </c>
      <c r="AT32" s="45">
        <v>3.9626326813936045E-3</v>
      </c>
      <c r="AU32" s="45">
        <v>4.0121376501409357E-3</v>
      </c>
      <c r="AV32" s="45">
        <v>4.0409850921853223E-3</v>
      </c>
      <c r="AW32" s="45">
        <v>4.0698325342297097E-3</v>
      </c>
      <c r="AX32" s="45">
        <v>4.0986799762740963E-3</v>
      </c>
      <c r="AY32" s="45">
        <v>4.127527418318482E-3</v>
      </c>
      <c r="AZ32" s="45">
        <v>4.1563748603628704E-3</v>
      </c>
      <c r="BA32" s="45">
        <v>4.1852223024072561E-3</v>
      </c>
      <c r="BB32" s="45">
        <v>4.2140697444516435E-3</v>
      </c>
      <c r="BC32" s="45">
        <v>4.2429171864960301E-3</v>
      </c>
      <c r="BD32" s="45">
        <v>4.2717646285404158E-3</v>
      </c>
      <c r="BE32" s="45">
        <v>4.3006120705848042E-3</v>
      </c>
      <c r="BF32" s="45">
        <v>4.3294595126291899E-3</v>
      </c>
      <c r="BG32" s="45">
        <v>4.3583069546735782E-3</v>
      </c>
      <c r="BH32" s="45">
        <v>4.3871543967179639E-3</v>
      </c>
      <c r="BI32" s="45">
        <v>4.4160018387623514E-3</v>
      </c>
      <c r="BJ32" s="45">
        <v>4.444849280806738E-3</v>
      </c>
      <c r="BK32" s="45">
        <v>4.4736967228511245E-3</v>
      </c>
      <c r="BL32" s="45">
        <v>4.5025441648955111E-3</v>
      </c>
      <c r="BM32" s="45">
        <v>4.5313916069398994E-3</v>
      </c>
      <c r="BN32" s="45">
        <v>4.5602390489842852E-3</v>
      </c>
      <c r="BO32" s="45">
        <v>4.5890864910286726E-3</v>
      </c>
      <c r="BP32" s="45">
        <v>4.6179339330730601E-3</v>
      </c>
      <c r="BQ32" s="45">
        <v>4.6467813751174458E-3</v>
      </c>
      <c r="BR32" s="45">
        <v>4.6756288171618332E-3</v>
      </c>
      <c r="BS32" s="45">
        <v>4.7044762592062198E-3</v>
      </c>
      <c r="BT32" s="45">
        <v>4.7333237012506073E-3</v>
      </c>
      <c r="BU32" s="45">
        <v>4.762171143294993E-3</v>
      </c>
      <c r="BV32" s="45">
        <v>4.7910185853393805E-3</v>
      </c>
      <c r="BW32" s="45">
        <v>4.8198660273837679E-3</v>
      </c>
      <c r="BX32" s="45">
        <v>4.8487134694281545E-3</v>
      </c>
      <c r="BY32" s="45">
        <v>4.8775609114725419E-3</v>
      </c>
      <c r="BZ32" s="45">
        <v>4.9064083535169277E-3</v>
      </c>
      <c r="CA32" s="45">
        <v>4.9352557955613151E-3</v>
      </c>
      <c r="CB32" s="45">
        <v>4.9641032376057017E-3</v>
      </c>
      <c r="CC32" s="45">
        <v>4.9929506796500883E-3</v>
      </c>
      <c r="CD32" s="45">
        <v>5.0217981216944757E-3</v>
      </c>
      <c r="CE32" s="45">
        <v>5.0506455637388623E-3</v>
      </c>
      <c r="CF32" s="45">
        <v>5.0794930057832489E-3</v>
      </c>
      <c r="CG32" s="45">
        <v>5.1083404478276355E-3</v>
      </c>
      <c r="CH32" s="45">
        <v>5.1371878898720212E-3</v>
      </c>
      <c r="CI32" s="45">
        <v>5.1660353319164087E-3</v>
      </c>
      <c r="CJ32" s="45">
        <v>5.1948827739607961E-3</v>
      </c>
      <c r="CK32" s="45">
        <v>5.2237302160051836E-3</v>
      </c>
      <c r="CL32" s="45">
        <v>5.252577658049571E-3</v>
      </c>
      <c r="CM32" s="45">
        <v>5.2814251000939559E-3</v>
      </c>
    </row>
    <row r="33" spans="1:91" x14ac:dyDescent="0.25">
      <c r="A33" s="17" t="s">
        <v>1</v>
      </c>
      <c r="B33" s="5">
        <v>0</v>
      </c>
      <c r="C33" s="5">
        <v>0</v>
      </c>
      <c r="D33" s="5">
        <v>0</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0</v>
      </c>
      <c r="AF33" s="45">
        <v>1.4251346260975677E-3</v>
      </c>
      <c r="AG33" s="45">
        <v>1.4394010133432365E-3</v>
      </c>
      <c r="AH33" s="45">
        <v>1.4536674005889065E-3</v>
      </c>
      <c r="AI33" s="45">
        <v>1.4679337878345756E-3</v>
      </c>
      <c r="AJ33" s="45">
        <v>1.4822001750802451E-3</v>
      </c>
      <c r="AK33" s="45">
        <v>1.4964665623259147E-3</v>
      </c>
      <c r="AL33" s="45">
        <v>1.5107329495715842E-3</v>
      </c>
      <c r="AM33" s="45">
        <v>1.5249993368172535E-3</v>
      </c>
      <c r="AN33" s="45">
        <v>1.5392657240629226E-3</v>
      </c>
      <c r="AO33" s="45">
        <v>1.5535321113085924E-3</v>
      </c>
      <c r="AP33" s="45">
        <v>1.5677984985542617E-3</v>
      </c>
      <c r="AQ33" s="45">
        <v>1.5820648857999312E-3</v>
      </c>
      <c r="AR33" s="45">
        <v>1.5963312730456008E-3</v>
      </c>
      <c r="AS33" s="45">
        <v>1.6105976602912699E-3</v>
      </c>
      <c r="AT33" s="45">
        <v>1.6248640475369394E-3</v>
      </c>
      <c r="AU33" s="45">
        <v>1.6391304347826087E-3</v>
      </c>
      <c r="AV33" s="45">
        <v>1.6512056578914661E-3</v>
      </c>
      <c r="AW33" s="45">
        <v>1.6632808810003231E-3</v>
      </c>
      <c r="AX33" s="45">
        <v>1.6753561041091803E-3</v>
      </c>
      <c r="AY33" s="45">
        <v>1.6874313272180379E-3</v>
      </c>
      <c r="AZ33" s="45">
        <v>1.6995065503268951E-3</v>
      </c>
      <c r="BA33" s="45">
        <v>1.7115817734357521E-3</v>
      </c>
      <c r="BB33" s="45">
        <v>1.7236569965446093E-3</v>
      </c>
      <c r="BC33" s="45">
        <v>1.7357322196534667E-3</v>
      </c>
      <c r="BD33" s="45">
        <v>1.7478074427623236E-3</v>
      </c>
      <c r="BE33" s="45">
        <v>1.759882665871181E-3</v>
      </c>
      <c r="BF33" s="45">
        <v>1.7719578889800382E-3</v>
      </c>
      <c r="BG33" s="45">
        <v>1.7840331120888959E-3</v>
      </c>
      <c r="BH33" s="45">
        <v>1.7961083351977531E-3</v>
      </c>
      <c r="BI33" s="45">
        <v>1.8081835583066094E-3</v>
      </c>
      <c r="BJ33" s="45">
        <v>1.8202587814154672E-3</v>
      </c>
      <c r="BK33" s="45">
        <v>1.8323340045243244E-3</v>
      </c>
      <c r="BL33" s="45">
        <v>1.844409227633182E-3</v>
      </c>
      <c r="BM33" s="45">
        <v>1.8564844507420388E-3</v>
      </c>
      <c r="BN33" s="45">
        <v>1.8685596738508962E-3</v>
      </c>
      <c r="BO33" s="45">
        <v>1.8806348969597534E-3</v>
      </c>
      <c r="BP33" s="45">
        <v>1.8927101200686108E-3</v>
      </c>
      <c r="BQ33" s="45">
        <v>1.9047853431774678E-3</v>
      </c>
      <c r="BR33" s="45">
        <v>1.9168605662863256E-3</v>
      </c>
      <c r="BS33" s="45">
        <v>1.9289357893951824E-3</v>
      </c>
      <c r="BT33" s="45">
        <v>1.9410110125040402E-3</v>
      </c>
      <c r="BU33" s="45">
        <v>1.9530862356128972E-3</v>
      </c>
      <c r="BV33" s="45">
        <v>1.9651614587217541E-3</v>
      </c>
      <c r="BW33" s="45">
        <v>1.9772366818306113E-3</v>
      </c>
      <c r="BX33" s="45">
        <v>1.989311904939469E-3</v>
      </c>
      <c r="BY33" s="45">
        <v>2.0013871280483257E-3</v>
      </c>
      <c r="BZ33" s="45">
        <v>2.0134623511571829E-3</v>
      </c>
      <c r="CA33" s="45">
        <v>2.0255375742660405E-3</v>
      </c>
      <c r="CB33" s="45">
        <v>2.0376127973748973E-3</v>
      </c>
      <c r="CC33" s="45">
        <v>2.0496880204837549E-3</v>
      </c>
      <c r="CD33" s="45">
        <v>2.0617632435926121E-3</v>
      </c>
      <c r="CE33" s="45">
        <v>2.0738384667014697E-3</v>
      </c>
      <c r="CF33" s="45">
        <v>2.0859136898103261E-3</v>
      </c>
      <c r="CG33" s="45">
        <v>2.0979889129191837E-3</v>
      </c>
      <c r="CH33" s="45">
        <v>2.1100641360280409E-3</v>
      </c>
      <c r="CI33" s="45">
        <v>2.1221393591368985E-3</v>
      </c>
      <c r="CJ33" s="45">
        <v>2.1342145822457557E-3</v>
      </c>
      <c r="CK33" s="45">
        <v>2.1462898053546129E-3</v>
      </c>
      <c r="CL33" s="45">
        <v>2.1583650284634701E-3</v>
      </c>
      <c r="CM33" s="45">
        <v>2.1704402515723277E-3</v>
      </c>
    </row>
    <row r="34" spans="1:91" x14ac:dyDescent="0.25">
      <c r="A34" s="17" t="s">
        <v>1</v>
      </c>
      <c r="B34" s="5">
        <v>0</v>
      </c>
      <c r="C34" s="5">
        <v>0</v>
      </c>
      <c r="D34" s="5">
        <v>0</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45">
        <v>1.6577549140049134E-3</v>
      </c>
      <c r="AG34" s="45">
        <v>1.6804361179361179E-3</v>
      </c>
      <c r="AH34" s="45">
        <v>1.7031173218673219E-3</v>
      </c>
      <c r="AI34" s="45">
        <v>1.7257985257985258E-3</v>
      </c>
      <c r="AJ34" s="45">
        <v>1.7484797297297294E-3</v>
      </c>
      <c r="AK34" s="45">
        <v>1.7711609336609332E-3</v>
      </c>
      <c r="AL34" s="45">
        <v>1.7938421375921377E-3</v>
      </c>
      <c r="AM34" s="45">
        <v>1.8165233415233415E-3</v>
      </c>
      <c r="AN34" s="45">
        <v>1.8392045454545453E-3</v>
      </c>
      <c r="AO34" s="45">
        <v>1.8618857493857496E-3</v>
      </c>
      <c r="AP34" s="45">
        <v>1.8845669533169532E-3</v>
      </c>
      <c r="AQ34" s="45">
        <v>1.9072481572481575E-3</v>
      </c>
      <c r="AR34" s="45">
        <v>1.9299293611793611E-3</v>
      </c>
      <c r="AS34" s="45">
        <v>1.9526105651105647E-3</v>
      </c>
      <c r="AT34" s="45">
        <v>1.9752917690417696E-3</v>
      </c>
      <c r="AU34" s="45">
        <v>1.9979729729729728E-3</v>
      </c>
      <c r="AV34" s="45">
        <v>2.0184735872235877E-3</v>
      </c>
      <c r="AW34" s="45">
        <v>2.0389742014742013E-3</v>
      </c>
      <c r="AX34" s="45">
        <v>2.0594748157248153E-3</v>
      </c>
      <c r="AY34" s="45">
        <v>2.0799754299754298E-3</v>
      </c>
      <c r="AZ34" s="45">
        <v>2.1004760442260443E-3</v>
      </c>
      <c r="BA34" s="45">
        <v>2.1209766584766587E-3</v>
      </c>
      <c r="BB34" s="45">
        <v>2.1414772727272723E-3</v>
      </c>
      <c r="BC34" s="45">
        <v>2.1619778869778868E-3</v>
      </c>
      <c r="BD34" s="45">
        <v>2.1824785012285013E-3</v>
      </c>
      <c r="BE34" s="45">
        <v>2.2029791154791153E-3</v>
      </c>
      <c r="BF34" s="45">
        <v>2.2234797297297293E-3</v>
      </c>
      <c r="BG34" s="45">
        <v>2.2439803439803438E-3</v>
      </c>
      <c r="BH34" s="45">
        <v>2.2644809582309583E-3</v>
      </c>
      <c r="BI34" s="45">
        <v>2.2849815724815723E-3</v>
      </c>
      <c r="BJ34" s="45">
        <v>2.3054821867321868E-3</v>
      </c>
      <c r="BK34" s="45">
        <v>2.3259828009828008E-3</v>
      </c>
      <c r="BL34" s="45">
        <v>2.3464834152334153E-3</v>
      </c>
      <c r="BM34" s="45">
        <v>2.3669840294840293E-3</v>
      </c>
      <c r="BN34" s="45">
        <v>2.3874846437346438E-3</v>
      </c>
      <c r="BO34" s="45">
        <v>2.4079852579852574E-3</v>
      </c>
      <c r="BP34" s="45">
        <v>2.4284858722358718E-3</v>
      </c>
      <c r="BQ34" s="45">
        <v>2.4489864864864859E-3</v>
      </c>
      <c r="BR34" s="45">
        <v>2.4694871007371003E-3</v>
      </c>
      <c r="BS34" s="45">
        <v>2.4899877149877148E-3</v>
      </c>
      <c r="BT34" s="45">
        <v>2.5104883292383293E-3</v>
      </c>
      <c r="BU34" s="45">
        <v>2.5309889434889433E-3</v>
      </c>
      <c r="BV34" s="45">
        <v>2.5514895577395573E-3</v>
      </c>
      <c r="BW34" s="45">
        <v>2.5719901719901722E-3</v>
      </c>
      <c r="BX34" s="45">
        <v>2.5924907862407863E-3</v>
      </c>
      <c r="BY34" s="45">
        <v>2.6129914004914007E-3</v>
      </c>
      <c r="BZ34" s="45">
        <v>2.6334920147420139E-3</v>
      </c>
      <c r="CA34" s="45">
        <v>2.6539926289926284E-3</v>
      </c>
      <c r="CB34" s="45">
        <v>2.6744932432432428E-3</v>
      </c>
      <c r="CC34" s="45">
        <v>2.6949938574938573E-3</v>
      </c>
      <c r="CD34" s="45">
        <v>2.7154944717444713E-3</v>
      </c>
      <c r="CE34" s="45">
        <v>2.7359950859950858E-3</v>
      </c>
      <c r="CF34" s="45">
        <v>2.7564957002457007E-3</v>
      </c>
      <c r="CG34" s="45">
        <v>2.7769963144963143E-3</v>
      </c>
      <c r="CH34" s="45">
        <v>2.7974969287469288E-3</v>
      </c>
      <c r="CI34" s="45">
        <v>2.8179975429975424E-3</v>
      </c>
      <c r="CJ34" s="45">
        <v>2.8384981572481573E-3</v>
      </c>
      <c r="CK34" s="45">
        <v>2.8589987714987713E-3</v>
      </c>
      <c r="CL34" s="45">
        <v>2.8794993857493853E-3</v>
      </c>
      <c r="CM34" s="45">
        <v>2.8999999999999998E-3</v>
      </c>
    </row>
    <row r="35" spans="1:91" x14ac:dyDescent="0.25">
      <c r="A35" s="17" t="s">
        <v>1</v>
      </c>
      <c r="B35" s="5">
        <v>0</v>
      </c>
      <c r="C35" s="5">
        <v>0</v>
      </c>
      <c r="D35" s="5">
        <v>0</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45">
        <v>6.1522727272727278E-2</v>
      </c>
      <c r="AG35" s="45">
        <v>6.1954545454545457E-2</v>
      </c>
      <c r="AH35" s="45">
        <v>6.2386363636363643E-2</v>
      </c>
      <c r="AI35" s="45">
        <v>6.2818181818181829E-2</v>
      </c>
      <c r="AJ35" s="45">
        <v>6.3250000000000001E-2</v>
      </c>
      <c r="AK35" s="45">
        <v>6.3681818181818187E-2</v>
      </c>
      <c r="AL35" s="45">
        <v>6.4113636363636373E-2</v>
      </c>
      <c r="AM35" s="45">
        <v>6.4545454545454545E-2</v>
      </c>
      <c r="AN35" s="45">
        <v>6.4977272727272731E-2</v>
      </c>
      <c r="AO35" s="45">
        <v>6.5409090909090917E-2</v>
      </c>
      <c r="AP35" s="45">
        <v>6.5840909090909089E-2</v>
      </c>
      <c r="AQ35" s="45">
        <v>6.6272727272727275E-2</v>
      </c>
      <c r="AR35" s="45">
        <v>6.6704545454545461E-2</v>
      </c>
      <c r="AS35" s="45">
        <v>6.7136363636363633E-2</v>
      </c>
      <c r="AT35" s="45">
        <v>6.7568181818181819E-2</v>
      </c>
      <c r="AU35" s="45">
        <v>6.8000000000000005E-2</v>
      </c>
      <c r="AV35" s="45">
        <v>6.881818181818182E-2</v>
      </c>
      <c r="AW35" s="45">
        <v>6.9636363636363635E-2</v>
      </c>
      <c r="AX35" s="45">
        <v>7.0454545454545464E-2</v>
      </c>
      <c r="AY35" s="45">
        <v>7.1272727272727279E-2</v>
      </c>
      <c r="AZ35" s="45">
        <v>7.2090909090909094E-2</v>
      </c>
      <c r="BA35" s="45">
        <v>7.290909090909091E-2</v>
      </c>
      <c r="BB35" s="45">
        <v>7.3727272727272725E-2</v>
      </c>
      <c r="BC35" s="45">
        <v>7.4545454545454554E-2</v>
      </c>
      <c r="BD35" s="45">
        <v>7.5363636363636369E-2</v>
      </c>
      <c r="BE35" s="45">
        <v>7.6181818181818184E-2</v>
      </c>
      <c r="BF35" s="45">
        <v>7.6999999999999999E-2</v>
      </c>
      <c r="BG35" s="45">
        <v>7.7818181818181814E-2</v>
      </c>
      <c r="BH35" s="45">
        <v>7.8636363636363643E-2</v>
      </c>
      <c r="BI35" s="45">
        <v>7.9454545454545458E-2</v>
      </c>
      <c r="BJ35" s="45">
        <v>8.0272727272727273E-2</v>
      </c>
      <c r="BK35" s="45">
        <v>8.1090909090909088E-2</v>
      </c>
      <c r="BL35" s="45">
        <v>8.1909090909090904E-2</v>
      </c>
      <c r="BM35" s="45">
        <v>8.2727272727272733E-2</v>
      </c>
      <c r="BN35" s="45">
        <v>8.3545454545454548E-2</v>
      </c>
      <c r="BO35" s="45">
        <v>8.4363636363636363E-2</v>
      </c>
      <c r="BP35" s="45">
        <v>8.5181818181818178E-2</v>
      </c>
      <c r="BQ35" s="45">
        <v>8.5999999999999993E-2</v>
      </c>
      <c r="BR35" s="45">
        <v>8.6818181818181822E-2</v>
      </c>
      <c r="BS35" s="45">
        <v>8.7636363636363637E-2</v>
      </c>
      <c r="BT35" s="45">
        <v>8.8454545454545452E-2</v>
      </c>
      <c r="BU35" s="45">
        <v>8.9272727272727267E-2</v>
      </c>
      <c r="BV35" s="45">
        <v>9.0090909090909083E-2</v>
      </c>
      <c r="BW35" s="45">
        <v>9.0909090909090912E-2</v>
      </c>
      <c r="BX35" s="45">
        <v>9.1727272727272727E-2</v>
      </c>
      <c r="BY35" s="45">
        <v>9.2545454545454542E-2</v>
      </c>
      <c r="BZ35" s="45">
        <v>9.3363636363636357E-2</v>
      </c>
      <c r="CA35" s="45">
        <v>9.4181818181818172E-2</v>
      </c>
      <c r="CB35" s="45">
        <v>9.5000000000000001E-2</v>
      </c>
      <c r="CC35" s="45">
        <v>9.5818181818181816E-2</v>
      </c>
      <c r="CD35" s="45">
        <v>9.6636363636363631E-2</v>
      </c>
      <c r="CE35" s="45">
        <v>9.7454545454545446E-2</v>
      </c>
      <c r="CF35" s="45">
        <v>9.8272727272727262E-2</v>
      </c>
      <c r="CG35" s="45">
        <v>9.9090909090909091E-2</v>
      </c>
      <c r="CH35" s="45">
        <v>9.9909090909090906E-2</v>
      </c>
      <c r="CI35" s="45">
        <v>0.10072727272727272</v>
      </c>
      <c r="CJ35" s="45">
        <v>0.10154545454545455</v>
      </c>
      <c r="CK35" s="45">
        <v>0.10236363636363635</v>
      </c>
      <c r="CL35" s="45">
        <v>0.10318181818181818</v>
      </c>
      <c r="CM35" s="45">
        <v>0.104</v>
      </c>
    </row>
    <row r="37" spans="1:91" x14ac:dyDescent="0.25">
      <c r="A37" s="17" t="s">
        <v>15</v>
      </c>
      <c r="B37" s="5">
        <v>0</v>
      </c>
      <c r="C37" s="5">
        <v>0</v>
      </c>
      <c r="D37" s="5">
        <v>0</v>
      </c>
      <c r="E37" s="5">
        <v>0</v>
      </c>
      <c r="F37" s="5">
        <v>0</v>
      </c>
      <c r="G37" s="5">
        <v>0</v>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0</v>
      </c>
      <c r="AE37" s="5">
        <v>0</v>
      </c>
      <c r="AF37" s="19">
        <v>9.6590909090909095E-4</v>
      </c>
      <c r="AG37" s="19">
        <v>9.6818181818181823E-4</v>
      </c>
      <c r="AH37" s="19">
        <v>9.704545454545454E-4</v>
      </c>
      <c r="AI37" s="19">
        <v>9.7272727272727268E-4</v>
      </c>
      <c r="AJ37" s="19">
        <v>9.7499999999999996E-4</v>
      </c>
      <c r="AK37" s="19">
        <v>9.7727272727272723E-4</v>
      </c>
      <c r="AL37" s="19">
        <v>9.7954545454545451E-4</v>
      </c>
      <c r="AM37" s="19">
        <v>9.8181818181818179E-4</v>
      </c>
      <c r="AN37" s="19">
        <v>9.8409090909090907E-4</v>
      </c>
      <c r="AO37" s="19">
        <v>9.8636363636363635E-4</v>
      </c>
      <c r="AP37" s="19">
        <v>9.8863636363636363E-4</v>
      </c>
      <c r="AQ37" s="19">
        <v>9.9090909090909091E-4</v>
      </c>
      <c r="AR37" s="19">
        <v>9.9318181818181818E-4</v>
      </c>
      <c r="AS37" s="19">
        <v>9.9545454545454546E-4</v>
      </c>
      <c r="AT37" s="19">
        <v>9.9772727272727274E-4</v>
      </c>
      <c r="AU37" s="19">
        <v>1E-3</v>
      </c>
      <c r="AV37" s="19">
        <v>1.0363636363636365E-3</v>
      </c>
      <c r="AW37" s="19">
        <v>1.0727272727272727E-3</v>
      </c>
      <c r="AX37" s="19">
        <v>1.1090909090909092E-3</v>
      </c>
      <c r="AY37" s="19">
        <v>1.1454545454545454E-3</v>
      </c>
      <c r="AZ37" s="19">
        <v>1.1818181818181819E-3</v>
      </c>
      <c r="BA37" s="19">
        <v>1.2181818181818181E-3</v>
      </c>
      <c r="BB37" s="19">
        <v>1.2545454545454546E-3</v>
      </c>
      <c r="BC37" s="19">
        <v>1.2909090909090908E-3</v>
      </c>
      <c r="BD37" s="19">
        <v>1.3272727272727273E-3</v>
      </c>
      <c r="BE37" s="19">
        <v>1.3636363636363635E-3</v>
      </c>
      <c r="BF37" s="19">
        <v>1.4E-3</v>
      </c>
      <c r="BG37" s="19">
        <v>1.4363636363636362E-3</v>
      </c>
      <c r="BH37" s="19">
        <v>1.4727272727272727E-3</v>
      </c>
      <c r="BI37" s="19">
        <v>1.5090909090909091E-3</v>
      </c>
      <c r="BJ37" s="19">
        <v>1.5454545454545454E-3</v>
      </c>
      <c r="BK37" s="19">
        <v>1.5818181818181816E-3</v>
      </c>
      <c r="BL37" s="19">
        <v>1.6181818181818181E-3</v>
      </c>
      <c r="BM37" s="19">
        <v>1.6545454545454545E-3</v>
      </c>
      <c r="BN37" s="19">
        <v>1.6909090909090908E-3</v>
      </c>
      <c r="BO37" s="19">
        <v>1.727272727272727E-3</v>
      </c>
      <c r="BP37" s="19">
        <v>1.7636363636363635E-3</v>
      </c>
      <c r="BQ37" s="19">
        <v>1.8E-3</v>
      </c>
      <c r="BR37" s="19">
        <v>1.8363636363636362E-3</v>
      </c>
      <c r="BS37" s="19">
        <v>1.8727272727272727E-3</v>
      </c>
      <c r="BT37" s="19">
        <v>1.9090909090909089E-3</v>
      </c>
      <c r="BU37" s="19">
        <v>1.9454545454545454E-3</v>
      </c>
      <c r="BV37" s="19">
        <v>1.9818181818181818E-3</v>
      </c>
      <c r="BW37" s="19">
        <v>2.0181818181818183E-3</v>
      </c>
      <c r="BX37" s="19">
        <v>2.0545454545454543E-3</v>
      </c>
      <c r="BY37" s="19">
        <v>2.0909090909090908E-3</v>
      </c>
      <c r="BZ37" s="19">
        <v>2.1272727272727268E-3</v>
      </c>
      <c r="CA37" s="19">
        <v>2.1636363636363632E-3</v>
      </c>
      <c r="CB37" s="19">
        <v>2.1999999999999997E-3</v>
      </c>
      <c r="CC37" s="19">
        <v>2.2363636363636362E-3</v>
      </c>
      <c r="CD37" s="19">
        <v>2.2727272727272726E-3</v>
      </c>
      <c r="CE37" s="19">
        <v>2.3090909090909091E-3</v>
      </c>
      <c r="CF37" s="19">
        <v>2.3454545454545455E-3</v>
      </c>
      <c r="CG37" s="19">
        <v>2.3818181818181816E-3</v>
      </c>
      <c r="CH37" s="19">
        <v>2.418181818181818E-3</v>
      </c>
      <c r="CI37" s="19">
        <v>2.454545454545454E-3</v>
      </c>
      <c r="CJ37" s="19">
        <v>2.4909090909090905E-3</v>
      </c>
      <c r="CK37" s="19">
        <v>2.527272727272727E-3</v>
      </c>
      <c r="CL37" s="19">
        <v>2.5636363636363634E-3</v>
      </c>
      <c r="CM37" s="19">
        <v>2.5999999999999999E-3</v>
      </c>
    </row>
    <row r="38" spans="1:91" x14ac:dyDescent="0.25">
      <c r="A38" s="17"/>
    </row>
    <row r="39" spans="1:91" x14ac:dyDescent="0.25">
      <c r="A39" s="17" t="s">
        <v>14</v>
      </c>
      <c r="B39" s="5">
        <v>0</v>
      </c>
      <c r="C39" s="5">
        <v>0</v>
      </c>
      <c r="D39" s="5">
        <v>0</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19">
        <v>8.6618671127481966E-4</v>
      </c>
      <c r="AG39" s="19">
        <v>8.7332065560907562E-4</v>
      </c>
      <c r="AH39" s="19">
        <v>8.8045459994333169E-4</v>
      </c>
      <c r="AI39" s="19">
        <v>8.8758854427758765E-4</v>
      </c>
      <c r="AJ39" s="19">
        <v>8.9472248861184372E-4</v>
      </c>
      <c r="AK39" s="19">
        <v>9.0185643294609969E-4</v>
      </c>
      <c r="AL39" s="19">
        <v>9.0899037728035576E-4</v>
      </c>
      <c r="AM39" s="19">
        <v>9.1612432161461172E-4</v>
      </c>
      <c r="AN39" s="19">
        <v>9.2325826594886768E-4</v>
      </c>
      <c r="AO39" s="19">
        <v>9.3039221028312375E-4</v>
      </c>
      <c r="AP39" s="19">
        <v>9.3752615461737982E-4</v>
      </c>
      <c r="AQ39" s="19">
        <v>9.4466009895163578E-4</v>
      </c>
      <c r="AR39" s="19">
        <v>9.5179404328589175E-4</v>
      </c>
      <c r="AS39" s="19">
        <v>9.5892798762014782E-4</v>
      </c>
      <c r="AT39" s="19">
        <v>9.6606193195440389E-4</v>
      </c>
      <c r="AU39" s="19">
        <v>9.7319587628865985E-4</v>
      </c>
      <c r="AV39" s="19">
        <v>9.9072164948453621E-4</v>
      </c>
      <c r="AW39" s="19">
        <v>1.0082474226804125E-3</v>
      </c>
      <c r="AX39" s="19">
        <v>1.0257731958762887E-3</v>
      </c>
      <c r="AY39" s="19">
        <v>1.043298969072165E-3</v>
      </c>
      <c r="AZ39" s="19">
        <v>1.0608247422680412E-3</v>
      </c>
      <c r="BA39" s="19">
        <v>1.0783505154639175E-3</v>
      </c>
      <c r="BB39" s="19">
        <v>1.095876288659794E-3</v>
      </c>
      <c r="BC39" s="19">
        <v>1.1134020618556702E-3</v>
      </c>
      <c r="BD39" s="19">
        <v>1.1309278350515465E-3</v>
      </c>
      <c r="BE39" s="19">
        <v>1.1484536082474227E-3</v>
      </c>
      <c r="BF39" s="19">
        <v>1.165979381443299E-3</v>
      </c>
      <c r="BG39" s="19">
        <v>1.1835051546391752E-3</v>
      </c>
      <c r="BH39" s="19">
        <v>1.2010309278350515E-3</v>
      </c>
      <c r="BI39" s="19">
        <v>1.2185567010309277E-3</v>
      </c>
      <c r="BJ39" s="19">
        <v>1.236082474226804E-3</v>
      </c>
      <c r="BK39" s="19">
        <v>1.2536082474226805E-3</v>
      </c>
      <c r="BL39" s="19">
        <v>1.2711340206185567E-3</v>
      </c>
      <c r="BM39" s="19">
        <v>1.288659793814433E-3</v>
      </c>
      <c r="BN39" s="19">
        <v>1.3061855670103092E-3</v>
      </c>
      <c r="BO39" s="19">
        <v>1.3237113402061855E-3</v>
      </c>
      <c r="BP39" s="19">
        <v>1.3412371134020619E-3</v>
      </c>
      <c r="BQ39" s="19">
        <v>1.3587628865979382E-3</v>
      </c>
      <c r="BR39" s="19">
        <v>1.3762886597938145E-3</v>
      </c>
      <c r="BS39" s="19">
        <v>1.3938144329896907E-3</v>
      </c>
      <c r="BT39" s="19">
        <v>1.411340206185567E-3</v>
      </c>
      <c r="BU39" s="19">
        <v>1.4288659793814432E-3</v>
      </c>
      <c r="BV39" s="19">
        <v>1.4463917525773195E-3</v>
      </c>
      <c r="BW39" s="19">
        <v>1.4639175257731957E-3</v>
      </c>
      <c r="BX39" s="19">
        <v>1.481443298969072E-3</v>
      </c>
      <c r="BY39" s="19">
        <v>1.4989690721649482E-3</v>
      </c>
      <c r="BZ39" s="19">
        <v>1.5164948453608247E-3</v>
      </c>
      <c r="CA39" s="19">
        <v>1.534020618556701E-3</v>
      </c>
      <c r="CB39" s="19">
        <v>1.5515463917525772E-3</v>
      </c>
      <c r="CC39" s="19">
        <v>1.5690721649484537E-3</v>
      </c>
      <c r="CD39" s="19">
        <v>1.5865979381443299E-3</v>
      </c>
      <c r="CE39" s="19">
        <v>1.6041237113402062E-3</v>
      </c>
      <c r="CF39" s="19">
        <v>1.6216494845360824E-3</v>
      </c>
      <c r="CG39" s="19">
        <v>1.6391752577319587E-3</v>
      </c>
      <c r="CH39" s="19">
        <v>1.656701030927835E-3</v>
      </c>
      <c r="CI39" s="19">
        <v>1.6742268041237112E-3</v>
      </c>
      <c r="CJ39" s="19">
        <v>1.6917525773195875E-3</v>
      </c>
      <c r="CK39" s="19">
        <v>1.7092783505154637E-3</v>
      </c>
      <c r="CL39" s="19">
        <v>1.72680412371134E-3</v>
      </c>
      <c r="CM39" s="19">
        <v>1.7443298969072164E-3</v>
      </c>
    </row>
    <row r="41" spans="1:91" x14ac:dyDescent="0.25">
      <c r="A41" s="17" t="s">
        <v>16</v>
      </c>
      <c r="B41" s="5">
        <v>0</v>
      </c>
      <c r="C41" s="5">
        <v>0</v>
      </c>
      <c r="D41" s="5">
        <v>0</v>
      </c>
      <c r="E41" s="5">
        <v>0</v>
      </c>
      <c r="F41" s="5">
        <v>0</v>
      </c>
      <c r="G41" s="5">
        <v>0</v>
      </c>
      <c r="H41" s="5">
        <v>0</v>
      </c>
      <c r="I41" s="5">
        <v>0</v>
      </c>
      <c r="J41" s="5">
        <v>0</v>
      </c>
      <c r="K41" s="5">
        <v>0</v>
      </c>
      <c r="L41" s="5">
        <v>0</v>
      </c>
      <c r="M41" s="5">
        <v>0</v>
      </c>
      <c r="N41" s="5">
        <v>0</v>
      </c>
      <c r="O41" s="5">
        <v>0</v>
      </c>
      <c r="P41" s="5">
        <v>0</v>
      </c>
      <c r="Q41" s="5">
        <v>0</v>
      </c>
      <c r="R41" s="5">
        <v>0</v>
      </c>
      <c r="S41" s="5">
        <v>0</v>
      </c>
      <c r="T41" s="5">
        <v>0</v>
      </c>
      <c r="U41" s="5">
        <v>0</v>
      </c>
      <c r="V41" s="5">
        <v>0</v>
      </c>
      <c r="W41" s="5">
        <v>0</v>
      </c>
      <c r="X41" s="5">
        <v>0</v>
      </c>
      <c r="Y41" s="5">
        <v>0</v>
      </c>
      <c r="Z41" s="5">
        <v>0</v>
      </c>
      <c r="AA41" s="5">
        <v>0</v>
      </c>
      <c r="AB41" s="5">
        <v>0</v>
      </c>
      <c r="AC41" s="5">
        <v>0</v>
      </c>
      <c r="AD41" s="5">
        <v>0</v>
      </c>
      <c r="AE41" s="5">
        <v>0</v>
      </c>
      <c r="AF41" s="19">
        <v>5.0675000000000008E-3</v>
      </c>
      <c r="AG41" s="19">
        <v>5.1450000000000003E-3</v>
      </c>
      <c r="AH41" s="19">
        <v>5.2225000000000006E-3</v>
      </c>
      <c r="AI41" s="19">
        <v>5.3000000000000009E-3</v>
      </c>
      <c r="AJ41" s="19">
        <v>5.3775000000000003E-3</v>
      </c>
      <c r="AK41" s="19">
        <v>5.4550000000000006E-3</v>
      </c>
      <c r="AL41" s="19">
        <v>5.532500000000001E-3</v>
      </c>
      <c r="AM41" s="19">
        <v>5.6100000000000004E-3</v>
      </c>
      <c r="AN41" s="19">
        <v>5.6874999999999998E-3</v>
      </c>
      <c r="AO41" s="19">
        <v>5.765000000000001E-3</v>
      </c>
      <c r="AP41" s="19">
        <v>5.8425000000000005E-3</v>
      </c>
      <c r="AQ41" s="19">
        <v>5.9199999999999999E-3</v>
      </c>
      <c r="AR41" s="19">
        <v>5.9975000000000011E-3</v>
      </c>
      <c r="AS41" s="19">
        <v>6.0750000000000005E-3</v>
      </c>
      <c r="AT41" s="19">
        <v>6.1525E-3</v>
      </c>
      <c r="AU41" s="19">
        <v>6.2300000000000003E-3</v>
      </c>
      <c r="AV41" s="19">
        <v>6.2575E-3</v>
      </c>
      <c r="AW41" s="19">
        <v>6.2850000000000007E-3</v>
      </c>
      <c r="AX41" s="19">
        <v>6.3125000000000004E-3</v>
      </c>
      <c r="AY41" s="19">
        <v>6.3400000000000001E-3</v>
      </c>
      <c r="AZ41" s="19">
        <v>6.3674999999999999E-3</v>
      </c>
      <c r="BA41" s="19">
        <v>6.3950000000000005E-3</v>
      </c>
      <c r="BB41" s="19">
        <v>6.4225000000000003E-3</v>
      </c>
      <c r="BC41" s="19">
        <v>6.45E-3</v>
      </c>
      <c r="BD41" s="19">
        <v>6.4774999999999998E-3</v>
      </c>
      <c r="BE41" s="19">
        <v>6.5050000000000004E-3</v>
      </c>
      <c r="BF41" s="19">
        <v>6.5325000000000001E-3</v>
      </c>
      <c r="BG41" s="19">
        <v>6.5599999999999999E-3</v>
      </c>
      <c r="BH41" s="19">
        <v>6.5875000000000005E-3</v>
      </c>
      <c r="BI41" s="19">
        <v>6.6150000000000002E-3</v>
      </c>
      <c r="BJ41" s="19">
        <v>6.6425E-3</v>
      </c>
      <c r="BK41" s="19">
        <v>6.6699999999999997E-3</v>
      </c>
      <c r="BL41" s="19">
        <v>6.6975000000000003E-3</v>
      </c>
      <c r="BM41" s="19">
        <v>6.7250000000000001E-3</v>
      </c>
      <c r="BN41" s="19">
        <v>6.7524999999999998E-3</v>
      </c>
      <c r="BO41" s="19">
        <v>6.7799999999999996E-3</v>
      </c>
      <c r="BP41" s="19">
        <v>6.8075000000000002E-3</v>
      </c>
      <c r="BQ41" s="19">
        <v>6.8349999999999999E-3</v>
      </c>
      <c r="BR41" s="19">
        <v>6.8624999999999997E-3</v>
      </c>
      <c r="BS41" s="19">
        <v>6.8900000000000003E-3</v>
      </c>
      <c r="BT41" s="19">
        <v>6.9175E-3</v>
      </c>
      <c r="BU41" s="19">
        <v>6.9449999999999998E-3</v>
      </c>
      <c r="BV41" s="19">
        <v>6.9724999999999995E-3</v>
      </c>
      <c r="BW41" s="19">
        <v>7.0000000000000001E-3</v>
      </c>
      <c r="BX41" s="19">
        <v>7.0274999999999999E-3</v>
      </c>
      <c r="BY41" s="19">
        <v>7.0549999999999996E-3</v>
      </c>
      <c r="BZ41" s="19">
        <v>7.0825000000000003E-3</v>
      </c>
      <c r="CA41" s="19">
        <v>7.11E-3</v>
      </c>
      <c r="CB41" s="19">
        <v>7.1374999999999997E-3</v>
      </c>
      <c r="CC41" s="19">
        <v>7.1649999999999995E-3</v>
      </c>
      <c r="CD41" s="19">
        <v>7.1925000000000001E-3</v>
      </c>
      <c r="CE41" s="19">
        <v>7.2199999999999999E-3</v>
      </c>
      <c r="CF41" s="19">
        <v>7.2474999999999996E-3</v>
      </c>
      <c r="CG41" s="19">
        <v>7.2750000000000002E-3</v>
      </c>
      <c r="CH41" s="19">
        <v>7.3025E-3</v>
      </c>
      <c r="CI41" s="19">
        <v>7.3299999999999997E-3</v>
      </c>
      <c r="CJ41" s="19">
        <v>7.3574999999999995E-3</v>
      </c>
      <c r="CK41" s="19">
        <v>7.3849999999999992E-3</v>
      </c>
      <c r="CL41" s="19">
        <v>7.4124999999999998E-3</v>
      </c>
      <c r="CM41" s="19">
        <v>7.4399999999999996E-3</v>
      </c>
    </row>
    <row r="42" spans="1:91" x14ac:dyDescent="0.25">
      <c r="A42" s="17" t="s">
        <v>1</v>
      </c>
      <c r="B42" s="5">
        <v>0</v>
      </c>
      <c r="C42" s="5">
        <v>0</v>
      </c>
      <c r="D42" s="5">
        <v>0</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19">
        <v>2.3129545454545456E-3</v>
      </c>
      <c r="AG42" s="19">
        <v>2.3440909090909094E-3</v>
      </c>
      <c r="AH42" s="19">
        <v>2.3752272727272728E-3</v>
      </c>
      <c r="AI42" s="19">
        <v>2.4063636363636366E-3</v>
      </c>
      <c r="AJ42" s="19">
        <v>2.4375000000000004E-3</v>
      </c>
      <c r="AK42" s="19">
        <v>2.4686363636363638E-3</v>
      </c>
      <c r="AL42" s="19">
        <v>2.4997727272727276E-3</v>
      </c>
      <c r="AM42" s="19">
        <v>2.5309090909090915E-3</v>
      </c>
      <c r="AN42" s="19">
        <v>2.5620454545454549E-3</v>
      </c>
      <c r="AO42" s="19">
        <v>2.5931818181818183E-3</v>
      </c>
      <c r="AP42" s="19">
        <v>2.6243181818181821E-3</v>
      </c>
      <c r="AQ42" s="19">
        <v>2.6554545454545459E-3</v>
      </c>
      <c r="AR42" s="19">
        <v>2.6865909090909093E-3</v>
      </c>
      <c r="AS42" s="19">
        <v>2.7177272727272731E-3</v>
      </c>
      <c r="AT42" s="19">
        <v>2.748863636363637E-3</v>
      </c>
      <c r="AU42" s="19">
        <v>2.7800000000000004E-3</v>
      </c>
      <c r="AV42" s="19">
        <v>2.7993181818181823E-3</v>
      </c>
      <c r="AW42" s="19">
        <v>2.8186363636363639E-3</v>
      </c>
      <c r="AX42" s="19">
        <v>2.8379545454545459E-3</v>
      </c>
      <c r="AY42" s="19">
        <v>2.8572727272727274E-3</v>
      </c>
      <c r="AZ42" s="19">
        <v>2.8765909090909094E-3</v>
      </c>
      <c r="BA42" s="19">
        <v>2.8959090909090913E-3</v>
      </c>
      <c r="BB42" s="19">
        <v>2.9152272727272729E-3</v>
      </c>
      <c r="BC42" s="19">
        <v>2.9345454545454549E-3</v>
      </c>
      <c r="BD42" s="19">
        <v>2.9538636363636368E-3</v>
      </c>
      <c r="BE42" s="19">
        <v>2.9731818181818184E-3</v>
      </c>
      <c r="BF42" s="19">
        <v>2.9925000000000004E-3</v>
      </c>
      <c r="BG42" s="19">
        <v>3.0118181818181819E-3</v>
      </c>
      <c r="BH42" s="19">
        <v>3.0311363636363639E-3</v>
      </c>
      <c r="BI42" s="19">
        <v>3.0504545454545459E-3</v>
      </c>
      <c r="BJ42" s="19">
        <v>3.0697727272727274E-3</v>
      </c>
      <c r="BK42" s="19">
        <v>3.0890909090909094E-3</v>
      </c>
      <c r="BL42" s="19">
        <v>3.1084090909090914E-3</v>
      </c>
      <c r="BM42" s="19">
        <v>3.1277272727272729E-3</v>
      </c>
      <c r="BN42" s="19">
        <v>3.1470454545454549E-3</v>
      </c>
      <c r="BO42" s="19">
        <v>3.1663636363636364E-3</v>
      </c>
      <c r="BP42" s="19">
        <v>3.1856818181818184E-3</v>
      </c>
      <c r="BQ42" s="19">
        <v>3.2050000000000004E-3</v>
      </c>
      <c r="BR42" s="19">
        <v>3.2243181818181819E-3</v>
      </c>
      <c r="BS42" s="19">
        <v>3.2436363636363639E-3</v>
      </c>
      <c r="BT42" s="19">
        <v>3.2629545454545454E-3</v>
      </c>
      <c r="BU42" s="19">
        <v>3.2822727272727274E-3</v>
      </c>
      <c r="BV42" s="19">
        <v>3.3015909090909094E-3</v>
      </c>
      <c r="BW42" s="19">
        <v>3.3209090909090909E-3</v>
      </c>
      <c r="BX42" s="19">
        <v>3.3402272727272729E-3</v>
      </c>
      <c r="BY42" s="19">
        <v>3.3595454545454545E-3</v>
      </c>
      <c r="BZ42" s="19">
        <v>3.3788636363636364E-3</v>
      </c>
      <c r="CA42" s="19">
        <v>3.3981818181818184E-3</v>
      </c>
      <c r="CB42" s="19">
        <v>3.4175E-3</v>
      </c>
      <c r="CC42" s="19">
        <v>3.4368181818181819E-3</v>
      </c>
      <c r="CD42" s="19">
        <v>3.4561363636363635E-3</v>
      </c>
      <c r="CE42" s="19">
        <v>3.4754545454545455E-3</v>
      </c>
      <c r="CF42" s="19">
        <v>3.4947727272727274E-3</v>
      </c>
      <c r="CG42" s="19">
        <v>3.5140909090909094E-3</v>
      </c>
      <c r="CH42" s="19">
        <v>3.533409090909091E-3</v>
      </c>
      <c r="CI42" s="19">
        <v>3.5527272727272729E-3</v>
      </c>
      <c r="CJ42" s="19">
        <v>3.5720454545454545E-3</v>
      </c>
      <c r="CK42" s="19">
        <v>3.5913636363636365E-3</v>
      </c>
      <c r="CL42" s="19">
        <v>3.6106818181818184E-3</v>
      </c>
      <c r="CM42" s="19">
        <v>3.63E-3</v>
      </c>
    </row>
    <row r="43" spans="1:91" x14ac:dyDescent="0.25">
      <c r="A43" s="17" t="s">
        <v>1</v>
      </c>
      <c r="B43" s="5">
        <v>0</v>
      </c>
      <c r="C43" s="5">
        <v>0</v>
      </c>
      <c r="D43" s="5">
        <v>0</v>
      </c>
      <c r="E43" s="5">
        <v>0</v>
      </c>
      <c r="F43" s="5">
        <v>0</v>
      </c>
      <c r="G43" s="5">
        <v>0</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0</v>
      </c>
      <c r="AC43" s="5">
        <v>0</v>
      </c>
      <c r="AD43" s="5">
        <v>0</v>
      </c>
      <c r="AE43" s="5">
        <v>0</v>
      </c>
      <c r="AF43" s="19">
        <v>3.4209090909090912E-3</v>
      </c>
      <c r="AG43" s="19">
        <v>3.4681818181818186E-3</v>
      </c>
      <c r="AH43" s="19">
        <v>3.5154545454545456E-3</v>
      </c>
      <c r="AI43" s="19">
        <v>3.562727272727273E-3</v>
      </c>
      <c r="AJ43" s="19">
        <v>3.6100000000000004E-3</v>
      </c>
      <c r="AK43" s="19">
        <v>3.6572727272727278E-3</v>
      </c>
      <c r="AL43" s="19">
        <v>3.7045454545454552E-3</v>
      </c>
      <c r="AM43" s="19">
        <v>3.7518181818181826E-3</v>
      </c>
      <c r="AN43" s="19">
        <v>3.7990909090909099E-3</v>
      </c>
      <c r="AO43" s="19">
        <v>3.8463636363636369E-3</v>
      </c>
      <c r="AP43" s="19">
        <v>3.8936363636363643E-3</v>
      </c>
      <c r="AQ43" s="19">
        <v>3.9409090909090913E-3</v>
      </c>
      <c r="AR43" s="19">
        <v>3.9881818181818187E-3</v>
      </c>
      <c r="AS43" s="19">
        <v>4.0354545454545461E-3</v>
      </c>
      <c r="AT43" s="19">
        <v>4.0827272727272735E-3</v>
      </c>
      <c r="AU43" s="19">
        <v>4.1300000000000009E-3</v>
      </c>
      <c r="AV43" s="19">
        <v>4.1579545454545463E-3</v>
      </c>
      <c r="AW43" s="19">
        <v>4.1859090909090917E-3</v>
      </c>
      <c r="AX43" s="19">
        <v>4.2138636363636371E-3</v>
      </c>
      <c r="AY43" s="19">
        <v>4.2418181818181825E-3</v>
      </c>
      <c r="AZ43" s="19">
        <v>4.269772727272728E-3</v>
      </c>
      <c r="BA43" s="19">
        <v>4.2977272727272734E-3</v>
      </c>
      <c r="BB43" s="19">
        <v>4.3256818181818188E-3</v>
      </c>
      <c r="BC43" s="19">
        <v>4.3536363636363642E-3</v>
      </c>
      <c r="BD43" s="19">
        <v>4.3815909090909096E-3</v>
      </c>
      <c r="BE43" s="19">
        <v>4.4095454545454551E-3</v>
      </c>
      <c r="BF43" s="19">
        <v>4.4375000000000005E-3</v>
      </c>
      <c r="BG43" s="19">
        <v>4.4654545454545459E-3</v>
      </c>
      <c r="BH43" s="19">
        <v>4.4934090909090913E-3</v>
      </c>
      <c r="BI43" s="19">
        <v>4.5213636363636367E-3</v>
      </c>
      <c r="BJ43" s="19">
        <v>4.5493181818181821E-3</v>
      </c>
      <c r="BK43" s="19">
        <v>4.5772727272727276E-3</v>
      </c>
      <c r="BL43" s="19">
        <v>4.605227272727273E-3</v>
      </c>
      <c r="BM43" s="19">
        <v>4.6331818181818184E-3</v>
      </c>
      <c r="BN43" s="19">
        <v>4.6611363636363638E-3</v>
      </c>
      <c r="BO43" s="19">
        <v>4.6890909090909101E-3</v>
      </c>
      <c r="BP43" s="19">
        <v>4.7170454545454547E-3</v>
      </c>
      <c r="BQ43" s="19">
        <v>4.745000000000001E-3</v>
      </c>
      <c r="BR43" s="19">
        <v>4.7729545454545455E-3</v>
      </c>
      <c r="BS43" s="19">
        <v>4.8009090909090918E-3</v>
      </c>
      <c r="BT43" s="19">
        <v>4.8288636363636372E-3</v>
      </c>
      <c r="BU43" s="19">
        <v>4.8568181818181826E-3</v>
      </c>
      <c r="BV43" s="19">
        <v>4.8847727272727281E-3</v>
      </c>
      <c r="BW43" s="19">
        <v>4.9127272727272735E-3</v>
      </c>
      <c r="BX43" s="19">
        <v>4.9406818181818189E-3</v>
      </c>
      <c r="BY43" s="19">
        <v>4.9686363636363643E-3</v>
      </c>
      <c r="BZ43" s="19">
        <v>4.9965909090909097E-3</v>
      </c>
      <c r="CA43" s="19">
        <v>5.0245454545454551E-3</v>
      </c>
      <c r="CB43" s="19">
        <v>5.0525000000000006E-3</v>
      </c>
      <c r="CC43" s="19">
        <v>5.080454545454546E-3</v>
      </c>
      <c r="CD43" s="19">
        <v>5.1084090909090914E-3</v>
      </c>
      <c r="CE43" s="19">
        <v>5.1363636363636368E-3</v>
      </c>
      <c r="CF43" s="19">
        <v>5.1643181818181822E-3</v>
      </c>
      <c r="CG43" s="19">
        <v>5.1922727272727277E-3</v>
      </c>
      <c r="CH43" s="19">
        <v>5.2202272727272731E-3</v>
      </c>
      <c r="CI43" s="19">
        <v>5.2481818181818185E-3</v>
      </c>
      <c r="CJ43" s="19">
        <v>5.2761363636363639E-3</v>
      </c>
      <c r="CK43" s="19">
        <v>5.3040909090909093E-3</v>
      </c>
      <c r="CL43" s="19">
        <v>5.3320454545454548E-3</v>
      </c>
      <c r="CM43" s="19">
        <v>5.3600000000000002E-3</v>
      </c>
    </row>
    <row r="44" spans="1:91" x14ac:dyDescent="0.25">
      <c r="A44" s="17" t="s">
        <v>1</v>
      </c>
      <c r="B44" s="5">
        <v>0</v>
      </c>
      <c r="C44" s="5">
        <v>0</v>
      </c>
      <c r="D44" s="5">
        <v>0</v>
      </c>
      <c r="E44" s="5">
        <v>0</v>
      </c>
      <c r="F44" s="5">
        <v>0</v>
      </c>
      <c r="G44" s="5">
        <v>0</v>
      </c>
      <c r="H44" s="5">
        <v>0</v>
      </c>
      <c r="I44" s="5">
        <v>0</v>
      </c>
      <c r="J44" s="5">
        <v>0</v>
      </c>
      <c r="K44" s="5">
        <v>0</v>
      </c>
      <c r="L44" s="5">
        <v>0</v>
      </c>
      <c r="M44" s="5">
        <v>0</v>
      </c>
      <c r="N44" s="5">
        <v>0</v>
      </c>
      <c r="O44" s="5">
        <v>0</v>
      </c>
      <c r="P44" s="5">
        <v>0</v>
      </c>
      <c r="Q44" s="5">
        <v>0</v>
      </c>
      <c r="R44" s="5">
        <v>0</v>
      </c>
      <c r="S44" s="5">
        <v>0</v>
      </c>
      <c r="T44" s="5">
        <v>0</v>
      </c>
      <c r="U44" s="5">
        <v>0</v>
      </c>
      <c r="V44" s="5">
        <v>0</v>
      </c>
      <c r="W44" s="5">
        <v>0</v>
      </c>
      <c r="X44" s="5">
        <v>0</v>
      </c>
      <c r="Y44" s="5">
        <v>0</v>
      </c>
      <c r="Z44" s="5">
        <v>0</v>
      </c>
      <c r="AA44" s="5">
        <v>0</v>
      </c>
      <c r="AB44" s="5">
        <v>0</v>
      </c>
      <c r="AC44" s="5">
        <v>0</v>
      </c>
      <c r="AD44" s="5">
        <v>0</v>
      </c>
      <c r="AE44" s="5">
        <v>0</v>
      </c>
      <c r="AF44" s="19">
        <v>1.4251346260975674E-3</v>
      </c>
      <c r="AG44" s="19">
        <v>1.4394010133432368E-3</v>
      </c>
      <c r="AH44" s="19">
        <v>1.4536674005889063E-3</v>
      </c>
      <c r="AI44" s="19">
        <v>1.4679337878345756E-3</v>
      </c>
      <c r="AJ44" s="19">
        <v>1.4822001750802451E-3</v>
      </c>
      <c r="AK44" s="19">
        <v>1.4964665623259145E-3</v>
      </c>
      <c r="AL44" s="19">
        <v>1.510732949571584E-3</v>
      </c>
      <c r="AM44" s="19">
        <v>1.5249993368172533E-3</v>
      </c>
      <c r="AN44" s="19">
        <v>1.5392657240629226E-3</v>
      </c>
      <c r="AO44" s="19">
        <v>1.5535321113085922E-3</v>
      </c>
      <c r="AP44" s="19">
        <v>1.5677984985542617E-3</v>
      </c>
      <c r="AQ44" s="19">
        <v>1.582064885799931E-3</v>
      </c>
      <c r="AR44" s="19">
        <v>1.5963312730456003E-3</v>
      </c>
      <c r="AS44" s="19">
        <v>1.6105976602912699E-3</v>
      </c>
      <c r="AT44" s="19">
        <v>1.6248640475369394E-3</v>
      </c>
      <c r="AU44" s="19">
        <v>1.6391304347826087E-3</v>
      </c>
      <c r="AV44" s="19">
        <v>1.6512056578914659E-3</v>
      </c>
      <c r="AW44" s="19">
        <v>1.6632808810003231E-3</v>
      </c>
      <c r="AX44" s="19">
        <v>1.6753561041091805E-3</v>
      </c>
      <c r="AY44" s="19">
        <v>1.6874313272180377E-3</v>
      </c>
      <c r="AZ44" s="19">
        <v>1.6995065503268949E-3</v>
      </c>
      <c r="BA44" s="19">
        <v>1.7115817734357521E-3</v>
      </c>
      <c r="BB44" s="19">
        <v>1.7236569965446095E-3</v>
      </c>
      <c r="BC44" s="19">
        <v>1.7357322196534667E-3</v>
      </c>
      <c r="BD44" s="19">
        <v>1.7478074427623239E-3</v>
      </c>
      <c r="BE44" s="19">
        <v>1.759882665871181E-3</v>
      </c>
      <c r="BF44" s="19">
        <v>1.7719578889800382E-3</v>
      </c>
      <c r="BG44" s="19">
        <v>1.7840331120888956E-3</v>
      </c>
      <c r="BH44" s="19">
        <v>1.7961083351977528E-3</v>
      </c>
      <c r="BI44" s="19">
        <v>1.80818355830661E-3</v>
      </c>
      <c r="BJ44" s="19">
        <v>1.8202587814154672E-3</v>
      </c>
      <c r="BK44" s="19">
        <v>1.8323340045243246E-3</v>
      </c>
      <c r="BL44" s="19">
        <v>1.8444092276331818E-3</v>
      </c>
      <c r="BM44" s="19">
        <v>1.856484450742039E-3</v>
      </c>
      <c r="BN44" s="19">
        <v>1.8685596738508962E-3</v>
      </c>
      <c r="BO44" s="19">
        <v>1.8806348969597534E-3</v>
      </c>
      <c r="BP44" s="19">
        <v>1.8927101200686108E-3</v>
      </c>
      <c r="BQ44" s="19">
        <v>1.904785343177468E-3</v>
      </c>
      <c r="BR44" s="19">
        <v>1.9168605662863252E-3</v>
      </c>
      <c r="BS44" s="19">
        <v>1.9289357893951826E-3</v>
      </c>
      <c r="BT44" s="19">
        <v>1.9410110125040398E-3</v>
      </c>
      <c r="BU44" s="19">
        <v>1.953086235612897E-3</v>
      </c>
      <c r="BV44" s="19">
        <v>1.9651614587217541E-3</v>
      </c>
      <c r="BW44" s="19">
        <v>1.9772366818306113E-3</v>
      </c>
      <c r="BX44" s="19">
        <v>1.9893119049394685E-3</v>
      </c>
      <c r="BY44" s="19">
        <v>2.0013871280483257E-3</v>
      </c>
      <c r="BZ44" s="19">
        <v>2.0134623511571829E-3</v>
      </c>
      <c r="CA44" s="19">
        <v>2.0255375742660405E-3</v>
      </c>
      <c r="CB44" s="19">
        <v>2.0376127973748977E-3</v>
      </c>
      <c r="CC44" s="19">
        <v>2.0496880204837549E-3</v>
      </c>
      <c r="CD44" s="19">
        <v>2.0617632435926121E-3</v>
      </c>
      <c r="CE44" s="19">
        <v>2.0738384667014693E-3</v>
      </c>
      <c r="CF44" s="19">
        <v>2.0859136898103265E-3</v>
      </c>
      <c r="CG44" s="19">
        <v>2.0979889129191837E-3</v>
      </c>
      <c r="CH44" s="19">
        <v>2.1100641360280409E-3</v>
      </c>
      <c r="CI44" s="19">
        <v>2.1221393591368985E-3</v>
      </c>
      <c r="CJ44" s="19">
        <v>2.1342145822457557E-3</v>
      </c>
      <c r="CK44" s="19">
        <v>2.1462898053546129E-3</v>
      </c>
      <c r="CL44" s="19">
        <v>2.1583650284634701E-3</v>
      </c>
      <c r="CM44" s="19">
        <v>2.1704402515723272E-3</v>
      </c>
    </row>
    <row r="45" spans="1:91" x14ac:dyDescent="0.25">
      <c r="A45" s="17" t="s">
        <v>1</v>
      </c>
      <c r="B45" s="5">
        <v>0</v>
      </c>
      <c r="C45" s="5">
        <v>0</v>
      </c>
      <c r="D45" s="5">
        <v>0</v>
      </c>
      <c r="E45" s="5">
        <v>0</v>
      </c>
      <c r="F45" s="5">
        <v>0</v>
      </c>
      <c r="G45" s="5">
        <v>0</v>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v>
      </c>
      <c r="AD45" s="5">
        <v>0</v>
      </c>
      <c r="AE45" s="5">
        <v>0</v>
      </c>
      <c r="AF45" s="19">
        <v>1.6577549140049139E-3</v>
      </c>
      <c r="AG45" s="19">
        <v>1.6804361179361179E-3</v>
      </c>
      <c r="AH45" s="19">
        <v>1.7031173218673219E-3</v>
      </c>
      <c r="AI45" s="19">
        <v>1.7257985257985258E-3</v>
      </c>
      <c r="AJ45" s="19">
        <v>1.7484797297297296E-3</v>
      </c>
      <c r="AK45" s="19">
        <v>1.7711609336609336E-3</v>
      </c>
      <c r="AL45" s="19">
        <v>1.7938421375921377E-3</v>
      </c>
      <c r="AM45" s="19">
        <v>1.8165233415233415E-3</v>
      </c>
      <c r="AN45" s="19">
        <v>1.8392045454545453E-3</v>
      </c>
      <c r="AO45" s="19">
        <v>1.8618857493857494E-3</v>
      </c>
      <c r="AP45" s="19">
        <v>1.8845669533169532E-3</v>
      </c>
      <c r="AQ45" s="19">
        <v>1.907248157248157E-3</v>
      </c>
      <c r="AR45" s="19">
        <v>1.9299293611793611E-3</v>
      </c>
      <c r="AS45" s="19">
        <v>1.9526105651105651E-3</v>
      </c>
      <c r="AT45" s="19">
        <v>1.9752917690417692E-3</v>
      </c>
      <c r="AU45" s="19">
        <v>1.9979729729729728E-3</v>
      </c>
      <c r="AV45" s="19">
        <v>2.0184735872235873E-3</v>
      </c>
      <c r="AW45" s="19">
        <v>2.0389742014742013E-3</v>
      </c>
      <c r="AX45" s="19">
        <v>2.0594748157248153E-3</v>
      </c>
      <c r="AY45" s="19">
        <v>2.0799754299754298E-3</v>
      </c>
      <c r="AZ45" s="19">
        <v>2.1004760442260443E-3</v>
      </c>
      <c r="BA45" s="19">
        <v>2.1209766584766583E-3</v>
      </c>
      <c r="BB45" s="19">
        <v>2.1414772727272723E-3</v>
      </c>
      <c r="BC45" s="19">
        <v>2.1619778869778868E-3</v>
      </c>
      <c r="BD45" s="19">
        <v>2.1824785012285013E-3</v>
      </c>
      <c r="BE45" s="19">
        <v>2.2029791154791153E-3</v>
      </c>
      <c r="BF45" s="19">
        <v>2.2234797297297293E-3</v>
      </c>
      <c r="BG45" s="19">
        <v>2.2439803439803438E-3</v>
      </c>
      <c r="BH45" s="19">
        <v>2.2644809582309583E-3</v>
      </c>
      <c r="BI45" s="19">
        <v>2.2849815724815723E-3</v>
      </c>
      <c r="BJ45" s="19">
        <v>2.3054821867321863E-3</v>
      </c>
      <c r="BK45" s="19">
        <v>2.3259828009828008E-3</v>
      </c>
      <c r="BL45" s="19">
        <v>2.3464834152334153E-3</v>
      </c>
      <c r="BM45" s="19">
        <v>2.3669840294840293E-3</v>
      </c>
      <c r="BN45" s="19">
        <v>2.3874846437346433E-3</v>
      </c>
      <c r="BO45" s="19">
        <v>2.4079852579852578E-3</v>
      </c>
      <c r="BP45" s="19">
        <v>2.4284858722358723E-3</v>
      </c>
      <c r="BQ45" s="19">
        <v>2.4489864864864863E-3</v>
      </c>
      <c r="BR45" s="19">
        <v>2.4694871007371003E-3</v>
      </c>
      <c r="BS45" s="19">
        <v>2.4899877149877148E-3</v>
      </c>
      <c r="BT45" s="19">
        <v>2.5104883292383293E-3</v>
      </c>
      <c r="BU45" s="19">
        <v>2.5309889434889433E-3</v>
      </c>
      <c r="BV45" s="19">
        <v>2.5514895577395573E-3</v>
      </c>
      <c r="BW45" s="19">
        <v>2.5719901719901718E-3</v>
      </c>
      <c r="BX45" s="19">
        <v>2.5924907862407863E-3</v>
      </c>
      <c r="BY45" s="19">
        <v>2.6129914004914003E-3</v>
      </c>
      <c r="BZ45" s="19">
        <v>2.6334920147420143E-3</v>
      </c>
      <c r="CA45" s="19">
        <v>2.6539926289926288E-3</v>
      </c>
      <c r="CB45" s="19">
        <v>2.6744932432432433E-3</v>
      </c>
      <c r="CC45" s="19">
        <v>2.6949938574938573E-3</v>
      </c>
      <c r="CD45" s="19">
        <v>2.7154944717444713E-3</v>
      </c>
      <c r="CE45" s="19">
        <v>2.7359950859950858E-3</v>
      </c>
      <c r="CF45" s="19">
        <v>2.7564957002457003E-3</v>
      </c>
      <c r="CG45" s="19">
        <v>2.7769963144963143E-3</v>
      </c>
      <c r="CH45" s="19">
        <v>2.7974969287469283E-3</v>
      </c>
      <c r="CI45" s="19">
        <v>2.8179975429975428E-3</v>
      </c>
      <c r="CJ45" s="19">
        <v>2.8384981572481573E-3</v>
      </c>
      <c r="CK45" s="19">
        <v>2.8589987714987713E-3</v>
      </c>
      <c r="CL45" s="19">
        <v>2.8794993857493853E-3</v>
      </c>
      <c r="CM45" s="19">
        <v>2.8999999999999998E-3</v>
      </c>
    </row>
    <row r="46" spans="1:91" x14ac:dyDescent="0.25">
      <c r="A46" s="17" t="s">
        <v>1</v>
      </c>
      <c r="B46" s="5">
        <v>0</v>
      </c>
      <c r="C46" s="5">
        <v>0</v>
      </c>
      <c r="D46" s="5">
        <v>0</v>
      </c>
      <c r="E46" s="5">
        <v>0</v>
      </c>
      <c r="F46" s="5">
        <v>0</v>
      </c>
      <c r="G46" s="5">
        <v>0</v>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c r="AA46" s="5">
        <v>0</v>
      </c>
      <c r="AB46" s="5">
        <v>0</v>
      </c>
      <c r="AC46" s="5">
        <v>0</v>
      </c>
      <c r="AD46" s="5">
        <v>0</v>
      </c>
      <c r="AE46" s="5">
        <v>0</v>
      </c>
      <c r="AF46" s="19">
        <v>6.1522727272727278E-2</v>
      </c>
      <c r="AG46" s="19">
        <v>6.1954545454545457E-2</v>
      </c>
      <c r="AH46" s="19">
        <v>6.2386363636363643E-2</v>
      </c>
      <c r="AI46" s="19">
        <v>6.2818181818181829E-2</v>
      </c>
      <c r="AJ46" s="19">
        <v>6.3250000000000001E-2</v>
      </c>
      <c r="AK46" s="19">
        <v>6.3681818181818187E-2</v>
      </c>
      <c r="AL46" s="19">
        <v>6.4113636363636373E-2</v>
      </c>
      <c r="AM46" s="19">
        <v>6.4545454545454545E-2</v>
      </c>
      <c r="AN46" s="19">
        <v>6.4977272727272731E-2</v>
      </c>
      <c r="AO46" s="19">
        <v>6.5409090909090917E-2</v>
      </c>
      <c r="AP46" s="19">
        <v>6.5840909090909089E-2</v>
      </c>
      <c r="AQ46" s="19">
        <v>6.6272727272727275E-2</v>
      </c>
      <c r="AR46" s="19">
        <v>6.6704545454545461E-2</v>
      </c>
      <c r="AS46" s="19">
        <v>6.7136363636363633E-2</v>
      </c>
      <c r="AT46" s="19">
        <v>6.7568181818181819E-2</v>
      </c>
      <c r="AU46" s="19">
        <v>6.8000000000000005E-2</v>
      </c>
      <c r="AV46" s="19">
        <v>6.881818181818182E-2</v>
      </c>
      <c r="AW46" s="19">
        <v>6.9636363636363635E-2</v>
      </c>
      <c r="AX46" s="19">
        <v>7.0454545454545464E-2</v>
      </c>
      <c r="AY46" s="19">
        <v>7.1272727272727279E-2</v>
      </c>
      <c r="AZ46" s="19">
        <v>7.2090909090909094E-2</v>
      </c>
      <c r="BA46" s="19">
        <v>7.290909090909091E-2</v>
      </c>
      <c r="BB46" s="19">
        <v>7.3727272727272725E-2</v>
      </c>
      <c r="BC46" s="19">
        <v>7.4545454545454554E-2</v>
      </c>
      <c r="BD46" s="19">
        <v>7.5363636363636369E-2</v>
      </c>
      <c r="BE46" s="19">
        <v>7.6181818181818184E-2</v>
      </c>
      <c r="BF46" s="19">
        <v>7.6999999999999999E-2</v>
      </c>
      <c r="BG46" s="19">
        <v>7.7818181818181814E-2</v>
      </c>
      <c r="BH46" s="19">
        <v>7.8636363636363643E-2</v>
      </c>
      <c r="BI46" s="19">
        <v>7.9454545454545458E-2</v>
      </c>
      <c r="BJ46" s="19">
        <v>8.0272727272727273E-2</v>
      </c>
      <c r="BK46" s="19">
        <v>8.1090909090909088E-2</v>
      </c>
      <c r="BL46" s="19">
        <v>8.1909090909090904E-2</v>
      </c>
      <c r="BM46" s="19">
        <v>8.2727272727272733E-2</v>
      </c>
      <c r="BN46" s="19">
        <v>8.3545454545454548E-2</v>
      </c>
      <c r="BO46" s="19">
        <v>8.4363636363636363E-2</v>
      </c>
      <c r="BP46" s="19">
        <v>8.5181818181818178E-2</v>
      </c>
      <c r="BQ46" s="19">
        <v>8.5999999999999993E-2</v>
      </c>
      <c r="BR46" s="19">
        <v>8.6818181818181822E-2</v>
      </c>
      <c r="BS46" s="19">
        <v>8.7636363636363637E-2</v>
      </c>
      <c r="BT46" s="19">
        <v>8.8454545454545452E-2</v>
      </c>
      <c r="BU46" s="19">
        <v>8.9272727272727267E-2</v>
      </c>
      <c r="BV46" s="19">
        <v>9.0090909090909083E-2</v>
      </c>
      <c r="BW46" s="19">
        <v>9.0909090909090912E-2</v>
      </c>
      <c r="BX46" s="19">
        <v>9.1727272727272727E-2</v>
      </c>
      <c r="BY46" s="19">
        <v>9.2545454545454542E-2</v>
      </c>
      <c r="BZ46" s="19">
        <v>9.3363636363636357E-2</v>
      </c>
      <c r="CA46" s="19">
        <v>9.4181818181818172E-2</v>
      </c>
      <c r="CB46" s="19">
        <v>9.5000000000000001E-2</v>
      </c>
      <c r="CC46" s="19">
        <v>9.5818181818181816E-2</v>
      </c>
      <c r="CD46" s="19">
        <v>9.6636363636363631E-2</v>
      </c>
      <c r="CE46" s="19">
        <v>9.7454545454545446E-2</v>
      </c>
      <c r="CF46" s="19">
        <v>9.8272727272727262E-2</v>
      </c>
      <c r="CG46" s="19">
        <v>9.9090909090909091E-2</v>
      </c>
      <c r="CH46" s="19">
        <v>9.9909090909090906E-2</v>
      </c>
      <c r="CI46" s="19">
        <v>0.10072727272727272</v>
      </c>
      <c r="CJ46" s="19">
        <v>0.10154545454545455</v>
      </c>
      <c r="CK46" s="19">
        <v>0.10236363636363635</v>
      </c>
      <c r="CL46" s="19">
        <v>0.10318181818181818</v>
      </c>
      <c r="CM46" s="19">
        <v>0.104</v>
      </c>
    </row>
    <row r="47" spans="1:91" x14ac:dyDescent="0.25">
      <c r="A47" s="17"/>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row>
    <row r="48" spans="1:91" x14ac:dyDescent="0.25">
      <c r="A48" s="17" t="s">
        <v>17</v>
      </c>
      <c r="B48" s="5">
        <v>0</v>
      </c>
      <c r="C48" s="5">
        <v>0</v>
      </c>
      <c r="D48" s="5">
        <v>0</v>
      </c>
      <c r="E48" s="5">
        <v>0</v>
      </c>
      <c r="F48" s="5">
        <v>0</v>
      </c>
      <c r="G48" s="5">
        <v>0</v>
      </c>
      <c r="H48" s="5">
        <v>0</v>
      </c>
      <c r="I48" s="5">
        <v>0</v>
      </c>
      <c r="J48" s="5">
        <v>0</v>
      </c>
      <c r="K48" s="5">
        <v>0</v>
      </c>
      <c r="L48" s="5">
        <v>0</v>
      </c>
      <c r="M48" s="5">
        <v>0</v>
      </c>
      <c r="N48" s="5">
        <v>0</v>
      </c>
      <c r="O48" s="5">
        <v>0</v>
      </c>
      <c r="P48" s="5">
        <v>0</v>
      </c>
      <c r="Q48" s="5">
        <v>0</v>
      </c>
      <c r="R48" s="5">
        <v>0</v>
      </c>
      <c r="S48" s="5">
        <v>0</v>
      </c>
      <c r="T48" s="5">
        <v>0</v>
      </c>
      <c r="U48" s="5">
        <v>0</v>
      </c>
      <c r="V48" s="5">
        <v>0</v>
      </c>
      <c r="W48" s="5">
        <v>0</v>
      </c>
      <c r="X48" s="5">
        <v>0</v>
      </c>
      <c r="Y48" s="5">
        <v>0</v>
      </c>
      <c r="Z48" s="5">
        <v>0</v>
      </c>
      <c r="AA48" s="5">
        <v>0</v>
      </c>
      <c r="AB48" s="5">
        <v>0</v>
      </c>
      <c r="AC48" s="5">
        <v>0</v>
      </c>
      <c r="AD48" s="5">
        <v>0</v>
      </c>
      <c r="AE48" s="5">
        <v>0</v>
      </c>
      <c r="AF48" s="19">
        <v>3.0288636363636368E-3</v>
      </c>
      <c r="AG48" s="19">
        <v>3.1022727272727278E-3</v>
      </c>
      <c r="AH48" s="19">
        <v>3.1756818181818188E-3</v>
      </c>
      <c r="AI48" s="19">
        <v>3.2490909090909098E-3</v>
      </c>
      <c r="AJ48" s="19">
        <v>3.3225000000000008E-3</v>
      </c>
      <c r="AK48" s="19">
        <v>3.3959090909090918E-3</v>
      </c>
      <c r="AL48" s="19">
        <v>3.4693181818181828E-3</v>
      </c>
      <c r="AM48" s="19">
        <v>3.5427272727272738E-3</v>
      </c>
      <c r="AN48" s="19">
        <v>3.6161363636363648E-3</v>
      </c>
      <c r="AO48" s="19">
        <v>3.6895454545454558E-3</v>
      </c>
      <c r="AP48" s="19">
        <v>3.7629545454545468E-3</v>
      </c>
      <c r="AQ48" s="19">
        <v>3.8363636363636378E-3</v>
      </c>
      <c r="AR48" s="19">
        <v>3.9097727272727287E-3</v>
      </c>
      <c r="AS48" s="19">
        <v>3.9831818181818197E-3</v>
      </c>
      <c r="AT48" s="19">
        <v>4.0565909090909107E-3</v>
      </c>
      <c r="AU48" s="19">
        <v>4.1300000000000009E-3</v>
      </c>
      <c r="AV48" s="19">
        <v>4.1579545454545463E-3</v>
      </c>
      <c r="AW48" s="19">
        <v>4.1859090909090917E-3</v>
      </c>
      <c r="AX48" s="19">
        <v>4.2138636363636371E-3</v>
      </c>
      <c r="AY48" s="19">
        <v>4.2418181818181825E-3</v>
      </c>
      <c r="AZ48" s="19">
        <v>4.269772727272728E-3</v>
      </c>
      <c r="BA48" s="19">
        <v>4.2977272727272734E-3</v>
      </c>
      <c r="BB48" s="19">
        <v>4.3256818181818188E-3</v>
      </c>
      <c r="BC48" s="19">
        <v>4.3536363636363642E-3</v>
      </c>
      <c r="BD48" s="19">
        <v>4.3815909090909096E-3</v>
      </c>
      <c r="BE48" s="19">
        <v>4.4095454545454551E-3</v>
      </c>
      <c r="BF48" s="19">
        <v>4.4375000000000005E-3</v>
      </c>
      <c r="BG48" s="19">
        <v>4.4654545454545459E-3</v>
      </c>
      <c r="BH48" s="19">
        <v>4.4934090909090913E-3</v>
      </c>
      <c r="BI48" s="19">
        <v>4.5213636363636367E-3</v>
      </c>
      <c r="BJ48" s="19">
        <v>4.5493181818181821E-3</v>
      </c>
      <c r="BK48" s="19">
        <v>4.5772727272727276E-3</v>
      </c>
      <c r="BL48" s="19">
        <v>4.605227272727273E-3</v>
      </c>
      <c r="BM48" s="19">
        <v>4.6331818181818184E-3</v>
      </c>
      <c r="BN48" s="19">
        <v>4.6611363636363638E-3</v>
      </c>
      <c r="BO48" s="19">
        <v>4.6890909090909101E-3</v>
      </c>
      <c r="BP48" s="19">
        <v>4.7170454545454547E-3</v>
      </c>
      <c r="BQ48" s="19">
        <v>4.745000000000001E-3</v>
      </c>
      <c r="BR48" s="19">
        <v>4.7729545454545455E-3</v>
      </c>
      <c r="BS48" s="19">
        <v>4.8009090909090918E-3</v>
      </c>
      <c r="BT48" s="19">
        <v>4.8288636363636372E-3</v>
      </c>
      <c r="BU48" s="19">
        <v>4.8568181818181826E-3</v>
      </c>
      <c r="BV48" s="19">
        <v>4.8847727272727281E-3</v>
      </c>
      <c r="BW48" s="19">
        <v>4.9127272727272735E-3</v>
      </c>
      <c r="BX48" s="19">
        <v>4.9406818181818189E-3</v>
      </c>
      <c r="BY48" s="19">
        <v>4.9686363636363643E-3</v>
      </c>
      <c r="BZ48" s="19">
        <v>4.9965909090909097E-3</v>
      </c>
      <c r="CA48" s="19">
        <v>5.0245454545454551E-3</v>
      </c>
      <c r="CB48" s="19">
        <v>5.0525000000000006E-3</v>
      </c>
      <c r="CC48" s="19">
        <v>5.080454545454546E-3</v>
      </c>
      <c r="CD48" s="19">
        <v>5.1084090909090914E-3</v>
      </c>
      <c r="CE48" s="19">
        <v>5.1363636363636368E-3</v>
      </c>
      <c r="CF48" s="19">
        <v>5.1643181818181822E-3</v>
      </c>
      <c r="CG48" s="19">
        <v>5.1922727272727277E-3</v>
      </c>
      <c r="CH48" s="19">
        <v>5.2202272727272731E-3</v>
      </c>
      <c r="CI48" s="19">
        <v>5.2481818181818185E-3</v>
      </c>
      <c r="CJ48" s="19">
        <v>5.2761363636363639E-3</v>
      </c>
      <c r="CK48" s="19">
        <v>5.3040909090909093E-3</v>
      </c>
      <c r="CL48" s="19">
        <v>5.3320454545454548E-3</v>
      </c>
      <c r="CM48" s="19">
        <v>5.3600000000000002E-3</v>
      </c>
    </row>
    <row r="49" spans="1:91" x14ac:dyDescent="0.25">
      <c r="A49" s="17"/>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row>
    <row r="50" spans="1:91" x14ac:dyDescent="0.25">
      <c r="A50" s="17" t="s">
        <v>18</v>
      </c>
      <c r="B50" s="5">
        <v>0</v>
      </c>
      <c r="C50" s="5">
        <v>0</v>
      </c>
      <c r="D50" s="5">
        <v>0</v>
      </c>
      <c r="E50" s="5">
        <v>0</v>
      </c>
      <c r="F50" s="5">
        <v>0</v>
      </c>
      <c r="G50" s="5">
        <v>0</v>
      </c>
      <c r="H50" s="5">
        <v>0</v>
      </c>
      <c r="I50" s="5">
        <v>0</v>
      </c>
      <c r="J50" s="5">
        <v>0</v>
      </c>
      <c r="K50" s="5">
        <v>0</v>
      </c>
      <c r="L50" s="5">
        <v>0</v>
      </c>
      <c r="M50" s="5">
        <v>0</v>
      </c>
      <c r="N50" s="5">
        <v>0</v>
      </c>
      <c r="O50" s="5">
        <v>0</v>
      </c>
      <c r="P50" s="5">
        <v>0</v>
      </c>
      <c r="Q50" s="5">
        <v>0</v>
      </c>
      <c r="R50" s="5">
        <v>0</v>
      </c>
      <c r="S50" s="5">
        <v>0</v>
      </c>
      <c r="T50" s="5">
        <v>0</v>
      </c>
      <c r="U50" s="5">
        <v>0</v>
      </c>
      <c r="V50" s="5">
        <v>0</v>
      </c>
      <c r="W50" s="5">
        <v>0</v>
      </c>
      <c r="X50" s="5">
        <v>0</v>
      </c>
      <c r="Y50" s="5">
        <v>0</v>
      </c>
      <c r="Z50" s="5">
        <v>0</v>
      </c>
      <c r="AA50" s="5">
        <v>0</v>
      </c>
      <c r="AB50" s="5">
        <v>0</v>
      </c>
      <c r="AC50" s="5">
        <v>0</v>
      </c>
      <c r="AD50" s="5">
        <v>0</v>
      </c>
      <c r="AE50" s="5">
        <v>0</v>
      </c>
      <c r="AF50" s="19">
        <v>8.6618671127481966E-4</v>
      </c>
      <c r="AG50" s="19">
        <v>8.7332065560907562E-4</v>
      </c>
      <c r="AH50" s="19">
        <v>8.8045459994333169E-4</v>
      </c>
      <c r="AI50" s="19">
        <v>8.8758854427758765E-4</v>
      </c>
      <c r="AJ50" s="19">
        <v>8.9472248861184372E-4</v>
      </c>
      <c r="AK50" s="19">
        <v>9.0185643294609969E-4</v>
      </c>
      <c r="AL50" s="19">
        <v>9.0899037728035576E-4</v>
      </c>
      <c r="AM50" s="19">
        <v>9.1612432161461172E-4</v>
      </c>
      <c r="AN50" s="19">
        <v>9.2325826594886768E-4</v>
      </c>
      <c r="AO50" s="19">
        <v>9.3039221028312375E-4</v>
      </c>
      <c r="AP50" s="19">
        <v>9.3752615461737982E-4</v>
      </c>
      <c r="AQ50" s="19">
        <v>9.4466009895163578E-4</v>
      </c>
      <c r="AR50" s="19">
        <v>9.5179404328589175E-4</v>
      </c>
      <c r="AS50" s="19">
        <v>9.5892798762014782E-4</v>
      </c>
      <c r="AT50" s="19">
        <v>9.6606193195440389E-4</v>
      </c>
      <c r="AU50" s="19">
        <v>9.7319587628865985E-4</v>
      </c>
      <c r="AV50" s="19">
        <v>9.9072164948453621E-4</v>
      </c>
      <c r="AW50" s="19">
        <v>1.0082474226804125E-3</v>
      </c>
      <c r="AX50" s="19">
        <v>1.0257731958762887E-3</v>
      </c>
      <c r="AY50" s="19">
        <v>1.043298969072165E-3</v>
      </c>
      <c r="AZ50" s="19">
        <v>1.0608247422680412E-3</v>
      </c>
      <c r="BA50" s="19">
        <v>1.0783505154639175E-3</v>
      </c>
      <c r="BB50" s="19">
        <v>1.095876288659794E-3</v>
      </c>
      <c r="BC50" s="19">
        <v>1.1134020618556702E-3</v>
      </c>
      <c r="BD50" s="19">
        <v>1.1309278350515465E-3</v>
      </c>
      <c r="BE50" s="19">
        <v>1.1484536082474227E-3</v>
      </c>
      <c r="BF50" s="19">
        <v>1.165979381443299E-3</v>
      </c>
      <c r="BG50" s="19">
        <v>1.1835051546391752E-3</v>
      </c>
      <c r="BH50" s="19">
        <v>1.2010309278350515E-3</v>
      </c>
      <c r="BI50" s="19">
        <v>1.2185567010309277E-3</v>
      </c>
      <c r="BJ50" s="19">
        <v>1.236082474226804E-3</v>
      </c>
      <c r="BK50" s="19">
        <v>1.2536082474226805E-3</v>
      </c>
      <c r="BL50" s="19">
        <v>1.2711340206185567E-3</v>
      </c>
      <c r="BM50" s="19">
        <v>1.288659793814433E-3</v>
      </c>
      <c r="BN50" s="19">
        <v>1.3061855670103092E-3</v>
      </c>
      <c r="BO50" s="19">
        <v>1.3237113402061855E-3</v>
      </c>
      <c r="BP50" s="19">
        <v>1.3412371134020619E-3</v>
      </c>
      <c r="BQ50" s="19">
        <v>1.3587628865979382E-3</v>
      </c>
      <c r="BR50" s="19">
        <v>1.3762886597938145E-3</v>
      </c>
      <c r="BS50" s="19">
        <v>1.3938144329896907E-3</v>
      </c>
      <c r="BT50" s="19">
        <v>1.411340206185567E-3</v>
      </c>
      <c r="BU50" s="19">
        <v>1.4288659793814432E-3</v>
      </c>
      <c r="BV50" s="19">
        <v>1.4463917525773195E-3</v>
      </c>
      <c r="BW50" s="19">
        <v>1.4639175257731957E-3</v>
      </c>
      <c r="BX50" s="19">
        <v>1.481443298969072E-3</v>
      </c>
      <c r="BY50" s="19">
        <v>1.4989690721649482E-3</v>
      </c>
      <c r="BZ50" s="19">
        <v>1.5164948453608247E-3</v>
      </c>
      <c r="CA50" s="19">
        <v>1.534020618556701E-3</v>
      </c>
      <c r="CB50" s="19">
        <v>1.5515463917525772E-3</v>
      </c>
      <c r="CC50" s="19">
        <v>1.5690721649484537E-3</v>
      </c>
      <c r="CD50" s="19">
        <v>1.5865979381443299E-3</v>
      </c>
      <c r="CE50" s="19">
        <v>1.6041237113402062E-3</v>
      </c>
      <c r="CF50" s="19">
        <v>1.6216494845360824E-3</v>
      </c>
      <c r="CG50" s="19">
        <v>1.6391752577319587E-3</v>
      </c>
      <c r="CH50" s="19">
        <v>1.656701030927835E-3</v>
      </c>
      <c r="CI50" s="19">
        <v>1.6742268041237112E-3</v>
      </c>
      <c r="CJ50" s="19">
        <v>1.6917525773195875E-3</v>
      </c>
      <c r="CK50" s="19">
        <v>1.7092783505154637E-3</v>
      </c>
      <c r="CL50" s="19">
        <v>1.72680412371134E-3</v>
      </c>
      <c r="CM50" s="19">
        <v>1.7443298969072164E-3</v>
      </c>
    </row>
    <row r="52" spans="1:91" x14ac:dyDescent="0.25">
      <c r="A52" s="40" t="s">
        <v>33</v>
      </c>
      <c r="B52" s="5">
        <f>'25% by 2050 Ag'!B27</f>
        <v>0</v>
      </c>
      <c r="C52" s="5">
        <f>'25% by 2050 Ag'!C27</f>
        <v>0</v>
      </c>
      <c r="D52" s="5">
        <f>'25% by 2050 Ag'!D27</f>
        <v>0</v>
      </c>
      <c r="E52" s="5">
        <f>'25% by 2050 Ag'!E27</f>
        <v>0</v>
      </c>
      <c r="F52" s="5">
        <f>'25% by 2050 Ag'!F27</f>
        <v>0</v>
      </c>
      <c r="G52" s="5">
        <f>'25% by 2050 Ag'!G27</f>
        <v>0</v>
      </c>
      <c r="H52" s="5">
        <f>'25% by 2050 Ag'!H27</f>
        <v>0</v>
      </c>
      <c r="I52" s="5">
        <f>'25% by 2050 Ag'!I27</f>
        <v>0</v>
      </c>
      <c r="J52" s="5">
        <f>'25% by 2050 Ag'!J27</f>
        <v>0</v>
      </c>
      <c r="K52" s="5">
        <f>'25% by 2050 Ag'!K27</f>
        <v>0</v>
      </c>
      <c r="L52" s="5">
        <f>'25% by 2050 Ag'!L27</f>
        <v>0</v>
      </c>
      <c r="M52" s="5">
        <f>'25% by 2050 Ag'!M27</f>
        <v>0</v>
      </c>
      <c r="N52" s="5">
        <f>'25% by 2050 Ag'!N27</f>
        <v>0</v>
      </c>
      <c r="O52" s="5">
        <f>'25% by 2050 Ag'!O27</f>
        <v>0</v>
      </c>
      <c r="P52" s="5">
        <f>'25% by 2050 Ag'!P27</f>
        <v>0</v>
      </c>
      <c r="Q52" s="5">
        <f>'25% by 2050 Ag'!Q27</f>
        <v>0</v>
      </c>
      <c r="R52" s="5">
        <f>'25% by 2050 Ag'!R27</f>
        <v>0</v>
      </c>
      <c r="S52" s="5">
        <f>'25% by 2050 Ag'!S27</f>
        <v>0</v>
      </c>
      <c r="T52" s="5">
        <f>'25% by 2050 Ag'!T27</f>
        <v>0</v>
      </c>
      <c r="U52" s="5">
        <f>'25% by 2050 Ag'!U27</f>
        <v>0</v>
      </c>
      <c r="V52" s="5">
        <f>'25% by 2050 Ag'!V27</f>
        <v>0</v>
      </c>
      <c r="W52" s="5">
        <f>'25% by 2050 Ag'!W27</f>
        <v>0</v>
      </c>
      <c r="X52" s="5">
        <f>'25% by 2050 Ag'!X27</f>
        <v>0</v>
      </c>
      <c r="Y52" s="5">
        <f>'25% by 2050 Ag'!Y27</f>
        <v>0</v>
      </c>
      <c r="Z52" s="5">
        <f>'25% by 2050 Ag'!Z27</f>
        <v>0</v>
      </c>
      <c r="AA52" s="5">
        <f>'25% by 2050 Ag'!AA27</f>
        <v>0</v>
      </c>
      <c r="AB52" s="5">
        <f>'25% by 2050 Ag'!AB27</f>
        <v>0</v>
      </c>
      <c r="AC52" s="5">
        <f>'25% by 2050 Ag'!AC27</f>
        <v>0</v>
      </c>
      <c r="AD52" s="5">
        <f>'25% by 2050 Ag'!AD27</f>
        <v>0</v>
      </c>
      <c r="AE52" s="5">
        <f>'25% by 2050 Ag'!AE27</f>
        <v>0</v>
      </c>
      <c r="AF52" s="48">
        <f>'25% by 2050 Ag'!AF27</f>
        <v>264298.13384870189</v>
      </c>
      <c r="AG52" s="48">
        <f>'25% by 2050 Ag'!AG27</f>
        <v>520633.93324715138</v>
      </c>
      <c r="AH52" s="48">
        <f>'25% by 2050 Ag'!AH27</f>
        <v>769361.87263473251</v>
      </c>
      <c r="AI52" s="48">
        <f>'25% by 2050 Ag'!AI27</f>
        <v>1010815.693040224</v>
      </c>
      <c r="AJ52" s="48">
        <f>'25% by 2050 Ag'!AJ27</f>
        <v>1245309.8961211501</v>
      </c>
      <c r="AK52" s="48">
        <f>'25% by 2050 Ag'!AK27</f>
        <v>1473141.1108468894</v>
      </c>
      <c r="AL52" s="48">
        <f>'25% by 2050 Ag'!AL27</f>
        <v>1694589.3453137057</v>
      </c>
      <c r="AM52" s="48">
        <f>'25% by 2050 Ag'!AM27</f>
        <v>1909919.13479971</v>
      </c>
      <c r="AN52" s="48">
        <f>'25% by 2050 Ag'!AN27</f>
        <v>2119380.5959568662</v>
      </c>
      <c r="AO52" s="48">
        <f>'25% by 2050 Ag'!AO27</f>
        <v>2323210.3959727613</v>
      </c>
      <c r="AP52" s="48">
        <f>'25% by 2050 Ag'!AP27</f>
        <v>2528030.7295535938</v>
      </c>
      <c r="AQ52" s="48">
        <f>'25% by 2050 Ag'!AQ27</f>
        <v>3025243.1509060082</v>
      </c>
      <c r="AR52" s="48">
        <f>'25% by 2050 Ag'!AR27</f>
        <v>3914439.356290834</v>
      </c>
      <c r="AS52" s="48">
        <f>'25% by 2050 Ag'!AS27</f>
        <v>4710896.3697284199</v>
      </c>
      <c r="AT52" s="48">
        <f>'25% by 2050 Ag'!AT27</f>
        <v>5525197.0183615312</v>
      </c>
      <c r="AU52" s="48">
        <f>'25% by 2050 Ag'!AU27</f>
        <v>7231647.8086248199</v>
      </c>
      <c r="AV52" s="48">
        <f>'25% by 2050 Ag'!AV27</f>
        <v>10062408.411293173</v>
      </c>
      <c r="AW52" s="48">
        <f>'25% by 2050 Ag'!AW27</f>
        <v>14004755.431666218</v>
      </c>
      <c r="AX52" s="48">
        <f>'25% by 2050 Ag'!AX27</f>
        <v>14989749.552085569</v>
      </c>
      <c r="AY52" s="48">
        <f>'25% by 2050 Ag'!AY27</f>
        <v>16052595.374386443</v>
      </c>
      <c r="AZ52" s="48">
        <f>'25% by 2050 Ag'!AZ27</f>
        <v>17105346.28058739</v>
      </c>
      <c r="BA52" s="48">
        <f>'25% by 2050 Ag'!BA27</f>
        <v>18148158.904882386</v>
      </c>
      <c r="BB52" s="48">
        <f>'25% by 2050 Ag'!BB27</f>
        <v>19181186.192052074</v>
      </c>
      <c r="BC52" s="48">
        <f>'25% by 2050 Ag'!BC27</f>
        <v>20204577.523639631</v>
      </c>
      <c r="BD52" s="48">
        <f>'25% by 2050 Ag'!BD27</f>
        <v>21218478.838245515</v>
      </c>
      <c r="BE52" s="48">
        <f>'25% by 2050 Ag'!BE27</f>
        <v>22223032.746287949</v>
      </c>
      <c r="BF52" s="48">
        <f>'25% by 2050 Ag'!BF27</f>
        <v>23218378.639551979</v>
      </c>
      <c r="BG52" s="48">
        <f>'25% by 2050 Ag'!BG27</f>
        <v>24204652.795827199</v>
      </c>
      <c r="BH52" s="48">
        <f>'25% by 2050 Ag'!BH27</f>
        <v>25181987.072291125</v>
      </c>
      <c r="BI52" s="48">
        <f>'25% by 2050 Ag'!BI27</f>
        <v>27722897.613718852</v>
      </c>
      <c r="BJ52" s="48">
        <f>'25% by 2050 Ag'!BJ27</f>
        <v>30213917.320765853</v>
      </c>
      <c r="BK52" s="48">
        <f>'25% by 2050 Ag'!BK27</f>
        <v>32655942.729002677</v>
      </c>
      <c r="BL52" s="48">
        <f>'25% by 2050 Ag'!BL27</f>
        <v>35049850.946431875</v>
      </c>
      <c r="BM52" s="48">
        <f>'25% by 2050 Ag'!BM27</f>
        <v>37396500.271563739</v>
      </c>
      <c r="BN52" s="48">
        <f>'25% by 2050 Ag'!BN27</f>
        <v>39696730.783159316</v>
      </c>
      <c r="BO52" s="48">
        <f>'25% by 2050 Ag'!BO27</f>
        <v>41951364.903280146</v>
      </c>
      <c r="BP52" s="48">
        <f>'25% by 2050 Ag'!BP27</f>
        <v>44161207.935173422</v>
      </c>
      <c r="BQ52" s="48">
        <f>'25% by 2050 Ag'!BQ27</f>
        <v>46327048.57742016</v>
      </c>
      <c r="BR52" s="48">
        <f>'25% by 2050 Ag'!BR27</f>
        <v>48449659.415679239</v>
      </c>
      <c r="BS52" s="48">
        <f>'25% by 2050 Ag'!BS27</f>
        <v>50529797.393273272</v>
      </c>
      <c r="BT52" s="48">
        <f>'25% by 2050 Ag'!BT27</f>
        <v>52568204.261781365</v>
      </c>
      <c r="BU52" s="48">
        <f>'25% by 2050 Ag'!BU27</f>
        <v>54565607.012728721</v>
      </c>
      <c r="BV52" s="48">
        <f>'25% by 2050 Ag'!BV27</f>
        <v>56522718.29139404</v>
      </c>
      <c r="BW52" s="48">
        <f>'25% by 2050 Ag'!BW27</f>
        <v>58440236.793690279</v>
      </c>
      <c r="BX52" s="48">
        <f>'25% by 2050 Ag'!BX27</f>
        <v>60318847.647015482</v>
      </c>
      <c r="BY52" s="48">
        <f>'25% by 2050 Ag'!BY27</f>
        <v>62159222.775913559</v>
      </c>
      <c r="BZ52" s="48">
        <f>'25% by 2050 Ag'!BZ27</f>
        <v>63962021.253333978</v>
      </c>
      <c r="CA52" s="48">
        <f>'25% by 2050 Ag'!CA27</f>
        <v>65727889.638230376</v>
      </c>
      <c r="CB52" s="48">
        <f>'25% by 2050 Ag'!CB27</f>
        <v>67457462.30019404</v>
      </c>
      <c r="CC52" s="48">
        <f>'25% by 2050 Ag'!CC27</f>
        <v>69151361.731775209</v>
      </c>
      <c r="CD52" s="48">
        <f>'25% by 2050 Ag'!CD27</f>
        <v>70810198.849107534</v>
      </c>
      <c r="CE52" s="48">
        <f>'25% by 2050 Ag'!CE27</f>
        <v>72434573.281413376</v>
      </c>
      <c r="CF52" s="48">
        <f>'25% by 2050 Ag'!CF27</f>
        <v>74025073.6499345</v>
      </c>
      <c r="CG52" s="48">
        <f>'25% by 2050 Ag'!CG27</f>
        <v>75582277.836800873</v>
      </c>
      <c r="CH52" s="48">
        <f>'25% by 2050 Ag'!CH27</f>
        <v>77106753.244320154</v>
      </c>
      <c r="CI52" s="48">
        <f>'25% by 2050 Ag'!CI27</f>
        <v>78599057.045143902</v>
      </c>
      <c r="CJ52" s="48">
        <f>'25% by 2050 Ag'!CJ27</f>
        <v>80059736.423739135</v>
      </c>
      <c r="CK52" s="48">
        <f>'25% by 2050 Ag'!CK27</f>
        <v>81489328.809571177</v>
      </c>
      <c r="CL52" s="48">
        <f>'25% by 2050 Ag'!CL27</f>
        <v>82888362.102379844</v>
      </c>
      <c r="CM52" s="48">
        <f>'25% by 2050 Ag'!CM27</f>
        <v>84257354.889910609</v>
      </c>
    </row>
    <row r="53" spans="1:91" s="41" customFormat="1" x14ac:dyDescent="0.2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row>
    <row r="54" spans="1:91" x14ac:dyDescent="0.25">
      <c r="A54" s="41" t="s">
        <v>22</v>
      </c>
      <c r="B54" s="5">
        <f>'25% by 2050 Ag'!B28</f>
        <v>0</v>
      </c>
      <c r="C54" s="5">
        <f>'25% by 2050 Ag'!C28</f>
        <v>0</v>
      </c>
      <c r="D54" s="5">
        <f>'25% by 2050 Ag'!D28</f>
        <v>0</v>
      </c>
      <c r="E54" s="5">
        <f>'25% by 2050 Ag'!E28</f>
        <v>0</v>
      </c>
      <c r="F54" s="5">
        <f>'25% by 2050 Ag'!F28</f>
        <v>0</v>
      </c>
      <c r="G54" s="5">
        <f>'25% by 2050 Ag'!G28</f>
        <v>0</v>
      </c>
      <c r="H54" s="5">
        <f>'25% by 2050 Ag'!H28</f>
        <v>0</v>
      </c>
      <c r="I54" s="5">
        <f>'25% by 2050 Ag'!I28</f>
        <v>0</v>
      </c>
      <c r="J54" s="5">
        <f>'25% by 2050 Ag'!J28</f>
        <v>0</v>
      </c>
      <c r="K54" s="5">
        <f>'25% by 2050 Ag'!K28</f>
        <v>0</v>
      </c>
      <c r="L54" s="5">
        <f>'25% by 2050 Ag'!L28</f>
        <v>0</v>
      </c>
      <c r="M54" s="5">
        <f>'25% by 2050 Ag'!M28</f>
        <v>0</v>
      </c>
      <c r="N54" s="5">
        <f>'25% by 2050 Ag'!N28</f>
        <v>0</v>
      </c>
      <c r="O54" s="5">
        <f>'25% by 2050 Ag'!O28</f>
        <v>0</v>
      </c>
      <c r="P54" s="5">
        <f>'25% by 2050 Ag'!P28</f>
        <v>0</v>
      </c>
      <c r="Q54" s="5">
        <f>'25% by 2050 Ag'!Q28</f>
        <v>0</v>
      </c>
      <c r="R54" s="5">
        <f>'25% by 2050 Ag'!R28</f>
        <v>0</v>
      </c>
      <c r="S54" s="5">
        <f>'25% by 2050 Ag'!S28</f>
        <v>0</v>
      </c>
      <c r="T54" s="5">
        <f>'25% by 2050 Ag'!T28</f>
        <v>0</v>
      </c>
      <c r="U54" s="5">
        <f>'25% by 2050 Ag'!U28</f>
        <v>0</v>
      </c>
      <c r="V54" s="5">
        <f>'25% by 2050 Ag'!V28</f>
        <v>0</v>
      </c>
      <c r="W54" s="5">
        <f>'25% by 2050 Ag'!W28</f>
        <v>0</v>
      </c>
      <c r="X54" s="5">
        <f>'25% by 2050 Ag'!X28</f>
        <v>0</v>
      </c>
      <c r="Y54" s="5">
        <f>'25% by 2050 Ag'!Y28</f>
        <v>0</v>
      </c>
      <c r="Z54" s="5">
        <f>'25% by 2050 Ag'!Z28</f>
        <v>0</v>
      </c>
      <c r="AA54" s="5">
        <f>'25% by 2050 Ag'!AA28</f>
        <v>0</v>
      </c>
      <c r="AB54" s="5">
        <f>'25% by 2050 Ag'!AB28</f>
        <v>0</v>
      </c>
      <c r="AC54" s="5">
        <f>'25% by 2050 Ag'!AC28</f>
        <v>0</v>
      </c>
      <c r="AD54" s="5">
        <f>'25% by 2050 Ag'!AD28</f>
        <v>0</v>
      </c>
      <c r="AE54" s="5">
        <f>'25% by 2050 Ag'!AE28</f>
        <v>0</v>
      </c>
      <c r="AF54" s="48">
        <f>'25% by 2050 Ag'!AF28</f>
        <v>778374.70567275002</v>
      </c>
      <c r="AG54" s="48">
        <f>'25% by 2050 Ag'!AG28</f>
        <v>1535022.1093097155</v>
      </c>
      <c r="AH54" s="48">
        <f>'25% by 2050 Ag'!AH28</f>
        <v>2270889.154513876</v>
      </c>
      <c r="AI54" s="48">
        <f>'25% by 2050 Ag'!AI28</f>
        <v>2986866.5307719884</v>
      </c>
      <c r="AJ54" s="48">
        <f>'25% by 2050 Ag'!AJ28</f>
        <v>3683792.8982335599</v>
      </c>
      <c r="AK54" s="48">
        <f>'25% by 2050 Ag'!AK28</f>
        <v>4362458.7303994726</v>
      </c>
      <c r="AL54" s="48">
        <f>'25% by 2050 Ag'!AL28</f>
        <v>5023609.8149621096</v>
      </c>
      <c r="AM54" s="48">
        <f>'25% by 2050 Ag'!AM28</f>
        <v>5667950.4482213622</v>
      </c>
      <c r="AN54" s="48">
        <f>'25% by 2050 Ag'!AN28</f>
        <v>6296146.3543270566</v>
      </c>
      <c r="AO54" s="48">
        <f>'25% by 2050 Ag'!AO28</f>
        <v>6908827.3569737086</v>
      </c>
      <c r="AP54" s="48">
        <f>'25% by 2050 Ag'!AP28</f>
        <v>7515181.8335191449</v>
      </c>
      <c r="AQ54" s="48">
        <f>'25% by 2050 Ag'!AQ28</f>
        <v>8613695.5486764461</v>
      </c>
      <c r="AR54" s="48">
        <f>'25% by 2050 Ag'!AR28</f>
        <v>10091710.215177305</v>
      </c>
      <c r="AS54" s="48">
        <f>'25% by 2050 Ag'!AS28</f>
        <v>10296365.485343222</v>
      </c>
      <c r="AT54" s="48">
        <f>'25% by 2050 Ag'!AT28</f>
        <v>12914628.496858951</v>
      </c>
      <c r="AU54" s="48">
        <f>'25% by 2050 Ag'!AU28</f>
        <v>17405074.823177025</v>
      </c>
      <c r="AV54" s="48">
        <f>'25% by 2050 Ag'!AV28</f>
        <v>22085449.70506895</v>
      </c>
      <c r="AW54" s="48">
        <f>'25% by 2050 Ag'!AW28</f>
        <v>28488573.549461856</v>
      </c>
      <c r="AX54" s="48">
        <f>'25% by 2050 Ag'!AX28</f>
        <v>35581088.29499279</v>
      </c>
      <c r="AY54" s="48">
        <f>'25% by 2050 Ag'!AY28</f>
        <v>40062127.00281693</v>
      </c>
      <c r="AZ54" s="48">
        <f>'25% by 2050 Ag'!AZ28</f>
        <v>44462577.950583547</v>
      </c>
      <c r="BA54" s="48">
        <f>'25% by 2050 Ag'!BA28</f>
        <v>48784631.739637792</v>
      </c>
      <c r="BB54" s="48">
        <f>'25% by 2050 Ag'!BB28</f>
        <v>53030399.367209017</v>
      </c>
      <c r="BC54" s="48">
        <f>'25% by 2050 Ag'!BC28</f>
        <v>57201915.846381441</v>
      </c>
      <c r="BD54" s="48">
        <f>'25% by 2050 Ag'!BD28</f>
        <v>61301143.628565356</v>
      </c>
      <c r="BE54" s="48">
        <f>'25% by 2050 Ag'!BE28</f>
        <v>65329975.841022998</v>
      </c>
      <c r="BF54" s="48">
        <f>'25% by 2050 Ag'!BF28</f>
        <v>69290239.351093575</v>
      </c>
      <c r="BG54" s="48">
        <f>'25% by 2050 Ag'!BG28</f>
        <v>73183697.667925835</v>
      </c>
      <c r="BH54" s="48">
        <f>'25% by 2050 Ag'!BH28</f>
        <v>77012045.219639331</v>
      </c>
      <c r="BI54" s="48">
        <f>'25% by 2050 Ag'!BI28</f>
        <v>101528472.96242721</v>
      </c>
      <c r="BJ54" s="48">
        <f>'25% by 2050 Ag'!BJ28</f>
        <v>122851592.28334096</v>
      </c>
      <c r="BK54" s="48">
        <f>'25% by 2050 Ag'!BK28</f>
        <v>143794570.62429976</v>
      </c>
      <c r="BL54" s="48">
        <f>'25% by 2050 Ag'!BL28</f>
        <v>164367054.85666654</v>
      </c>
      <c r="BM54" s="48">
        <f>'25% by 2050 Ag'!BM28</f>
        <v>184578366.62866968</v>
      </c>
      <c r="BN54" s="48">
        <f>'25% by 2050 Ag'!BN28</f>
        <v>204437516.16394019</v>
      </c>
      <c r="BO54" s="48">
        <f>'25% by 2050 Ag'!BO28</f>
        <v>223953215.35754138</v>
      </c>
      <c r="BP54" s="48">
        <f>'25% by 2050 Ag'!BP28</f>
        <v>243133890.2109828</v>
      </c>
      <c r="BQ54" s="48">
        <f>'25% by 2050 Ag'!BQ28</f>
        <v>261987692.6449317</v>
      </c>
      <c r="BR54" s="48">
        <f>'25% by 2050 Ag'!BR28</f>
        <v>280522511.72576308</v>
      </c>
      <c r="BS54" s="48">
        <f>'25% by 2050 Ag'!BS28</f>
        <v>298745984.33970988</v>
      </c>
      <c r="BT54" s="48">
        <f>'25% by 2050 Ag'!BT28</f>
        <v>316665505.34616733</v>
      </c>
      <c r="BU54" s="48">
        <f>'25% by 2050 Ag'!BU28</f>
        <v>334288237.23966336</v>
      </c>
      <c r="BV54" s="48">
        <f>'25% by 2050 Ag'!BV28</f>
        <v>351621119.34810567</v>
      </c>
      <c r="BW54" s="48">
        <f>'25% by 2050 Ag'!BW28</f>
        <v>368670876.59316033</v>
      </c>
      <c r="BX54" s="48">
        <f>'25% by 2050 Ag'!BX28</f>
        <v>385444027.83697653</v>
      </c>
      <c r="BY54" s="48">
        <f>'25% by 2050 Ag'!BY28</f>
        <v>401946893.83795393</v>
      </c>
      <c r="BZ54" s="48">
        <f>'25% by 2050 Ag'!BZ28</f>
        <v>418185604.83683813</v>
      </c>
      <c r="CA54" s="48">
        <f>'25% by 2050 Ag'!CA28</f>
        <v>434166107.79310703</v>
      </c>
      <c r="CB54" s="48">
        <f>'25% by 2050 Ag'!CB28</f>
        <v>449894173.29039776</v>
      </c>
      <c r="CC54" s="48">
        <f>'25% by 2050 Ag'!CC28</f>
        <v>465375402.12857032</v>
      </c>
      <c r="CD54" s="48">
        <f>'25% by 2050 Ag'!CD28</f>
        <v>480615231.61895174</v>
      </c>
      <c r="CE54" s="48">
        <f>'25% by 2050 Ag'!CE28</f>
        <v>495618941.59830558</v>
      </c>
      <c r="CF54" s="48">
        <f>'25% by 2050 Ag'!CF28</f>
        <v>510391660.17615354</v>
      </c>
      <c r="CG54" s="48">
        <f>'25% by 2050 Ag'!CG28</f>
        <v>524938369.22920406</v>
      </c>
      <c r="CH54" s="48">
        <f>'25% by 2050 Ag'!CH28</f>
        <v>539263909.6558429</v>
      </c>
      <c r="CI54" s="48">
        <f>'25% by 2050 Ag'!CI28</f>
        <v>553372986.40288544</v>
      </c>
      <c r="CJ54" s="48">
        <f>'25% by 2050 Ag'!CJ28</f>
        <v>567270173.27608275</v>
      </c>
      <c r="CK54" s="48">
        <f>'25% by 2050 Ag'!CK28</f>
        <v>580959917.54521799</v>
      </c>
      <c r="CL54" s="48">
        <f>'25% by 2050 Ag'!CL28</f>
        <v>594446544.35400867</v>
      </c>
      <c r="CM54" s="48">
        <f>'25% by 2050 Ag'!CM28</f>
        <v>607734260.94445908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4"/>
  <sheetViews>
    <sheetView topLeftCell="R1" workbookViewId="0">
      <selection activeCell="AF2" sqref="AF2:CM28"/>
    </sheetView>
  </sheetViews>
  <sheetFormatPr defaultRowHeight="15" x14ac:dyDescent="0.25"/>
  <cols>
    <col min="1" max="1" width="47.5703125" style="25" customWidth="1"/>
    <col min="2" max="31" width="9.140625" style="5"/>
    <col min="32" max="16384" width="9.140625" style="25"/>
  </cols>
  <sheetData>
    <row r="1" spans="1:91" x14ac:dyDescent="0.25">
      <c r="B1" s="5">
        <v>1961</v>
      </c>
      <c r="C1" s="5">
        <v>1962</v>
      </c>
      <c r="D1" s="5">
        <v>1963</v>
      </c>
      <c r="E1" s="5">
        <v>1964</v>
      </c>
      <c r="F1" s="5">
        <v>1965</v>
      </c>
      <c r="G1" s="5">
        <v>1966</v>
      </c>
      <c r="H1" s="5">
        <v>1967</v>
      </c>
      <c r="I1" s="5">
        <v>1968</v>
      </c>
      <c r="J1" s="5">
        <v>1969</v>
      </c>
      <c r="K1" s="5">
        <v>1970</v>
      </c>
      <c r="L1" s="5">
        <v>1971</v>
      </c>
      <c r="M1" s="5">
        <v>1972</v>
      </c>
      <c r="N1" s="5">
        <v>1973</v>
      </c>
      <c r="O1" s="5">
        <v>1974</v>
      </c>
      <c r="P1" s="5">
        <v>1975</v>
      </c>
      <c r="Q1" s="5">
        <v>1976</v>
      </c>
      <c r="R1" s="5">
        <v>1977</v>
      </c>
      <c r="S1" s="5">
        <v>1978</v>
      </c>
      <c r="T1" s="5">
        <v>1979</v>
      </c>
      <c r="U1" s="5">
        <v>1980</v>
      </c>
      <c r="V1" s="5">
        <v>1981</v>
      </c>
      <c r="W1" s="5">
        <v>1982</v>
      </c>
      <c r="X1" s="5">
        <v>1983</v>
      </c>
      <c r="Y1" s="5">
        <v>1984</v>
      </c>
      <c r="Z1" s="5">
        <v>1985</v>
      </c>
      <c r="AA1" s="5">
        <v>1986</v>
      </c>
      <c r="AB1" s="5">
        <v>1987</v>
      </c>
      <c r="AC1" s="5">
        <v>1988</v>
      </c>
      <c r="AD1" s="5">
        <v>1989</v>
      </c>
      <c r="AE1" s="5">
        <v>1990</v>
      </c>
      <c r="AF1" s="25">
        <v>1991</v>
      </c>
      <c r="AG1" s="25">
        <v>1992</v>
      </c>
      <c r="AH1" s="25">
        <v>1993</v>
      </c>
      <c r="AI1" s="25">
        <v>1994</v>
      </c>
      <c r="AJ1" s="25">
        <v>1995</v>
      </c>
      <c r="AK1" s="25">
        <v>1996</v>
      </c>
      <c r="AL1" s="25">
        <v>1997</v>
      </c>
      <c r="AM1" s="25">
        <v>1998</v>
      </c>
      <c r="AN1" s="25">
        <v>1999</v>
      </c>
      <c r="AO1" s="25">
        <v>2000</v>
      </c>
      <c r="AP1" s="25">
        <v>2001</v>
      </c>
      <c r="AQ1" s="25">
        <v>2002</v>
      </c>
      <c r="AR1" s="25">
        <v>2003</v>
      </c>
      <c r="AS1" s="25">
        <v>2004</v>
      </c>
      <c r="AT1" s="25">
        <v>2005</v>
      </c>
      <c r="AU1" s="25">
        <v>2006</v>
      </c>
      <c r="AV1" s="25">
        <v>2007</v>
      </c>
      <c r="AW1" s="25">
        <v>2008</v>
      </c>
      <c r="AX1" s="25">
        <v>2009</v>
      </c>
      <c r="AY1" s="25">
        <v>2010</v>
      </c>
      <c r="AZ1" s="25">
        <v>2011</v>
      </c>
      <c r="BA1" s="25">
        <v>2012</v>
      </c>
      <c r="BB1" s="25">
        <v>2013</v>
      </c>
      <c r="BC1" s="25">
        <v>2014</v>
      </c>
      <c r="BD1" s="25">
        <v>2015</v>
      </c>
      <c r="BE1" s="25">
        <v>2016</v>
      </c>
      <c r="BF1" s="25">
        <v>2017</v>
      </c>
      <c r="BG1" s="25">
        <v>2018</v>
      </c>
      <c r="BH1" s="25">
        <v>2019</v>
      </c>
      <c r="BI1" s="25">
        <v>2020</v>
      </c>
      <c r="BJ1" s="25">
        <v>2021</v>
      </c>
      <c r="BK1" s="25">
        <v>2022</v>
      </c>
      <c r="BL1" s="25">
        <v>2023</v>
      </c>
      <c r="BM1" s="25">
        <v>2024</v>
      </c>
      <c r="BN1" s="25">
        <v>2025</v>
      </c>
      <c r="BO1" s="25">
        <v>2026</v>
      </c>
      <c r="BP1" s="25">
        <v>2027</v>
      </c>
      <c r="BQ1" s="25">
        <v>2028</v>
      </c>
      <c r="BR1" s="25">
        <v>2029</v>
      </c>
      <c r="BS1" s="25">
        <v>2030</v>
      </c>
      <c r="BT1" s="25">
        <v>2031</v>
      </c>
      <c r="BU1" s="25">
        <v>2032</v>
      </c>
      <c r="BV1" s="25">
        <v>2033</v>
      </c>
      <c r="BW1" s="25">
        <v>2034</v>
      </c>
      <c r="BX1" s="25">
        <v>2035</v>
      </c>
      <c r="BY1" s="25">
        <v>2036</v>
      </c>
      <c r="BZ1" s="25">
        <v>2037</v>
      </c>
      <c r="CA1" s="25">
        <v>2038</v>
      </c>
      <c r="CB1" s="25">
        <v>2039</v>
      </c>
      <c r="CC1" s="25">
        <v>2040</v>
      </c>
      <c r="CD1" s="25">
        <v>2041</v>
      </c>
      <c r="CE1" s="25">
        <v>2042</v>
      </c>
      <c r="CF1" s="25">
        <v>2043</v>
      </c>
      <c r="CG1" s="25">
        <v>2044</v>
      </c>
      <c r="CH1" s="25">
        <v>2045</v>
      </c>
      <c r="CI1" s="25">
        <v>2046</v>
      </c>
      <c r="CJ1" s="25">
        <v>2047</v>
      </c>
      <c r="CK1" s="25">
        <v>2048</v>
      </c>
      <c r="CL1" s="25">
        <v>2049</v>
      </c>
      <c r="CM1" s="25">
        <v>2050</v>
      </c>
    </row>
    <row r="2" spans="1:91" x14ac:dyDescent="0.25">
      <c r="A2" s="41" t="s">
        <v>0</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c r="AD2" s="5">
        <v>0</v>
      </c>
      <c r="AE2" s="5">
        <v>0</v>
      </c>
      <c r="AF2" s="55">
        <v>1.0508415631190336E-5</v>
      </c>
      <c r="AG2" s="55">
        <v>1.0527618537027347E-5</v>
      </c>
      <c r="AH2" s="55">
        <v>1.0524144816427411E-5</v>
      </c>
      <c r="AI2" s="55">
        <v>1.0522462802637258E-5</v>
      </c>
      <c r="AJ2" s="55">
        <v>1.05226809524005E-5</v>
      </c>
      <c r="AK2" s="55">
        <v>1.0524797835739828E-5</v>
      </c>
      <c r="AL2" s="55">
        <v>1.0528848568531622E-5</v>
      </c>
      <c r="AM2" s="55">
        <v>1.0535257891350468E-5</v>
      </c>
      <c r="AN2" s="55">
        <v>1.0544407835154982E-5</v>
      </c>
      <c r="AO2" s="55">
        <v>1.0556611219831291E-5</v>
      </c>
      <c r="AP2" s="55">
        <v>1.0571844928448045E-5</v>
      </c>
      <c r="AQ2" s="55">
        <v>1.0589980349233616E-5</v>
      </c>
      <c r="AR2" s="55">
        <v>1.0610719107102551E-5</v>
      </c>
      <c r="AS2" s="55">
        <v>1.0633798162037924E-5</v>
      </c>
      <c r="AT2" s="55">
        <v>1.0658934712118934E-5</v>
      </c>
      <c r="AU2" s="55">
        <v>1.0847332703046877E-5</v>
      </c>
      <c r="AV2" s="55">
        <v>1.0964836112430804E-5</v>
      </c>
      <c r="AW2" s="55">
        <v>1.1083992348417336E-5</v>
      </c>
      <c r="AX2" s="55">
        <v>1.1204770395154344E-5</v>
      </c>
      <c r="AY2" s="55">
        <v>1.1327126153256903E-5</v>
      </c>
      <c r="AZ2" s="55">
        <v>1.1451082991095796E-5</v>
      </c>
      <c r="BA2" s="55">
        <v>1.1576694440980276E-5</v>
      </c>
      <c r="BB2" s="55">
        <v>1.1703990120910524E-5</v>
      </c>
      <c r="BC2" s="55">
        <v>1.1833062981199678E-5</v>
      </c>
      <c r="BD2" s="55">
        <v>1.1963939200804165E-5</v>
      </c>
      <c r="BE2" s="55">
        <v>1.2096649107742124E-5</v>
      </c>
      <c r="BF2" s="55">
        <v>1.2231179027703737E-5</v>
      </c>
      <c r="BG2" s="55">
        <v>1.2367491102724216E-5</v>
      </c>
      <c r="BH2" s="55">
        <v>1.2505587125350255E-5</v>
      </c>
      <c r="BI2" s="55">
        <v>1.2645391460335783E-5</v>
      </c>
      <c r="BJ2" s="55">
        <v>1.2786912777983501E-5</v>
      </c>
      <c r="BK2" s="55">
        <v>1.2930111981195844E-5</v>
      </c>
      <c r="BL2" s="55">
        <v>1.3074987114622234E-5</v>
      </c>
      <c r="BM2" s="55">
        <v>1.3221532009949526E-5</v>
      </c>
      <c r="BN2" s="55">
        <v>1.336975621292177E-5</v>
      </c>
      <c r="BO2" s="55">
        <v>1.3519600210944814E-5</v>
      </c>
      <c r="BP2" s="55">
        <v>1.3671072306706926E-5</v>
      </c>
      <c r="BQ2" s="55">
        <v>1.3824160526861523E-5</v>
      </c>
      <c r="BR2" s="55">
        <v>1.3978932771532774E-5</v>
      </c>
      <c r="BS2" s="55">
        <v>1.4135376399489679E-5</v>
      </c>
      <c r="BT2" s="55">
        <v>1.4293509548508365E-5</v>
      </c>
      <c r="BU2" s="55">
        <v>1.4453326694501365E-5</v>
      </c>
      <c r="BV2" s="55">
        <v>1.461472877710608E-5</v>
      </c>
      <c r="BW2" s="55">
        <v>1.4777608887724497E-5</v>
      </c>
      <c r="BX2" s="55">
        <v>1.4941900379275375E-5</v>
      </c>
      <c r="BY2" s="55">
        <v>1.5107582006366144E-5</v>
      </c>
      <c r="BZ2" s="55">
        <v>1.5274650565041359E-5</v>
      </c>
      <c r="CA2" s="55">
        <v>1.5443152813069433E-5</v>
      </c>
      <c r="CB2" s="55">
        <v>1.561315753966831E-5</v>
      </c>
      <c r="CC2" s="55">
        <v>1.5784720843484096E-5</v>
      </c>
      <c r="CD2" s="55">
        <v>1.5957833983506664E-5</v>
      </c>
      <c r="CE2" s="55">
        <v>1.6132524720255121E-5</v>
      </c>
      <c r="CF2" s="55">
        <v>1.6308756580048994E-5</v>
      </c>
      <c r="CG2" s="55">
        <v>1.648651616536634E-5</v>
      </c>
      <c r="CH2" s="55">
        <v>1.6665822935154385E-5</v>
      </c>
      <c r="CI2" s="55">
        <v>1.6846654192520645E-5</v>
      </c>
      <c r="CJ2" s="55">
        <v>1.7029046477618662E-5</v>
      </c>
      <c r="CK2" s="55">
        <v>1.7213053532147078E-5</v>
      </c>
      <c r="CL2" s="55">
        <v>1.7398717254626916E-5</v>
      </c>
      <c r="CM2" s="55">
        <v>1.7586114631468625E-5</v>
      </c>
    </row>
    <row r="3" spans="1:91" x14ac:dyDescent="0.25">
      <c r="A3" s="41" t="s">
        <v>1</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5">
        <v>7.0000430409191978E-5</v>
      </c>
      <c r="AG3" s="55">
        <v>7.0630961246729871E-5</v>
      </c>
      <c r="AH3" s="55">
        <v>7.1066274150239037E-5</v>
      </c>
      <c r="AI3" s="55">
        <v>7.150778011594632E-5</v>
      </c>
      <c r="AJ3" s="55">
        <v>7.1952944698856812E-5</v>
      </c>
      <c r="AK3" s="55">
        <v>7.2400861735737981E-5</v>
      </c>
      <c r="AL3" s="55">
        <v>7.285284622485931E-5</v>
      </c>
      <c r="AM3" s="55">
        <v>7.3313273932656012E-5</v>
      </c>
      <c r="AN3" s="55">
        <v>7.3787111123243884E-5</v>
      </c>
      <c r="AO3" s="55">
        <v>7.4277957562576602E-5</v>
      </c>
      <c r="AP3" s="55">
        <v>7.478586235260993E-5</v>
      </c>
      <c r="AQ3" s="55">
        <v>7.5308758342790844E-5</v>
      </c>
      <c r="AR3" s="55">
        <v>7.5842609785929511E-5</v>
      </c>
      <c r="AS3" s="55">
        <v>7.6383079700261544E-5</v>
      </c>
      <c r="AT3" s="55">
        <v>7.6926134271035562E-5</v>
      </c>
      <c r="AU3" s="55">
        <v>7.8564814285327943E-5</v>
      </c>
      <c r="AV3" s="55">
        <v>7.975963310304218E-5</v>
      </c>
      <c r="AW3" s="55">
        <v>8.0954261880852003E-5</v>
      </c>
      <c r="AX3" s="55">
        <v>8.2147891965987329E-5</v>
      </c>
      <c r="AY3" s="55">
        <v>8.3339977261299875E-5</v>
      </c>
      <c r="AZ3" s="55">
        <v>8.4530221105783915E-5</v>
      </c>
      <c r="BA3" s="55">
        <v>8.5718612444647251E-5</v>
      </c>
      <c r="BB3" s="55">
        <v>8.6905669889591832E-5</v>
      </c>
      <c r="BC3" s="55">
        <v>8.8092572774455127E-5</v>
      </c>
      <c r="BD3" s="55">
        <v>8.9279966565095401E-5</v>
      </c>
      <c r="BE3" s="55">
        <v>9.0467983154341602E-5</v>
      </c>
      <c r="BF3" s="55">
        <v>9.1656451978961193E-5</v>
      </c>
      <c r="BG3" s="55">
        <v>9.2845626529475093E-5</v>
      </c>
      <c r="BH3" s="55">
        <v>9.4035979030347884E-5</v>
      </c>
      <c r="BI3" s="55">
        <v>9.5227510574324398E-5</v>
      </c>
      <c r="BJ3" s="55">
        <v>9.6420416442247414E-5</v>
      </c>
      <c r="BK3" s="55">
        <v>9.7614503715712849E-5</v>
      </c>
      <c r="BL3" s="55">
        <v>9.8809372181047912E-5</v>
      </c>
      <c r="BM3" s="55">
        <v>1.0000446419189215E-4</v>
      </c>
      <c r="BN3" s="55">
        <v>1.011995727197744E-4</v>
      </c>
      <c r="BO3" s="55">
        <v>1.0239414762549752E-4</v>
      </c>
      <c r="BP3" s="55">
        <v>1.0358838103355418E-4</v>
      </c>
      <c r="BQ3" s="55">
        <v>1.0478175869485435E-4</v>
      </c>
      <c r="BR3" s="55">
        <v>1.0597432428171442E-4</v>
      </c>
      <c r="BS3" s="55">
        <v>1.0716564825407785E-4</v>
      </c>
      <c r="BT3" s="55">
        <v>1.0822524976050468E-4</v>
      </c>
      <c r="BU3" s="55">
        <v>1.0928722791460635E-4</v>
      </c>
      <c r="BV3" s="55">
        <v>1.1035132417498938E-4</v>
      </c>
      <c r="BW3" s="55">
        <v>1.1141783799382022E-4</v>
      </c>
      <c r="BX3" s="55">
        <v>1.1248685991353272E-4</v>
      </c>
      <c r="BY3" s="55">
        <v>1.1355858475974895E-4</v>
      </c>
      <c r="BZ3" s="55">
        <v>1.1463260759244673E-4</v>
      </c>
      <c r="CA3" s="55">
        <v>1.157091962436633E-4</v>
      </c>
      <c r="CB3" s="55">
        <v>1.1678823506150475E-4</v>
      </c>
      <c r="CC3" s="55">
        <v>1.1786969517439455E-4</v>
      </c>
      <c r="CD3" s="55">
        <v>1.1895337378753631E-4</v>
      </c>
      <c r="CE3" s="55">
        <v>1.2003930941952695E-4</v>
      </c>
      <c r="CF3" s="55">
        <v>1.2112747901802054E-4</v>
      </c>
      <c r="CG3" s="55">
        <v>1.2221779370117183E-4</v>
      </c>
      <c r="CH3" s="55">
        <v>1.2331033229500272E-4</v>
      </c>
      <c r="CI3" s="55">
        <v>1.2440494790464076E-4</v>
      </c>
      <c r="CJ3" s="55">
        <v>1.2550153274019381E-4</v>
      </c>
      <c r="CK3" s="55">
        <v>1.2659968153820708E-4</v>
      </c>
      <c r="CL3" s="55">
        <v>1.276994691580742E-4</v>
      </c>
      <c r="CM3" s="55">
        <v>1.288003541120989E-4</v>
      </c>
    </row>
    <row r="4" spans="1:91" x14ac:dyDescent="0.25">
      <c r="A4" s="41" t="s">
        <v>2</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5">
        <v>1.3228986578653787E-5</v>
      </c>
      <c r="AG4" s="55">
        <v>1.3351004035312167E-5</v>
      </c>
      <c r="AH4" s="55">
        <v>1.3448210690384045E-5</v>
      </c>
      <c r="AI4" s="55">
        <v>1.3548882358160103E-5</v>
      </c>
      <c r="AJ4" s="55">
        <v>1.365327018224468E-5</v>
      </c>
      <c r="AK4" s="55">
        <v>1.3761500883312822E-5</v>
      </c>
      <c r="AL4" s="55">
        <v>1.387370090955609E-5</v>
      </c>
      <c r="AM4" s="55">
        <v>1.3990474699641369E-5</v>
      </c>
      <c r="AN4" s="55">
        <v>1.4112378817260886E-5</v>
      </c>
      <c r="AO4" s="55">
        <v>1.4239928335395459E-5</v>
      </c>
      <c r="AP4" s="55">
        <v>1.4373258842965937E-5</v>
      </c>
      <c r="AQ4" s="55">
        <v>1.4512396972370334E-5</v>
      </c>
      <c r="AR4" s="55">
        <v>1.4657165111117269E-5</v>
      </c>
      <c r="AS4" s="55">
        <v>1.4807426681632889E-5</v>
      </c>
      <c r="AT4" s="55">
        <v>1.4962997035753534E-5</v>
      </c>
      <c r="AU4" s="55">
        <v>1.5469466422515655E-5</v>
      </c>
      <c r="AV4" s="55">
        <v>1.5574976370094695E-5</v>
      </c>
      <c r="AW4" s="55">
        <v>1.5682744238183712E-5</v>
      </c>
      <c r="AX4" s="55">
        <v>1.579276536744829E-5</v>
      </c>
      <c r="AY4" s="55">
        <v>1.590501523153287E-5</v>
      </c>
      <c r="AZ4" s="55">
        <v>1.6019564264837292E-5</v>
      </c>
      <c r="BA4" s="55">
        <v>1.6136521123591277E-5</v>
      </c>
      <c r="BB4" s="55">
        <v>1.6255961000692786E-5</v>
      </c>
      <c r="BC4" s="55">
        <v>1.6378047391306338E-5</v>
      </c>
      <c r="BD4" s="55">
        <v>1.6502859414118649E-5</v>
      </c>
      <c r="BE4" s="55">
        <v>1.6630485774268858E-5</v>
      </c>
      <c r="BF4" s="55">
        <v>1.6760961637346351E-5</v>
      </c>
      <c r="BG4" s="55">
        <v>1.6894312433243585E-5</v>
      </c>
      <c r="BH4" s="55">
        <v>1.703062755161906E-5</v>
      </c>
      <c r="BI4" s="55">
        <v>1.716988964677118E-5</v>
      </c>
      <c r="BJ4" s="55">
        <v>1.7312207426551629E-5</v>
      </c>
      <c r="BK4" s="55">
        <v>1.7457606054617057E-5</v>
      </c>
      <c r="BL4" s="55">
        <v>1.7606171496817636E-5</v>
      </c>
      <c r="BM4" s="55">
        <v>1.7757977604245819E-5</v>
      </c>
      <c r="BN4" s="55">
        <v>1.7913133711696151E-5</v>
      </c>
      <c r="BO4" s="55">
        <v>1.8071652865918737E-5</v>
      </c>
      <c r="BP4" s="55">
        <v>1.8233635514169785E-5</v>
      </c>
      <c r="BQ4" s="55">
        <v>1.8399148666801222E-5</v>
      </c>
      <c r="BR4" s="55">
        <v>1.8568334276582576E-5</v>
      </c>
      <c r="BS4" s="55">
        <v>1.8741252850249103E-5</v>
      </c>
      <c r="BT4" s="55">
        <v>1.8917994086357809E-5</v>
      </c>
      <c r="BU4" s="55">
        <v>1.9098656551532022E-5</v>
      </c>
      <c r="BV4" s="55">
        <v>1.9283182040007754E-5</v>
      </c>
      <c r="BW4" s="55">
        <v>1.947151926724002E-5</v>
      </c>
      <c r="BX4" s="55">
        <v>1.9663666430494453E-5</v>
      </c>
      <c r="BY4" s="55">
        <v>1.9859684135003457E-5</v>
      </c>
      <c r="BZ4" s="55">
        <v>2.0059662924267403E-5</v>
      </c>
      <c r="CA4" s="55">
        <v>2.0263768203733196E-5</v>
      </c>
      <c r="CB4" s="55">
        <v>2.0472217863934785E-5</v>
      </c>
      <c r="CC4" s="55">
        <v>2.0685177630400022E-5</v>
      </c>
      <c r="CD4" s="55">
        <v>2.0902762801762623E-5</v>
      </c>
      <c r="CE4" s="55">
        <v>2.1125137609645198E-5</v>
      </c>
      <c r="CF4" s="55">
        <v>2.13523592396579E-5</v>
      </c>
      <c r="CG4" s="55">
        <v>2.1584550274591934E-5</v>
      </c>
      <c r="CH4" s="55">
        <v>2.1821849605301195E-5</v>
      </c>
      <c r="CI4" s="55">
        <v>2.2064400207881321E-5</v>
      </c>
      <c r="CJ4" s="55">
        <v>2.2312384995534275E-5</v>
      </c>
      <c r="CK4" s="55">
        <v>2.2566061124170165E-5</v>
      </c>
      <c r="CL4" s="55">
        <v>2.2825634709128289E-5</v>
      </c>
      <c r="CM4" s="55">
        <v>2.3091432921461527E-5</v>
      </c>
    </row>
    <row r="5" spans="1:91" x14ac:dyDescent="0.25">
      <c r="A5" s="41" t="s">
        <v>2</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5">
        <v>7.0121002027183778E-6</v>
      </c>
      <c r="AG5" s="55">
        <v>7.2210894119728063E-6</v>
      </c>
      <c r="AH5" s="55">
        <v>7.4202145751621905E-6</v>
      </c>
      <c r="AI5" s="55">
        <v>7.6288203120131999E-6</v>
      </c>
      <c r="AJ5" s="55">
        <v>7.8474396653895003E-6</v>
      </c>
      <c r="AK5" s="55">
        <v>8.0765895476182639E-6</v>
      </c>
      <c r="AL5" s="55">
        <v>8.3168765465417997E-6</v>
      </c>
      <c r="AM5" s="55">
        <v>8.569263350893212E-6</v>
      </c>
      <c r="AN5" s="55">
        <v>8.8347261253526665E-6</v>
      </c>
      <c r="AO5" s="55">
        <v>9.11421427809247E-6</v>
      </c>
      <c r="AP5" s="55">
        <v>9.4084016592827995E-6</v>
      </c>
      <c r="AQ5" s="55">
        <v>9.7178946223932155E-6</v>
      </c>
      <c r="AR5" s="55">
        <v>1.0043173749519153E-5</v>
      </c>
      <c r="AS5" s="55">
        <v>1.0384788452865011E-5</v>
      </c>
      <c r="AT5" s="55">
        <v>1.0743308883754397E-5</v>
      </c>
      <c r="AU5" s="55">
        <v>1.1732150845198387E-5</v>
      </c>
      <c r="AV5" s="55">
        <v>1.2029101934575739E-5</v>
      </c>
      <c r="AW5" s="55">
        <v>1.2330362812000245E-5</v>
      </c>
      <c r="AX5" s="55">
        <v>1.2636010643891824E-5</v>
      </c>
      <c r="AY5" s="55">
        <v>1.294610467098004E-5</v>
      </c>
      <c r="AZ5" s="55">
        <v>1.3260781122275616E-5</v>
      </c>
      <c r="BA5" s="55">
        <v>1.3580209329302407E-5</v>
      </c>
      <c r="BB5" s="55">
        <v>1.3904534506306729E-5</v>
      </c>
      <c r="BC5" s="55">
        <v>1.4233979095234456E-5</v>
      </c>
      <c r="BD5" s="55">
        <v>1.4568700292291712E-5</v>
      </c>
      <c r="BE5" s="55">
        <v>1.490886503450716E-5</v>
      </c>
      <c r="BF5" s="55">
        <v>1.5254594004074044E-5</v>
      </c>
      <c r="BG5" s="55">
        <v>1.5605990085826174E-5</v>
      </c>
      <c r="BH5" s="55">
        <v>1.5963210744890837E-5</v>
      </c>
      <c r="BI5" s="55">
        <v>1.6326321960921515E-5</v>
      </c>
      <c r="BJ5" s="55">
        <v>1.6695498066511173E-5</v>
      </c>
      <c r="BK5" s="55">
        <v>1.7070852196150819E-5</v>
      </c>
      <c r="BL5" s="55">
        <v>1.7452545021238879E-5</v>
      </c>
      <c r="BM5" s="55">
        <v>1.7840733475907901E-5</v>
      </c>
      <c r="BN5" s="55">
        <v>1.823560246986816E-5</v>
      </c>
      <c r="BO5" s="55">
        <v>1.8637252878765394E-5</v>
      </c>
      <c r="BP5" s="55">
        <v>1.9045873585162299E-5</v>
      </c>
      <c r="BQ5" s="55">
        <v>1.9461627645654656E-5</v>
      </c>
      <c r="BR5" s="55">
        <v>1.9884772486444035E-5</v>
      </c>
      <c r="BS5" s="55">
        <v>2.0315473648547058E-5</v>
      </c>
      <c r="BT5" s="55">
        <v>2.0753937998592071E-5</v>
      </c>
      <c r="BU5" s="55">
        <v>2.1200361852035525E-5</v>
      </c>
      <c r="BV5" s="55">
        <v>2.1654810170228369E-5</v>
      </c>
      <c r="BW5" s="55">
        <v>2.2117347207509639E-5</v>
      </c>
      <c r="BX5" s="55">
        <v>2.2588090468108009E-5</v>
      </c>
      <c r="BY5" s="55">
        <v>2.3067221764584342E-5</v>
      </c>
      <c r="BZ5" s="55">
        <v>2.3554948560878236E-5</v>
      </c>
      <c r="CA5" s="55">
        <v>2.4051560720881107E-5</v>
      </c>
      <c r="CB5" s="55">
        <v>2.455738921757222E-5</v>
      </c>
      <c r="CC5" s="55">
        <v>2.5072741724341258E-5</v>
      </c>
      <c r="CD5" s="55">
        <v>2.5597855940880496E-5</v>
      </c>
      <c r="CE5" s="55">
        <v>2.6133029556600889E-5</v>
      </c>
      <c r="CF5" s="55">
        <v>2.667846635816827E-5</v>
      </c>
      <c r="CG5" s="55">
        <v>2.7234421242270185E-5</v>
      </c>
      <c r="CH5" s="55">
        <v>2.7801191106722099E-5</v>
      </c>
      <c r="CI5" s="55">
        <v>2.8379045524085055E-5</v>
      </c>
      <c r="CJ5" s="55">
        <v>2.8968323511028758E-5</v>
      </c>
      <c r="CK5" s="55">
        <v>2.9569415819543594E-5</v>
      </c>
      <c r="CL5" s="55">
        <v>3.0182697084869239E-5</v>
      </c>
      <c r="CM5" s="55">
        <v>3.0808619936276061E-5</v>
      </c>
    </row>
    <row r="6" spans="1:91" x14ac:dyDescent="0.25">
      <c r="A6" s="41"/>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row>
    <row r="7" spans="1:91" x14ac:dyDescent="0.25">
      <c r="A7" s="41" t="s">
        <v>3</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5">
        <v>3.6843336955314182E-5</v>
      </c>
      <c r="AG7" s="55">
        <v>3.6790336088918271E-5</v>
      </c>
      <c r="AH7" s="55">
        <v>3.6735360620641035E-5</v>
      </c>
      <c r="AI7" s="55">
        <v>3.667954216924579E-5</v>
      </c>
      <c r="AJ7" s="55">
        <v>3.6623172446285202E-5</v>
      </c>
      <c r="AK7" s="55">
        <v>3.6566333390967918E-5</v>
      </c>
      <c r="AL7" s="55">
        <v>3.6509049093726465E-5</v>
      </c>
      <c r="AM7" s="55">
        <v>3.6451465927738483E-5</v>
      </c>
      <c r="AN7" s="55">
        <v>3.6393772236650164E-5</v>
      </c>
      <c r="AO7" s="55">
        <v>3.6336058437465606E-5</v>
      </c>
      <c r="AP7" s="55">
        <v>3.6278480991528786E-5</v>
      </c>
      <c r="AQ7" s="55">
        <v>3.6221086104825362E-5</v>
      </c>
      <c r="AR7" s="55">
        <v>3.6163908142653389E-5</v>
      </c>
      <c r="AS7" s="55">
        <v>3.6106967137093158E-5</v>
      </c>
      <c r="AT7" s="55">
        <v>3.6050252332744931E-5</v>
      </c>
      <c r="AU7" s="55">
        <v>3.6181023108186044E-5</v>
      </c>
      <c r="AV7" s="55">
        <v>3.6805880686838144E-5</v>
      </c>
      <c r="AW7" s="55">
        <v>3.7432182540437799E-5</v>
      </c>
      <c r="AX7" s="55">
        <v>3.80598402093277E-5</v>
      </c>
      <c r="AY7" s="55">
        <v>3.86887842668519E-5</v>
      </c>
      <c r="AZ7" s="55">
        <v>3.9318984814036444E-5</v>
      </c>
      <c r="BA7" s="55">
        <v>3.9950454324620326E-5</v>
      </c>
      <c r="BB7" s="55">
        <v>4.058323771919377E-5</v>
      </c>
      <c r="BC7" s="55">
        <v>4.1217413638741283E-5</v>
      </c>
      <c r="BD7" s="55">
        <v>4.1853031626262509E-5</v>
      </c>
      <c r="BE7" s="55">
        <v>4.2490101422829168E-5</v>
      </c>
      <c r="BF7" s="55">
        <v>4.3128576395727857E-5</v>
      </c>
      <c r="BG7" s="55">
        <v>4.3768429306014496E-5</v>
      </c>
      <c r="BH7" s="55">
        <v>4.4409623286892179E-5</v>
      </c>
      <c r="BI7" s="55">
        <v>4.5052144357670757E-5</v>
      </c>
      <c r="BJ7" s="55">
        <v>4.5695973254979865E-5</v>
      </c>
      <c r="BK7" s="55">
        <v>4.6341126684092635E-5</v>
      </c>
      <c r="BL7" s="55">
        <v>4.6987579201309435E-5</v>
      </c>
      <c r="BM7" s="55">
        <v>4.7635341292882607E-5</v>
      </c>
      <c r="BN7" s="55">
        <v>4.8284391676933665E-5</v>
      </c>
      <c r="BO7" s="55">
        <v>4.8934736165148652E-5</v>
      </c>
      <c r="BP7" s="55">
        <v>4.9586381811837859E-5</v>
      </c>
      <c r="BQ7" s="55">
        <v>5.0239352229828933E-5</v>
      </c>
      <c r="BR7" s="55">
        <v>5.0893684723365161E-5</v>
      </c>
      <c r="BS7" s="55">
        <v>5.1549385587840429E-5</v>
      </c>
      <c r="BT7" s="55">
        <v>5.1636306402230199E-5</v>
      </c>
      <c r="BU7" s="55">
        <v>5.1724550281244116E-5</v>
      </c>
      <c r="BV7" s="55">
        <v>5.1814122168769529E-5</v>
      </c>
      <c r="BW7" s="55">
        <v>5.1905017314471409E-5</v>
      </c>
      <c r="BX7" s="55">
        <v>5.1997226518439087E-5</v>
      </c>
      <c r="BY7" s="55">
        <v>5.209074305574026E-5</v>
      </c>
      <c r="BZ7" s="55">
        <v>5.2185571878579461E-5</v>
      </c>
      <c r="CA7" s="55">
        <v>5.2281706246236016E-5</v>
      </c>
      <c r="CB7" s="55">
        <v>5.2379129328157627E-5</v>
      </c>
      <c r="CC7" s="55">
        <v>5.2477845020516877E-5</v>
      </c>
      <c r="CD7" s="55">
        <v>5.2577842307954798E-5</v>
      </c>
      <c r="CE7" s="55">
        <v>5.2679112681640577E-5</v>
      </c>
      <c r="CF7" s="55">
        <v>5.2781651624729282E-5</v>
      </c>
      <c r="CG7" s="55">
        <v>5.2885444749710062E-5</v>
      </c>
      <c r="CH7" s="55">
        <v>5.2990487639432671E-5</v>
      </c>
      <c r="CI7" s="55">
        <v>5.3096775381587056E-5</v>
      </c>
      <c r="CJ7" s="55">
        <v>5.3204297991539445E-5</v>
      </c>
      <c r="CK7" s="55">
        <v>5.3313060712255301E-5</v>
      </c>
      <c r="CL7" s="55">
        <v>5.3423070555134916E-5</v>
      </c>
      <c r="CM7" s="55">
        <v>5.3534324193367958E-5</v>
      </c>
    </row>
    <row r="8" spans="1:91" x14ac:dyDescent="0.25">
      <c r="A8" s="41" t="s">
        <v>1</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5">
        <v>5.2769166477933858E-5</v>
      </c>
      <c r="AG8" s="55">
        <v>5.2693255559611984E-5</v>
      </c>
      <c r="AH8" s="55">
        <v>5.2614516501821335E-5</v>
      </c>
      <c r="AI8" s="55">
        <v>5.25345700746617E-5</v>
      </c>
      <c r="AJ8" s="55">
        <v>5.2453834084356881E-5</v>
      </c>
      <c r="AK8" s="55">
        <v>5.2372425888999203E-5</v>
      </c>
      <c r="AL8" s="55">
        <v>5.2290379992305006E-5</v>
      </c>
      <c r="AM8" s="55">
        <v>5.2207906038438337E-5</v>
      </c>
      <c r="AN8" s="55">
        <v>5.2125273784105413E-5</v>
      </c>
      <c r="AO8" s="55">
        <v>5.204261272978946E-5</v>
      </c>
      <c r="AP8" s="55">
        <v>5.1960146968512207E-5</v>
      </c>
      <c r="AQ8" s="55">
        <v>5.187794267916924E-5</v>
      </c>
      <c r="AR8" s="55">
        <v>5.1796049081735804E-5</v>
      </c>
      <c r="AS8" s="55">
        <v>5.1714494867320529E-5</v>
      </c>
      <c r="AT8" s="55">
        <v>5.1633264631415317E-5</v>
      </c>
      <c r="AU8" s="55">
        <v>5.1820562129143874E-5</v>
      </c>
      <c r="AV8" s="55">
        <v>5.1885131359856297E-5</v>
      </c>
      <c r="AW8" s="55">
        <v>5.1950214305834867E-5</v>
      </c>
      <c r="AX8" s="55">
        <v>5.2015700294839928E-5</v>
      </c>
      <c r="AY8" s="55">
        <v>5.2081507781076679E-5</v>
      </c>
      <c r="AZ8" s="55">
        <v>5.2147614632487234E-5</v>
      </c>
      <c r="BA8" s="55">
        <v>5.2214058561288894E-5</v>
      </c>
      <c r="BB8" s="55">
        <v>5.2280919174022914E-5</v>
      </c>
      <c r="BC8" s="55">
        <v>5.2348326142311333E-5</v>
      </c>
      <c r="BD8" s="55">
        <v>5.2416362295017331E-5</v>
      </c>
      <c r="BE8" s="55">
        <v>5.2485056095018153E-5</v>
      </c>
      <c r="BF8" s="55">
        <v>5.255435759938655E-5</v>
      </c>
      <c r="BG8" s="55">
        <v>5.2624226698379906E-5</v>
      </c>
      <c r="BH8" s="55">
        <v>5.2694616780850149E-5</v>
      </c>
      <c r="BI8" s="55">
        <v>5.2765502995160863E-5</v>
      </c>
      <c r="BJ8" s="55">
        <v>5.283686082478873E-5</v>
      </c>
      <c r="BK8" s="55">
        <v>5.2908715260658917E-5</v>
      </c>
      <c r="BL8" s="55">
        <v>5.2981037203205353E-5</v>
      </c>
      <c r="BM8" s="55">
        <v>5.3053843546664738E-5</v>
      </c>
      <c r="BN8" s="55">
        <v>5.3127112809578331E-5</v>
      </c>
      <c r="BO8" s="55">
        <v>5.3200845887448871E-5</v>
      </c>
      <c r="BP8" s="55">
        <v>5.3275066305476904E-5</v>
      </c>
      <c r="BQ8" s="55">
        <v>5.3349808273080411E-5</v>
      </c>
      <c r="BR8" s="55">
        <v>5.3425155494199776E-5</v>
      </c>
      <c r="BS8" s="55">
        <v>5.3501125356345247E-5</v>
      </c>
      <c r="BT8" s="55">
        <v>5.358589951393191E-5</v>
      </c>
      <c r="BU8" s="55">
        <v>5.3672282503609282E-5</v>
      </c>
      <c r="BV8" s="55">
        <v>5.3760270054983049E-5</v>
      </c>
      <c r="BW8" s="55">
        <v>5.3849853081464978E-5</v>
      </c>
      <c r="BX8" s="55">
        <v>5.3941017829373365E-5</v>
      </c>
      <c r="BY8" s="55">
        <v>5.4033763050466951E-5</v>
      </c>
      <c r="BZ8" s="55">
        <v>5.4128092228636533E-5</v>
      </c>
      <c r="CA8" s="55">
        <v>5.4224008946083018E-5</v>
      </c>
      <c r="CB8" s="55">
        <v>5.4321496723876302E-5</v>
      </c>
      <c r="CC8" s="55">
        <v>5.4420572901668634E-5</v>
      </c>
      <c r="CD8" s="55">
        <v>5.4521219352321004E-5</v>
      </c>
      <c r="CE8" s="55">
        <v>5.4623425888475123E-5</v>
      </c>
      <c r="CF8" s="55">
        <v>5.4727189212199551E-5</v>
      </c>
      <c r="CG8" s="55">
        <v>5.4832486288335323E-5</v>
      </c>
      <c r="CH8" s="55">
        <v>5.4939322222557939E-5</v>
      </c>
      <c r="CI8" s="55">
        <v>5.5047676022657148E-5</v>
      </c>
      <c r="CJ8" s="55">
        <v>5.5157543030486721E-5</v>
      </c>
      <c r="CK8" s="55">
        <v>5.5268920681017922E-5</v>
      </c>
      <c r="CL8" s="55">
        <v>5.5381826903601599E-5</v>
      </c>
      <c r="CM8" s="55">
        <v>5.5496247612017253E-5</v>
      </c>
    </row>
    <row r="9" spans="1:91" x14ac:dyDescent="0.25">
      <c r="A9" s="41" t="s">
        <v>1</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5">
        <v>3.755643379961059E-5</v>
      </c>
      <c r="AG9" s="55">
        <v>3.7502407109994121E-5</v>
      </c>
      <c r="AH9" s="55">
        <v>3.7446367600395375E-5</v>
      </c>
      <c r="AI9" s="55">
        <v>3.7389468791876361E-5</v>
      </c>
      <c r="AJ9" s="55">
        <v>3.7332008042019762E-5</v>
      </c>
      <c r="AK9" s="55">
        <v>3.7274068875954395E-5</v>
      </c>
      <c r="AL9" s="55">
        <v>3.7215675850379237E-5</v>
      </c>
      <c r="AM9" s="55">
        <v>3.7156978171501163E-5</v>
      </c>
      <c r="AN9" s="55">
        <v>3.7098167828327268E-5</v>
      </c>
      <c r="AO9" s="55">
        <v>3.7039336987868168E-5</v>
      </c>
      <c r="AP9" s="55">
        <v>3.6980645139751931E-5</v>
      </c>
      <c r="AQ9" s="55">
        <v>3.692213938427361E-5</v>
      </c>
      <c r="AR9" s="55">
        <v>3.6863854751866036E-5</v>
      </c>
      <c r="AS9" s="55">
        <v>3.6805811662327231E-5</v>
      </c>
      <c r="AT9" s="55">
        <v>3.6747999152088383E-5</v>
      </c>
      <c r="AU9" s="55">
        <v>3.6881300974796092E-5</v>
      </c>
      <c r="AV9" s="55">
        <v>3.6933062893627826E-5</v>
      </c>
      <c r="AW9" s="55">
        <v>3.6984803288137251E-5</v>
      </c>
      <c r="AX9" s="55">
        <v>3.7036437188603112E-5</v>
      </c>
      <c r="AY9" s="55">
        <v>3.7087901513367618E-5</v>
      </c>
      <c r="AZ9" s="55">
        <v>3.7139176923422152E-5</v>
      </c>
      <c r="BA9" s="55">
        <v>3.719028632859785E-5</v>
      </c>
      <c r="BB9" s="55">
        <v>3.7241283775133937E-5</v>
      </c>
      <c r="BC9" s="55">
        <v>3.7292262121969226E-5</v>
      </c>
      <c r="BD9" s="55">
        <v>3.7343280820957652E-5</v>
      </c>
      <c r="BE9" s="55">
        <v>3.7394359310285553E-5</v>
      </c>
      <c r="BF9" s="55">
        <v>3.7445462106810545E-5</v>
      </c>
      <c r="BG9" s="55">
        <v>3.7496556366296019E-5</v>
      </c>
      <c r="BH9" s="55">
        <v>3.7547608783536608E-5</v>
      </c>
      <c r="BI9" s="55">
        <v>3.7598597706895901E-5</v>
      </c>
      <c r="BJ9" s="55">
        <v>3.7649502569235385E-5</v>
      </c>
      <c r="BK9" s="55">
        <v>3.7700339228367647E-5</v>
      </c>
      <c r="BL9" s="55">
        <v>3.7751080142069215E-5</v>
      </c>
      <c r="BM9" s="55">
        <v>3.7801728334648505E-5</v>
      </c>
      <c r="BN9" s="55">
        <v>3.785226250308605E-5</v>
      </c>
      <c r="BO9" s="55">
        <v>3.7902673895436454E-5</v>
      </c>
      <c r="BP9" s="55">
        <v>3.7952979622613387E-5</v>
      </c>
      <c r="BQ9" s="55">
        <v>3.8003197609965645E-5</v>
      </c>
      <c r="BR9" s="55">
        <v>3.8053393767208994E-5</v>
      </c>
      <c r="BS9" s="55">
        <v>3.8103574826890966E-5</v>
      </c>
      <c r="BT9" s="55">
        <v>3.8156452560328051E-5</v>
      </c>
      <c r="BU9" s="55">
        <v>3.8210417968048391E-5</v>
      </c>
      <c r="BV9" s="55">
        <v>3.8265475695102741E-5</v>
      </c>
      <c r="BW9" s="55">
        <v>3.8321623685974469E-5</v>
      </c>
      <c r="BX9" s="55">
        <v>3.8378859609958136E-5</v>
      </c>
      <c r="BY9" s="55">
        <v>3.8437187893822393E-5</v>
      </c>
      <c r="BZ9" s="55">
        <v>3.8496607768899382E-5</v>
      </c>
      <c r="CA9" s="55">
        <v>3.8557127565013271E-5</v>
      </c>
      <c r="CB9" s="55">
        <v>3.8618733800416279E-5</v>
      </c>
      <c r="CC9" s="55">
        <v>3.8681442904030025E-5</v>
      </c>
      <c r="CD9" s="55">
        <v>3.8745238156913579E-5</v>
      </c>
      <c r="CE9" s="55">
        <v>3.8810115409190752E-5</v>
      </c>
      <c r="CF9" s="55">
        <v>3.8876073147932574E-5</v>
      </c>
      <c r="CG9" s="55">
        <v>3.894309386333759E-5</v>
      </c>
      <c r="CH9" s="55">
        <v>3.9011183503462591E-5</v>
      </c>
      <c r="CI9" s="55">
        <v>3.9080323898003936E-5</v>
      </c>
      <c r="CJ9" s="55">
        <v>3.9150511218413924E-5</v>
      </c>
      <c r="CK9" s="55">
        <v>3.9221737742214523E-5</v>
      </c>
      <c r="CL9" s="55">
        <v>3.9294017281482045E-5</v>
      </c>
      <c r="CM9" s="55">
        <v>3.936733039718203E-5</v>
      </c>
    </row>
    <row r="10" spans="1:91" x14ac:dyDescent="0.25">
      <c r="A10" s="41" t="s">
        <v>1</v>
      </c>
      <c r="B10" s="5">
        <v>0</v>
      </c>
      <c r="C10" s="5">
        <v>0</v>
      </c>
      <c r="D10" s="5">
        <v>0</v>
      </c>
      <c r="E10" s="5">
        <v>0</v>
      </c>
      <c r="F10" s="5">
        <v>0</v>
      </c>
      <c r="G10" s="5">
        <v>0</v>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c r="AA10" s="5">
        <v>0</v>
      </c>
      <c r="AB10" s="5">
        <v>0</v>
      </c>
      <c r="AC10" s="5">
        <v>0</v>
      </c>
      <c r="AD10" s="5">
        <v>0</v>
      </c>
      <c r="AE10" s="5">
        <v>0</v>
      </c>
      <c r="AF10" s="55">
        <v>3.2802454837634565E-5</v>
      </c>
      <c r="AG10" s="55">
        <v>3.2755266969488529E-5</v>
      </c>
      <c r="AH10" s="55">
        <v>3.2706321068699752E-5</v>
      </c>
      <c r="AI10" s="55">
        <v>3.2656624641005933E-5</v>
      </c>
      <c r="AJ10" s="55">
        <v>3.260643740378941E-5</v>
      </c>
      <c r="AK10" s="55">
        <v>3.2555832309377881E-5</v>
      </c>
      <c r="AL10" s="55">
        <v>3.2504830806027448E-5</v>
      </c>
      <c r="AM10" s="55">
        <v>3.2453563213083297E-5</v>
      </c>
      <c r="AN10" s="55">
        <v>3.2402197217146604E-5</v>
      </c>
      <c r="AO10" s="55">
        <v>3.2350813318517766E-5</v>
      </c>
      <c r="AP10" s="55">
        <v>3.2299550818264349E-5</v>
      </c>
      <c r="AQ10" s="55">
        <v>3.2248450854618708E-5</v>
      </c>
      <c r="AR10" s="55">
        <v>3.2197544023781722E-5</v>
      </c>
      <c r="AS10" s="55">
        <v>3.2146848160766819E-5</v>
      </c>
      <c r="AT10" s="55">
        <v>3.2096353689798707E-5</v>
      </c>
      <c r="AU10" s="55">
        <v>3.2212781864062408E-5</v>
      </c>
      <c r="AV10" s="55">
        <v>3.2464153102729245E-5</v>
      </c>
      <c r="AW10" s="55">
        <v>3.271690581497304E-5</v>
      </c>
      <c r="AX10" s="55">
        <v>3.2970962421275322E-5</v>
      </c>
      <c r="AY10" s="55">
        <v>3.3226264413713801E-5</v>
      </c>
      <c r="AZ10" s="55">
        <v>3.3482789042779644E-5</v>
      </c>
      <c r="BA10" s="55">
        <v>3.3740550001192795E-5</v>
      </c>
      <c r="BB10" s="55">
        <v>3.3999587604779657E-5</v>
      </c>
      <c r="BC10" s="55">
        <v>3.425996881315825E-5</v>
      </c>
      <c r="BD10" s="55">
        <v>3.4521734016547037E-5</v>
      </c>
      <c r="BE10" s="55">
        <v>3.4784889445536507E-5</v>
      </c>
      <c r="BF10" s="55">
        <v>3.5049395121155097E-5</v>
      </c>
      <c r="BG10" s="55">
        <v>3.5315227950970887E-5</v>
      </c>
      <c r="BH10" s="55">
        <v>3.5582357866475032E-5</v>
      </c>
      <c r="BI10" s="55">
        <v>3.5850774182663768E-5</v>
      </c>
      <c r="BJ10" s="55">
        <v>3.6120462447432588E-5</v>
      </c>
      <c r="BK10" s="55">
        <v>3.6391436750654276E-5</v>
      </c>
      <c r="BL10" s="55">
        <v>3.6663678447313321E-5</v>
      </c>
      <c r="BM10" s="55">
        <v>3.6937197528123228E-5</v>
      </c>
      <c r="BN10" s="55">
        <v>3.7211979372309135E-5</v>
      </c>
      <c r="BO10" s="55">
        <v>3.7488031388110743E-5</v>
      </c>
      <c r="BP10" s="55">
        <v>3.7765360137229976E-5</v>
      </c>
      <c r="BQ10" s="55">
        <v>3.8043985474369211E-5</v>
      </c>
      <c r="BR10" s="55">
        <v>3.8323933618482537E-5</v>
      </c>
      <c r="BS10" s="55">
        <v>3.8605209547791053E-5</v>
      </c>
      <c r="BT10" s="55">
        <v>3.8677920059823958E-5</v>
      </c>
      <c r="BU10" s="55">
        <v>3.8751713009784551E-5</v>
      </c>
      <c r="BV10" s="55">
        <v>3.8826591933489533E-5</v>
      </c>
      <c r="BW10" s="55">
        <v>3.890255296099992E-5</v>
      </c>
      <c r="BX10" s="55">
        <v>3.8979588221708722E-5</v>
      </c>
      <c r="BY10" s="55">
        <v>3.9057691220618749E-5</v>
      </c>
      <c r="BZ10" s="55">
        <v>3.9136866220622919E-5</v>
      </c>
      <c r="CA10" s="55">
        <v>3.9217106232685925E-5</v>
      </c>
      <c r="CB10" s="55">
        <v>3.9298398757022331E-5</v>
      </c>
      <c r="CC10" s="55">
        <v>3.9380744857709663E-5</v>
      </c>
      <c r="CD10" s="55">
        <v>3.9464137259924096E-5</v>
      </c>
      <c r="CE10" s="55">
        <v>3.9548568806148973E-5</v>
      </c>
      <c r="CF10" s="55">
        <v>3.9634035486339887E-5</v>
      </c>
      <c r="CG10" s="55">
        <v>3.9720527015119885E-5</v>
      </c>
      <c r="CH10" s="55">
        <v>3.9808038587477014E-5</v>
      </c>
      <c r="CI10" s="55">
        <v>3.9896568115661278E-5</v>
      </c>
      <c r="CJ10" s="55">
        <v>3.998610769803857E-5</v>
      </c>
      <c r="CK10" s="55">
        <v>4.0076663427659374E-5</v>
      </c>
      <c r="CL10" s="55">
        <v>4.0168239548289989E-5</v>
      </c>
      <c r="CM10" s="55">
        <v>4.0260837211252985E-5</v>
      </c>
    </row>
    <row r="11" spans="1:91" x14ac:dyDescent="0.25">
      <c r="A11" s="41" t="s">
        <v>1</v>
      </c>
      <c r="B11" s="5">
        <v>0</v>
      </c>
      <c r="C11" s="5">
        <v>0</v>
      </c>
      <c r="D11" s="5">
        <v>0</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0</v>
      </c>
      <c r="AF11" s="55">
        <v>9.854236723099179E-6</v>
      </c>
      <c r="AG11" s="55">
        <v>9.9823313516283816E-6</v>
      </c>
      <c r="AH11" s="55">
        <v>1.0100376622903003E-5</v>
      </c>
      <c r="AI11" s="55">
        <v>1.0217954371032664E-5</v>
      </c>
      <c r="AJ11" s="55">
        <v>1.0335036222756833E-5</v>
      </c>
      <c r="AK11" s="55">
        <v>1.0451609591361124E-5</v>
      </c>
      <c r="AL11" s="55">
        <v>1.0567721275233579E-5</v>
      </c>
      <c r="AM11" s="55">
        <v>1.0683584645201572E-5</v>
      </c>
      <c r="AN11" s="55">
        <v>1.0799445063931594E-5</v>
      </c>
      <c r="AO11" s="55">
        <v>1.0915504194081234E-5</v>
      </c>
      <c r="AP11" s="55">
        <v>1.1031807456688384E-5</v>
      </c>
      <c r="AQ11" s="55">
        <v>1.1148309525294568E-5</v>
      </c>
      <c r="AR11" s="55">
        <v>1.1264870100794226E-5</v>
      </c>
      <c r="AS11" s="55">
        <v>1.1381328286422772E-5</v>
      </c>
      <c r="AT11" s="55">
        <v>1.1497512483415883E-5</v>
      </c>
      <c r="AU11" s="55">
        <v>1.1803464369167429E-5</v>
      </c>
      <c r="AV11" s="55">
        <v>1.2071076753421164E-5</v>
      </c>
      <c r="AW11" s="55">
        <v>1.2339032919941119E-5</v>
      </c>
      <c r="AX11" s="55">
        <v>1.2607263023161016E-5</v>
      </c>
      <c r="AY11" s="55">
        <v>1.2875722419325717E-5</v>
      </c>
      <c r="AZ11" s="55">
        <v>1.3144397729442386E-5</v>
      </c>
      <c r="BA11" s="55">
        <v>1.3413300071319038E-5</v>
      </c>
      <c r="BB11" s="55">
        <v>1.3682448844595694E-5</v>
      </c>
      <c r="BC11" s="55">
        <v>1.395188726793054E-5</v>
      </c>
      <c r="BD11" s="55">
        <v>1.4221622177317089E-5</v>
      </c>
      <c r="BE11" s="55">
        <v>1.4491643827531894E-5</v>
      </c>
      <c r="BF11" s="55">
        <v>1.4761924783512753E-5</v>
      </c>
      <c r="BG11" s="55">
        <v>1.503244380112934E-5</v>
      </c>
      <c r="BH11" s="55">
        <v>1.5303187831917682E-5</v>
      </c>
      <c r="BI11" s="55">
        <v>1.557412314738251E-5</v>
      </c>
      <c r="BJ11" s="55">
        <v>1.5845231954920686E-5</v>
      </c>
      <c r="BK11" s="55">
        <v>1.6116481807391817E-5</v>
      </c>
      <c r="BL11" s="55">
        <v>1.6387846539899619E-5</v>
      </c>
      <c r="BM11" s="55">
        <v>1.6659294228484215E-5</v>
      </c>
      <c r="BN11" s="55">
        <v>1.6930804678487053E-5</v>
      </c>
      <c r="BO11" s="55">
        <v>1.72023400226907E-5</v>
      </c>
      <c r="BP11" s="55">
        <v>1.7473889524296791E-5</v>
      </c>
      <c r="BQ11" s="55">
        <v>1.7745421916057434E-5</v>
      </c>
      <c r="BR11" s="55">
        <v>1.8016930836368059E-5</v>
      </c>
      <c r="BS11" s="55">
        <v>1.8288393046038396E-5</v>
      </c>
      <c r="BT11" s="55">
        <v>1.8537394223131596E-5</v>
      </c>
      <c r="BU11" s="55">
        <v>1.8786939369484812E-5</v>
      </c>
      <c r="BV11" s="55">
        <v>1.9037001323926226E-5</v>
      </c>
      <c r="BW11" s="55">
        <v>1.9287578920227342E-5</v>
      </c>
      <c r="BX11" s="55">
        <v>1.9538671131323192E-5</v>
      </c>
      <c r="BY11" s="55">
        <v>1.9790284246013519E-5</v>
      </c>
      <c r="BZ11" s="55">
        <v>2.0042405273308238E-5</v>
      </c>
      <c r="CA11" s="55">
        <v>2.0295033898328146E-5</v>
      </c>
      <c r="CB11" s="55">
        <v>2.0548156613124433E-5</v>
      </c>
      <c r="CC11" s="55">
        <v>2.0801758869785672E-5</v>
      </c>
      <c r="CD11" s="55">
        <v>2.1055828081857568E-5</v>
      </c>
      <c r="CE11" s="55">
        <v>2.1310346949605758E-5</v>
      </c>
      <c r="CF11" s="55">
        <v>2.1565314955439615E-5</v>
      </c>
      <c r="CG11" s="55">
        <v>2.1820723628412651E-5</v>
      </c>
      <c r="CH11" s="55">
        <v>2.2076567644162625E-5</v>
      </c>
      <c r="CI11" s="55">
        <v>2.2332826663134236E-5</v>
      </c>
      <c r="CJ11" s="55">
        <v>2.2589489050445082E-5</v>
      </c>
      <c r="CK11" s="55">
        <v>2.2846510383298265E-5</v>
      </c>
      <c r="CL11" s="55">
        <v>2.3103864648919468E-5</v>
      </c>
      <c r="CM11" s="55">
        <v>2.336149868724929E-5</v>
      </c>
    </row>
    <row r="12" spans="1:91" x14ac:dyDescent="0.25">
      <c r="A12" s="41" t="s">
        <v>1</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5">
        <v>2.1546611417777664E-5</v>
      </c>
      <c r="AG12" s="55">
        <v>2.1548776353901259E-5</v>
      </c>
      <c r="AH12" s="55">
        <v>2.1529813843228388E-5</v>
      </c>
      <c r="AI12" s="55">
        <v>2.1511796280261009E-5</v>
      </c>
      <c r="AJ12" s="55">
        <v>2.1494294630538175E-5</v>
      </c>
      <c r="AK12" s="55">
        <v>2.1477258718884035E-5</v>
      </c>
      <c r="AL12" s="55">
        <v>2.1460780711870611E-5</v>
      </c>
      <c r="AM12" s="55">
        <v>2.1445238306112089E-5</v>
      </c>
      <c r="AN12" s="55">
        <v>2.1430974190250699E-5</v>
      </c>
      <c r="AO12" s="55">
        <v>2.1418246228484336E-5</v>
      </c>
      <c r="AP12" s="55">
        <v>2.1406989135757382E-5</v>
      </c>
      <c r="AQ12" s="55">
        <v>2.1396971476561034E-5</v>
      </c>
      <c r="AR12" s="55">
        <v>2.1387819441490876E-5</v>
      </c>
      <c r="AS12" s="55">
        <v>2.1379160748666734E-5</v>
      </c>
      <c r="AT12" s="55">
        <v>2.1370586114888923E-5</v>
      </c>
      <c r="AU12" s="55">
        <v>2.1564353450623786E-5</v>
      </c>
      <c r="AV12" s="55">
        <v>2.1793341436211772E-5</v>
      </c>
      <c r="AW12" s="55">
        <v>2.2022900015537084E-5</v>
      </c>
      <c r="AX12" s="55">
        <v>2.225291554480102E-5</v>
      </c>
      <c r="AY12" s="55">
        <v>2.248331696163916E-5</v>
      </c>
      <c r="AZ12" s="55">
        <v>2.2714121854788541E-5</v>
      </c>
      <c r="BA12" s="55">
        <v>2.2945369953573054E-5</v>
      </c>
      <c r="BB12" s="55">
        <v>2.317716854182256E-5</v>
      </c>
      <c r="BC12" s="55">
        <v>2.3409714567266966E-5</v>
      </c>
      <c r="BD12" s="55">
        <v>2.3643118283127092E-5</v>
      </c>
      <c r="BE12" s="55">
        <v>2.3877389487586614E-5</v>
      </c>
      <c r="BF12" s="55">
        <v>2.4112490073566627E-5</v>
      </c>
      <c r="BG12" s="55">
        <v>2.4348441491904624E-5</v>
      </c>
      <c r="BH12" s="55">
        <v>2.4585313440037396E-5</v>
      </c>
      <c r="BI12" s="55">
        <v>2.4823070699872917E-5</v>
      </c>
      <c r="BJ12" s="55">
        <v>2.5061723396556276E-5</v>
      </c>
      <c r="BK12" s="55">
        <v>2.5301222927894769E-5</v>
      </c>
      <c r="BL12" s="55">
        <v>2.5541470402580263E-5</v>
      </c>
      <c r="BM12" s="55">
        <v>2.5782356869015562E-5</v>
      </c>
      <c r="BN12" s="55">
        <v>2.602382674911267E-5</v>
      </c>
      <c r="BO12" s="55">
        <v>2.6265788224911583E-5</v>
      </c>
      <c r="BP12" s="55">
        <v>2.6508240428606932E-5</v>
      </c>
      <c r="BQ12" s="55">
        <v>2.6751112796108488E-5</v>
      </c>
      <c r="BR12" s="55">
        <v>2.6994398843226654E-5</v>
      </c>
      <c r="BS12" s="55">
        <v>2.7238015928863178E-5</v>
      </c>
      <c r="BT12" s="55">
        <v>2.7486278328480859E-5</v>
      </c>
      <c r="BU12" s="55">
        <v>2.7735066702356564E-5</v>
      </c>
      <c r="BV12" s="55">
        <v>2.7984373471102214E-5</v>
      </c>
      <c r="BW12" s="55">
        <v>2.8234185785609252E-5</v>
      </c>
      <c r="BX12" s="55">
        <v>2.848452661865839E-5</v>
      </c>
      <c r="BY12" s="55">
        <v>2.8735407812141995E-5</v>
      </c>
      <c r="BZ12" s="55">
        <v>2.8986784416274045E-5</v>
      </c>
      <c r="CA12" s="55">
        <v>2.923868910001958E-5</v>
      </c>
      <c r="CB12" s="55">
        <v>2.9491106015792109E-5</v>
      </c>
      <c r="CC12" s="55">
        <v>2.974403013996918E-5</v>
      </c>
      <c r="CD12" s="55">
        <v>2.9997418547630894E-5</v>
      </c>
      <c r="CE12" s="55">
        <v>3.0251285972614444E-5</v>
      </c>
      <c r="CF12" s="55">
        <v>3.0505605048150061E-5</v>
      </c>
      <c r="CG12" s="55">
        <v>3.0760361503078086E-5</v>
      </c>
      <c r="CH12" s="55">
        <v>3.1015537929679432E-5</v>
      </c>
      <c r="CI12" s="55">
        <v>3.1271124426628932E-5</v>
      </c>
      <c r="CJ12" s="55">
        <v>3.152708507740859E-5</v>
      </c>
      <c r="CK12" s="55">
        <v>3.1783371020349179E-5</v>
      </c>
      <c r="CL12" s="55">
        <v>3.2039952017257924E-5</v>
      </c>
      <c r="CM12" s="55">
        <v>3.2296747924272995E-5</v>
      </c>
    </row>
    <row r="13" spans="1:91" x14ac:dyDescent="0.25">
      <c r="A13" s="41"/>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row>
    <row r="14" spans="1:91" x14ac:dyDescent="0.25">
      <c r="A14" s="41" t="s">
        <v>4</v>
      </c>
      <c r="B14" s="5">
        <v>0</v>
      </c>
      <c r="C14" s="5">
        <v>0</v>
      </c>
      <c r="D14" s="5">
        <v>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55">
        <v>7.2579400635636128E-5</v>
      </c>
      <c r="AG14" s="55">
        <v>7.2710750357848772E-5</v>
      </c>
      <c r="AH14" s="55">
        <v>7.2835631481469562E-5</v>
      </c>
      <c r="AI14" s="55">
        <v>7.2966844650889425E-5</v>
      </c>
      <c r="AJ14" s="55">
        <v>7.3104359921105733E-5</v>
      </c>
      <c r="AK14" s="55">
        <v>7.3248246864508071E-5</v>
      </c>
      <c r="AL14" s="55">
        <v>7.3398754505103175E-5</v>
      </c>
      <c r="AM14" s="55">
        <v>7.3555626460515322E-5</v>
      </c>
      <c r="AN14" s="55">
        <v>7.3718630250443402E-5</v>
      </c>
      <c r="AO14" s="55">
        <v>7.3887930394828121E-5</v>
      </c>
      <c r="AP14" s="55">
        <v>7.4063048210976443E-5</v>
      </c>
      <c r="AQ14" s="55">
        <v>7.4244147109695115E-5</v>
      </c>
      <c r="AR14" s="55">
        <v>7.4431632375143155E-5</v>
      </c>
      <c r="AS14" s="55">
        <v>7.4625871636400709E-5</v>
      </c>
      <c r="AT14" s="55">
        <v>7.4827372348252132E-5</v>
      </c>
      <c r="AU14" s="55">
        <v>7.5272799341533807E-5</v>
      </c>
      <c r="AV14" s="55">
        <v>7.5653421761369362E-5</v>
      </c>
      <c r="AW14" s="55">
        <v>7.6040193622583865E-5</v>
      </c>
      <c r="AX14" s="55">
        <v>7.6432190906052539E-5</v>
      </c>
      <c r="AY14" s="55">
        <v>7.6828880354967423E-5</v>
      </c>
      <c r="AZ14" s="55">
        <v>7.7229800876962352E-5</v>
      </c>
      <c r="BA14" s="55">
        <v>7.7634910652234077E-5</v>
      </c>
      <c r="BB14" s="55">
        <v>7.8043932027252886E-5</v>
      </c>
      <c r="BC14" s="55">
        <v>7.8456345254956117E-5</v>
      </c>
      <c r="BD14" s="55">
        <v>7.8871802407409408E-5</v>
      </c>
      <c r="BE14" s="55">
        <v>7.9290254340928318E-5</v>
      </c>
      <c r="BF14" s="55">
        <v>7.9711490722035377E-5</v>
      </c>
      <c r="BG14" s="55">
        <v>8.0135788621319673E-5</v>
      </c>
      <c r="BH14" s="55">
        <v>8.0562988302829418E-5</v>
      </c>
      <c r="BI14" s="55">
        <v>8.0993198348850272E-5</v>
      </c>
      <c r="BJ14" s="55">
        <v>8.1426526896724929E-5</v>
      </c>
      <c r="BK14" s="55">
        <v>8.1862876820251466E-5</v>
      </c>
      <c r="BL14" s="55">
        <v>8.2302563022349228E-5</v>
      </c>
      <c r="BM14" s="55">
        <v>8.2745948066426073E-5</v>
      </c>
      <c r="BN14" s="55">
        <v>8.3193150536952967E-5</v>
      </c>
      <c r="BO14" s="55">
        <v>8.3644366820044867E-5</v>
      </c>
      <c r="BP14" s="55">
        <v>8.4099276794272285E-5</v>
      </c>
      <c r="BQ14" s="55">
        <v>8.4557925721439917E-5</v>
      </c>
      <c r="BR14" s="55">
        <v>8.5019750842936146E-5</v>
      </c>
      <c r="BS14" s="55">
        <v>8.8421503654507531E-5</v>
      </c>
      <c r="BT14" s="55">
        <v>8.8842393838757668E-5</v>
      </c>
      <c r="BU14" s="55">
        <v>8.9265303631429454E-5</v>
      </c>
      <c r="BV14" s="55">
        <v>8.968966968738465E-5</v>
      </c>
      <c r="BW14" s="55">
        <v>9.0115191424142366E-5</v>
      </c>
      <c r="BX14" s="55">
        <v>9.0541413440371632E-5</v>
      </c>
      <c r="BY14" s="55">
        <v>9.0968056296699494E-5</v>
      </c>
      <c r="BZ14" s="55">
        <v>9.1395259359980312E-5</v>
      </c>
      <c r="CA14" s="55">
        <v>9.1822763544531668E-5</v>
      </c>
      <c r="CB14" s="55">
        <v>9.2250697448126019E-5</v>
      </c>
      <c r="CC14" s="55">
        <v>9.2678861236957113E-5</v>
      </c>
      <c r="CD14" s="55">
        <v>9.3107437683878698E-5</v>
      </c>
      <c r="CE14" s="55">
        <v>9.3536262752496986E-5</v>
      </c>
      <c r="CF14" s="55">
        <v>9.3965275259047813E-5</v>
      </c>
      <c r="CG14" s="55">
        <v>9.4394518640761839E-5</v>
      </c>
      <c r="CH14" s="55">
        <v>9.4823893052683463E-5</v>
      </c>
      <c r="CI14" s="55">
        <v>9.5253528751421097E-5</v>
      </c>
      <c r="CJ14" s="55">
        <v>9.5683465522345998E-5</v>
      </c>
      <c r="CK14" s="55">
        <v>9.611397100395814E-5</v>
      </c>
      <c r="CL14" s="55">
        <v>9.6545000653288165E-5</v>
      </c>
      <c r="CM14" s="55">
        <v>9.6976999883365017E-5</v>
      </c>
    </row>
    <row r="15" spans="1:91" x14ac:dyDescent="0.25">
      <c r="A15" s="41"/>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row>
    <row r="16" spans="1:91" x14ac:dyDescent="0.25">
      <c r="A16" s="41" t="s">
        <v>5</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4">
        <v>2.6047124150016419E-5</v>
      </c>
      <c r="AG16" s="54">
        <v>2.5931820509822103E-5</v>
      </c>
      <c r="AH16" s="54">
        <v>2.5817027287951345E-5</v>
      </c>
      <c r="AI16" s="54">
        <v>2.5702742224918969E-5</v>
      </c>
      <c r="AJ16" s="54">
        <v>2.5588963071241946E-5</v>
      </c>
      <c r="AK16" s="54">
        <v>2.5475687587395098E-5</v>
      </c>
      <c r="AL16" s="54">
        <v>2.5362913543767027E-5</v>
      </c>
      <c r="AM16" s="54">
        <v>2.5250638720616227E-5</v>
      </c>
      <c r="AN16" s="54">
        <v>2.5138860908027395E-5</v>
      </c>
      <c r="AO16" s="54">
        <v>2.5027577905867931E-5</v>
      </c>
      <c r="AP16" s="54">
        <v>2.4916787523744632E-5</v>
      </c>
      <c r="AQ16" s="54">
        <v>2.4806487580960574E-5</v>
      </c>
      <c r="AR16" s="54">
        <v>2.4696675906472202E-5</v>
      </c>
      <c r="AS16" s="54">
        <v>2.4587350338846587E-5</v>
      </c>
      <c r="AT16" s="54">
        <v>2.4478508726218878E-5</v>
      </c>
      <c r="AU16" s="28">
        <v>2.4527270636204891E-5</v>
      </c>
      <c r="AV16" s="28">
        <v>2.4548593876562171E-5</v>
      </c>
      <c r="AW16" s="28">
        <v>2.4569924732133882E-5</v>
      </c>
      <c r="AX16" s="28">
        <v>2.4591263205639672E-5</v>
      </c>
      <c r="AY16" s="28">
        <v>2.4612609299800146E-5</v>
      </c>
      <c r="AZ16" s="28">
        <v>2.4633963017336884E-5</v>
      </c>
      <c r="BA16" s="28">
        <v>2.4655324360972442E-5</v>
      </c>
      <c r="BB16" s="28">
        <v>2.467669333343034E-5</v>
      </c>
      <c r="BC16" s="28">
        <v>2.4698069937435075E-5</v>
      </c>
      <c r="BD16" s="28">
        <v>2.4719454175712123E-5</v>
      </c>
      <c r="BE16" s="28">
        <v>2.4740846050987925E-5</v>
      </c>
      <c r="BF16" s="28">
        <v>2.4762245565989893E-5</v>
      </c>
      <c r="BG16" s="28">
        <v>2.4783652723446429E-5</v>
      </c>
      <c r="BH16" s="28">
        <v>2.4805067526086899E-5</v>
      </c>
      <c r="BI16" s="28">
        <v>2.4826489976641633E-5</v>
      </c>
      <c r="BJ16" s="28">
        <v>2.4847920077841963E-5</v>
      </c>
      <c r="BK16" s="28">
        <v>2.4869357832420167E-5</v>
      </c>
      <c r="BL16" s="28">
        <v>2.4890803243109515E-5</v>
      </c>
      <c r="BM16" s="28">
        <v>2.491225631264425E-5</v>
      </c>
      <c r="BN16" s="28">
        <v>2.49337170437596E-5</v>
      </c>
      <c r="BO16" s="28">
        <v>2.4955185439191757E-5</v>
      </c>
      <c r="BP16" s="28">
        <v>2.497666150167789E-5</v>
      </c>
      <c r="BQ16" s="28">
        <v>2.4998145233956152E-5</v>
      </c>
      <c r="BR16" s="28">
        <v>2.5019636638765671E-5</v>
      </c>
      <c r="BS16" s="28">
        <v>2.5041135718846558E-5</v>
      </c>
      <c r="BT16" s="28">
        <v>2.5062642476939903E-5</v>
      </c>
      <c r="BU16" s="28">
        <v>2.5084156915787766E-5</v>
      </c>
      <c r="BV16" s="28">
        <v>2.5105679038133188E-5</v>
      </c>
      <c r="BW16" s="28">
        <v>2.5127208846720193E-5</v>
      </c>
      <c r="BX16" s="28">
        <v>2.5148746344293792E-5</v>
      </c>
      <c r="BY16" s="28">
        <v>2.5170291533599969E-5</v>
      </c>
      <c r="BZ16" s="28">
        <v>2.5191844417385685E-5</v>
      </c>
      <c r="CA16" s="28">
        <v>2.5213404998398886E-5</v>
      </c>
      <c r="CB16" s="28">
        <v>2.5234973279388503E-5</v>
      </c>
      <c r="CC16" s="28">
        <v>2.5256549263104441E-5</v>
      </c>
      <c r="CD16" s="28">
        <v>2.5278132952297586E-5</v>
      </c>
      <c r="CE16" s="28">
        <v>2.5299724349719819E-5</v>
      </c>
      <c r="CF16" s="28">
        <v>2.5321323458123997E-5</v>
      </c>
      <c r="CG16" s="28">
        <v>2.5342930280263964E-5</v>
      </c>
      <c r="CH16" s="28">
        <v>2.5364544818894534E-5</v>
      </c>
      <c r="CI16" s="28">
        <v>2.5386167076771516E-5</v>
      </c>
      <c r="CJ16" s="28">
        <v>2.5407797056651697E-5</v>
      </c>
      <c r="CK16" s="28">
        <v>2.5429434761292858E-5</v>
      </c>
      <c r="CL16" s="28">
        <v>2.5451080193453763E-5</v>
      </c>
      <c r="CM16" s="28">
        <v>2.5472733355894152E-5</v>
      </c>
    </row>
    <row r="17" spans="1:91" x14ac:dyDescent="0.25">
      <c r="A17" s="41" t="s">
        <v>1</v>
      </c>
      <c r="B17" s="5">
        <v>0</v>
      </c>
      <c r="C17" s="5">
        <v>0</v>
      </c>
      <c r="D17" s="5">
        <v>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54">
        <v>2.0100000000000001E-4</v>
      </c>
      <c r="AG17" s="54">
        <v>2.0106666666666668E-4</v>
      </c>
      <c r="AH17" s="54">
        <v>2.0113333333333333E-4</v>
      </c>
      <c r="AI17" s="54">
        <v>2.0120000000000001E-4</v>
      </c>
      <c r="AJ17" s="54">
        <v>2.0126666666666666E-4</v>
      </c>
      <c r="AK17" s="54">
        <v>2.0133333333333334E-4</v>
      </c>
      <c r="AL17" s="54">
        <v>2.0140000000000002E-4</v>
      </c>
      <c r="AM17" s="54">
        <v>2.0146666666666667E-4</v>
      </c>
      <c r="AN17" s="54">
        <v>2.0153333333333334E-4</v>
      </c>
      <c r="AO17" s="54">
        <v>2.0159999999999999E-4</v>
      </c>
      <c r="AP17" s="54">
        <v>2.0166666666666667E-4</v>
      </c>
      <c r="AQ17" s="54">
        <v>2.0173333333333335E-4</v>
      </c>
      <c r="AR17" s="54">
        <v>2.018E-4</v>
      </c>
      <c r="AS17" s="54">
        <v>2.0186666666666668E-4</v>
      </c>
      <c r="AT17" s="54">
        <v>2.0193333333333333E-4</v>
      </c>
      <c r="AU17" s="28">
        <v>2.0209666666666669E-4</v>
      </c>
      <c r="AV17" s="28">
        <v>2.0342375000000006E-4</v>
      </c>
      <c r="AW17" s="28">
        <v>2.0475083333333335E-4</v>
      </c>
      <c r="AX17" s="28">
        <v>2.0607791666666671E-4</v>
      </c>
      <c r="AY17" s="28">
        <v>2.0740500000000008E-4</v>
      </c>
      <c r="AZ17" s="28">
        <v>2.0873208333333336E-4</v>
      </c>
      <c r="BA17" s="28">
        <v>2.1005916666666673E-4</v>
      </c>
      <c r="BB17" s="28">
        <v>2.113862500000001E-4</v>
      </c>
      <c r="BC17" s="28">
        <v>2.1271333333333338E-4</v>
      </c>
      <c r="BD17" s="28">
        <v>2.1404041666666675E-4</v>
      </c>
      <c r="BE17" s="28">
        <v>2.1536750000000012E-4</v>
      </c>
      <c r="BF17" s="28">
        <v>2.166945833333334E-4</v>
      </c>
      <c r="BG17" s="28">
        <v>2.1802166666666677E-4</v>
      </c>
      <c r="BH17" s="28">
        <v>2.1934875000000013E-4</v>
      </c>
      <c r="BI17" s="28">
        <v>2.2067583333333342E-4</v>
      </c>
      <c r="BJ17" s="28">
        <v>2.2200291666666679E-4</v>
      </c>
      <c r="BK17" s="28">
        <v>2.2333000000000015E-4</v>
      </c>
      <c r="BL17" s="28">
        <v>2.2465708333333344E-4</v>
      </c>
      <c r="BM17" s="28">
        <v>2.2598416666666681E-4</v>
      </c>
      <c r="BN17" s="28">
        <v>2.2731125000000017E-4</v>
      </c>
      <c r="BO17" s="28">
        <v>2.2863833333333346E-4</v>
      </c>
      <c r="BP17" s="28">
        <v>2.2996541666666682E-4</v>
      </c>
      <c r="BQ17" s="28">
        <v>2.3129250000000019E-4</v>
      </c>
      <c r="BR17" s="28">
        <v>2.3261958333333348E-4</v>
      </c>
      <c r="BS17" s="28">
        <v>2.3394666666666684E-4</v>
      </c>
      <c r="BT17" s="28">
        <v>2.3480416666666687E-4</v>
      </c>
      <c r="BU17" s="28">
        <v>2.3566166666666682E-4</v>
      </c>
      <c r="BV17" s="28">
        <v>2.3651916666666685E-4</v>
      </c>
      <c r="BW17" s="28">
        <v>2.3737666666666688E-4</v>
      </c>
      <c r="BX17" s="28">
        <v>2.3823416666666683E-4</v>
      </c>
      <c r="BY17" s="28">
        <v>2.3909166666666686E-4</v>
      </c>
      <c r="BZ17" s="28">
        <v>2.3994916666666689E-4</v>
      </c>
      <c r="CA17" s="28">
        <v>2.4080666666666692E-4</v>
      </c>
      <c r="CB17" s="28">
        <v>2.4166416666666687E-4</v>
      </c>
      <c r="CC17" s="28">
        <v>2.425216666666669E-4</v>
      </c>
      <c r="CD17" s="28">
        <v>2.4337916666666693E-4</v>
      </c>
      <c r="CE17" s="28">
        <v>2.4423666666666691E-4</v>
      </c>
      <c r="CF17" s="28">
        <v>2.4509416666666691E-4</v>
      </c>
      <c r="CG17" s="28">
        <v>2.4595166666666692E-4</v>
      </c>
      <c r="CH17" s="28">
        <v>2.4680916666666692E-4</v>
      </c>
      <c r="CI17" s="28">
        <v>2.4766666666666687E-4</v>
      </c>
      <c r="CJ17" s="28">
        <v>2.4852416666666687E-4</v>
      </c>
      <c r="CK17" s="28">
        <v>2.4938166666666687E-4</v>
      </c>
      <c r="CL17" s="28">
        <v>2.5023916666666682E-4</v>
      </c>
      <c r="CM17" s="28">
        <v>2.5109666666666683E-4</v>
      </c>
    </row>
    <row r="18" spans="1:91" x14ac:dyDescent="0.25">
      <c r="A18" s="41" t="s">
        <v>2</v>
      </c>
      <c r="B18" s="5">
        <v>0</v>
      </c>
      <c r="C18" s="5">
        <v>0</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4">
        <v>3.1090007506599416E-5</v>
      </c>
      <c r="AG18" s="54">
        <v>3.1214866974497405E-5</v>
      </c>
      <c r="AH18" s="54">
        <v>3.1340227886041568E-5</v>
      </c>
      <c r="AI18" s="54">
        <v>3.1466092255061819E-5</v>
      </c>
      <c r="AJ18" s="54">
        <v>3.1592462103475722E-5</v>
      </c>
      <c r="AK18" s="54">
        <v>3.1719339461321004E-5</v>
      </c>
      <c r="AL18" s="54">
        <v>3.1846726366788155E-5</v>
      </c>
      <c r="AM18" s="54">
        <v>3.1974624866253171E-5</v>
      </c>
      <c r="AN18" s="54">
        <v>3.2103037014310414E-5</v>
      </c>
      <c r="AO18" s="54">
        <v>3.2231964873805633E-5</v>
      </c>
      <c r="AP18" s="54">
        <v>3.2361410515869112E-5</v>
      </c>
      <c r="AQ18" s="54">
        <v>3.2491376019948906E-5</v>
      </c>
      <c r="AR18" s="54">
        <v>3.2621863473844284E-5</v>
      </c>
      <c r="AS18" s="54">
        <v>3.2752874973739242E-5</v>
      </c>
      <c r="AT18" s="54">
        <v>3.288441262423619E-5</v>
      </c>
      <c r="AU18" s="28">
        <v>3.3207974113912413E-5</v>
      </c>
      <c r="AV18" s="28">
        <v>3.3288864486331462E-5</v>
      </c>
      <c r="AW18" s="28">
        <v>3.3369835749122934E-5</v>
      </c>
      <c r="AX18" s="28">
        <v>3.3450887983177203E-5</v>
      </c>
      <c r="AY18" s="28">
        <v>3.3532021269465522E-5</v>
      </c>
      <c r="AZ18" s="28">
        <v>3.3613235689040128E-5</v>
      </c>
      <c r="BA18" s="28">
        <v>3.3694531323034302E-5</v>
      </c>
      <c r="BB18" s="28">
        <v>3.3775908252662486E-5</v>
      </c>
      <c r="BC18" s="28">
        <v>3.3857366559220299E-5</v>
      </c>
      <c r="BD18" s="28">
        <v>3.3938906324084656E-5</v>
      </c>
      <c r="BE18" s="28">
        <v>3.4020527628713876E-5</v>
      </c>
      <c r="BF18" s="28">
        <v>3.4102230554647727E-5</v>
      </c>
      <c r="BG18" s="28">
        <v>3.4184015183507524E-5</v>
      </c>
      <c r="BH18" s="28">
        <v>3.4265881596996182E-5</v>
      </c>
      <c r="BI18" s="28">
        <v>3.4347829876898322E-5</v>
      </c>
      <c r="BJ18" s="28">
        <v>3.4429860105080371E-5</v>
      </c>
      <c r="BK18" s="28">
        <v>3.4511972363490597E-5</v>
      </c>
      <c r="BL18" s="28">
        <v>3.4594166734159236E-5</v>
      </c>
      <c r="BM18" s="28">
        <v>3.4676443299198535E-5</v>
      </c>
      <c r="BN18" s="28">
        <v>3.4758802140802879E-5</v>
      </c>
      <c r="BO18" s="28">
        <v>3.4841243341248831E-5</v>
      </c>
      <c r="BP18" s="28">
        <v>3.4923766982895216E-5</v>
      </c>
      <c r="BQ18" s="28">
        <v>3.5006373148183261E-5</v>
      </c>
      <c r="BR18" s="28">
        <v>3.5089061919636589E-5</v>
      </c>
      <c r="BS18" s="28">
        <v>3.5171833379861369E-5</v>
      </c>
      <c r="BT18" s="28">
        <v>3.5254687611546367E-5</v>
      </c>
      <c r="BU18" s="28">
        <v>3.5337624697463061E-5</v>
      </c>
      <c r="BV18" s="28">
        <v>3.5420644720465657E-5</v>
      </c>
      <c r="BW18" s="28">
        <v>3.5503747763491259E-5</v>
      </c>
      <c r="BX18" s="28">
        <v>3.5586933909559896E-5</v>
      </c>
      <c r="BY18" s="28">
        <v>3.5670203241774602E-5</v>
      </c>
      <c r="BZ18" s="28">
        <v>3.575355584332152E-5</v>
      </c>
      <c r="CA18" s="28">
        <v>3.5836991797469985E-5</v>
      </c>
      <c r="CB18" s="28">
        <v>3.5920511187572593E-5</v>
      </c>
      <c r="CC18" s="28">
        <v>3.6004114097065308E-5</v>
      </c>
      <c r="CD18" s="28">
        <v>3.6087800609467511E-5</v>
      </c>
      <c r="CE18" s="28">
        <v>3.6171570808382118E-5</v>
      </c>
      <c r="CF18" s="28">
        <v>3.6255424777495646E-5</v>
      </c>
      <c r="CG18" s="28">
        <v>3.6339362600578278E-5</v>
      </c>
      <c r="CH18" s="28">
        <v>3.6423384361484006E-5</v>
      </c>
      <c r="CI18" s="28">
        <v>3.6507490144150623E-5</v>
      </c>
      <c r="CJ18" s="28">
        <v>3.6591680032599916E-5</v>
      </c>
      <c r="CK18" s="28">
        <v>3.6675954110937653E-5</v>
      </c>
      <c r="CL18" s="28">
        <v>3.6760312463353728E-5</v>
      </c>
      <c r="CM18" s="28">
        <v>3.6844755174122232E-5</v>
      </c>
    </row>
    <row r="19" spans="1:91" x14ac:dyDescent="0.25">
      <c r="A19" s="41" t="s">
        <v>2</v>
      </c>
      <c r="B19" s="5">
        <v>0</v>
      </c>
      <c r="C19" s="5">
        <v>0</v>
      </c>
      <c r="D19" s="5">
        <v>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0</v>
      </c>
      <c r="AF19" s="54">
        <v>1.9058062501626263E-5</v>
      </c>
      <c r="AG19" s="54">
        <v>1.9367949696774658E-5</v>
      </c>
      <c r="AH19" s="54">
        <v>1.9682875708104327E-5</v>
      </c>
      <c r="AI19" s="54">
        <v>2.0002922467585699E-5</v>
      </c>
      <c r="AJ19" s="54">
        <v>2.0328173239416362E-5</v>
      </c>
      <c r="AK19" s="54">
        <v>2.0658712641683296E-5</v>
      </c>
      <c r="AL19" s="54">
        <v>2.0994626668377332E-5</v>
      </c>
      <c r="AM19" s="54">
        <v>2.1336002711765583E-5</v>
      </c>
      <c r="AN19" s="54">
        <v>2.1682929585127624E-5</v>
      </c>
      <c r="AO19" s="54">
        <v>2.2035497545861405E-5</v>
      </c>
      <c r="AP19" s="54">
        <v>2.2393798318964842E-5</v>
      </c>
      <c r="AQ19" s="54">
        <v>2.2757925120899231E-5</v>
      </c>
      <c r="AR19" s="54">
        <v>2.3127972683840682E-5</v>
      </c>
      <c r="AS19" s="54">
        <v>2.3504037280325898E-5</v>
      </c>
      <c r="AT19" s="54">
        <v>2.3886216748298676E-5</v>
      </c>
      <c r="AU19" s="28">
        <v>2.483778148054797E-5</v>
      </c>
      <c r="AV19" s="28">
        <v>2.5254091050907037E-5</v>
      </c>
      <c r="AW19" s="28">
        <v>2.5673314788258621E-5</v>
      </c>
      <c r="AX19" s="28">
        <v>2.6095473091771663E-5</v>
      </c>
      <c r="AY19" s="28">
        <v>2.6520586503409295E-5</v>
      </c>
      <c r="AZ19" s="28">
        <v>2.6948675708928396E-5</v>
      </c>
      <c r="BA19" s="28">
        <v>2.737976153888613E-5</v>
      </c>
      <c r="BB19" s="28">
        <v>2.7813864969653563E-5</v>
      </c>
      <c r="BC19" s="28">
        <v>2.8251007124436367E-5</v>
      </c>
      <c r="BD19" s="28">
        <v>2.8691209274302657E-5</v>
      </c>
      <c r="BE19" s="28">
        <v>2.9134492839218006E-5</v>
      </c>
      <c r="BF19" s="28">
        <v>2.9580879389087765E-5</v>
      </c>
      <c r="BG19" s="28">
        <v>3.0030390644806612E-5</v>
      </c>
      <c r="BH19" s="28">
        <v>3.0483048479315491E-5</v>
      </c>
      <c r="BI19" s="28">
        <v>3.0938874918665932E-5</v>
      </c>
      <c r="BJ19" s="28">
        <v>3.1397892143091828E-5</v>
      </c>
      <c r="BK19" s="28">
        <v>3.1860122488088699E-5</v>
      </c>
      <c r="BL19" s="28">
        <v>3.2325588445500551E-5</v>
      </c>
      <c r="BM19" s="28">
        <v>3.279431266461429E-5</v>
      </c>
      <c r="BN19" s="28">
        <v>3.3266317953261819E-5</v>
      </c>
      <c r="BO19" s="28">
        <v>3.3741627278929884E-5</v>
      </c>
      <c r="BP19" s="28">
        <v>3.4220263769877625E-5</v>
      </c>
      <c r="BQ19" s="28">
        <v>3.4702250716261995E-5</v>
      </c>
      <c r="BR19" s="28">
        <v>3.5187611571271056E-5</v>
      </c>
      <c r="BS19" s="28">
        <v>3.5676369952265181E-5</v>
      </c>
      <c r="BT19" s="28">
        <v>3.6168549641926262E-5</v>
      </c>
      <c r="BU19" s="28">
        <v>3.6664174589414974E-5</v>
      </c>
      <c r="BV19" s="28">
        <v>3.7163268911536108E-5</v>
      </c>
      <c r="BW19" s="28">
        <v>3.7665856893912095E-5</v>
      </c>
      <c r="BX19" s="28">
        <v>3.8171962992164707E-5</v>
      </c>
      <c r="BY19" s="28">
        <v>3.8681611833105085E-5</v>
      </c>
      <c r="BZ19" s="28">
        <v>3.9194828215932059E-5</v>
      </c>
      <c r="CA19" s="28">
        <v>3.9711637113438815E-5</v>
      </c>
      <c r="CB19" s="28">
        <v>4.0232063673228111E-5</v>
      </c>
      <c r="CC19" s="28">
        <v>4.0756133218935944E-5</v>
      </c>
      <c r="CD19" s="28">
        <v>4.128387125146372E-5</v>
      </c>
      <c r="CE19" s="28">
        <v>4.1815303450219195E-5</v>
      </c>
      <c r="CF19" s="28">
        <v>4.2350455674365956E-5</v>
      </c>
      <c r="CG19" s="28">
        <v>4.2889353964081748E-5</v>
      </c>
      <c r="CH19" s="28">
        <v>4.3432024541825556E-5</v>
      </c>
      <c r="CI19" s="28">
        <v>4.397849381361356E-5</v>
      </c>
      <c r="CJ19" s="28">
        <v>4.4528788370304082E-5</v>
      </c>
      <c r="CK19" s="28">
        <v>4.5082934988891445E-5</v>
      </c>
      <c r="CL19" s="28">
        <v>4.5640960633808913E-5</v>
      </c>
      <c r="CM19" s="28">
        <v>4.6202892458240802E-5</v>
      </c>
    </row>
    <row r="20" spans="1:91" x14ac:dyDescent="0.25">
      <c r="A20" s="41"/>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row>
    <row r="21" spans="1:91" x14ac:dyDescent="0.25">
      <c r="A21" s="41" t="s">
        <v>6</v>
      </c>
      <c r="B21" s="5">
        <v>0</v>
      </c>
      <c r="C21" s="5">
        <v>0</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54">
        <v>3.7310549777117386E-5</v>
      </c>
      <c r="AG21" s="54">
        <v>3.7387320455671127E-5</v>
      </c>
      <c r="AH21" s="54">
        <v>3.7464091134224867E-5</v>
      </c>
      <c r="AI21" s="54">
        <v>3.7540861812778601E-5</v>
      </c>
      <c r="AJ21" s="54">
        <v>3.7617632491332342E-5</v>
      </c>
      <c r="AK21" s="54">
        <v>3.7694403169886082E-5</v>
      </c>
      <c r="AL21" s="54">
        <v>3.7771173848439823E-5</v>
      </c>
      <c r="AM21" s="54">
        <v>3.7847944526993563E-5</v>
      </c>
      <c r="AN21" s="54">
        <v>3.7924715205547297E-5</v>
      </c>
      <c r="AO21" s="54">
        <v>3.8001485884101038E-5</v>
      </c>
      <c r="AP21" s="54">
        <v>3.8078256562654778E-5</v>
      </c>
      <c r="AQ21" s="54">
        <v>3.8155027241208519E-5</v>
      </c>
      <c r="AR21" s="54">
        <v>3.823179791976226E-5</v>
      </c>
      <c r="AS21" s="54">
        <v>3.8308568598315993E-5</v>
      </c>
      <c r="AT21" s="54">
        <v>3.8385339276869734E-5</v>
      </c>
      <c r="AU21" s="28">
        <v>3.8573427439326397E-5</v>
      </c>
      <c r="AV21" s="28">
        <v>3.9132068857957175E-5</v>
      </c>
      <c r="AW21" s="28">
        <v>3.9690710276587974E-5</v>
      </c>
      <c r="AX21" s="28">
        <v>4.0249351695218752E-5</v>
      </c>
      <c r="AY21" s="28">
        <v>4.080799311384953E-5</v>
      </c>
      <c r="AZ21" s="28">
        <v>4.1366634532480307E-5</v>
      </c>
      <c r="BA21" s="28">
        <v>4.1925275951111085E-5</v>
      </c>
      <c r="BB21" s="28">
        <v>4.2483917369741884E-5</v>
      </c>
      <c r="BC21" s="28">
        <v>4.3042558788372662E-5</v>
      </c>
      <c r="BD21" s="28">
        <v>4.360120020700344E-5</v>
      </c>
      <c r="BE21" s="28">
        <v>4.4159841625634238E-5</v>
      </c>
      <c r="BF21" s="28">
        <v>4.4718483044265016E-5</v>
      </c>
      <c r="BG21" s="28">
        <v>4.5277124462895794E-5</v>
      </c>
      <c r="BH21" s="28">
        <v>4.5835765881526572E-5</v>
      </c>
      <c r="BI21" s="28">
        <v>4.639440730015735E-5</v>
      </c>
      <c r="BJ21" s="28">
        <v>4.6953048718788148E-5</v>
      </c>
      <c r="BK21" s="28">
        <v>4.7511690137418926E-5</v>
      </c>
      <c r="BL21" s="28">
        <v>4.8070331556049704E-5</v>
      </c>
      <c r="BM21" s="28">
        <v>4.8628972974680502E-5</v>
      </c>
      <c r="BN21" s="28">
        <v>4.918761439331128E-5</v>
      </c>
      <c r="BO21" s="28">
        <v>4.9746255811942058E-5</v>
      </c>
      <c r="BP21" s="28">
        <v>5.0304897230572836E-5</v>
      </c>
      <c r="BQ21" s="28">
        <v>5.0863538649203614E-5</v>
      </c>
      <c r="BR21" s="28">
        <v>5.1422180067834412E-5</v>
      </c>
      <c r="BS21" s="28">
        <v>5.198082148646519E-5</v>
      </c>
      <c r="BT21" s="28">
        <v>5.198082148646519E-5</v>
      </c>
      <c r="BU21" s="28">
        <v>5.198082148646519E-5</v>
      </c>
      <c r="BV21" s="28">
        <v>5.198082148646519E-5</v>
      </c>
      <c r="BW21" s="28">
        <v>5.198082148646519E-5</v>
      </c>
      <c r="BX21" s="28">
        <v>5.198082148646519E-5</v>
      </c>
      <c r="BY21" s="28">
        <v>5.198082148646519E-5</v>
      </c>
      <c r="BZ21" s="28">
        <v>5.198082148646519E-5</v>
      </c>
      <c r="CA21" s="28">
        <v>5.198082148646519E-5</v>
      </c>
      <c r="CB21" s="28">
        <v>5.198082148646519E-5</v>
      </c>
      <c r="CC21" s="28">
        <v>5.198082148646519E-5</v>
      </c>
      <c r="CD21" s="28">
        <v>5.198082148646519E-5</v>
      </c>
      <c r="CE21" s="28">
        <v>5.198082148646519E-5</v>
      </c>
      <c r="CF21" s="28">
        <v>5.198082148646519E-5</v>
      </c>
      <c r="CG21" s="28">
        <v>5.198082148646519E-5</v>
      </c>
      <c r="CH21" s="28">
        <v>5.198082148646519E-5</v>
      </c>
      <c r="CI21" s="28">
        <v>5.198082148646519E-5</v>
      </c>
      <c r="CJ21" s="28">
        <v>5.198082148646519E-5</v>
      </c>
      <c r="CK21" s="28">
        <v>5.198082148646519E-5</v>
      </c>
      <c r="CL21" s="28">
        <v>5.198082148646519E-5</v>
      </c>
      <c r="CM21" s="28">
        <v>5.198082148646519E-5</v>
      </c>
    </row>
    <row r="22" spans="1:91" x14ac:dyDescent="0.25">
      <c r="A22" s="41" t="s">
        <v>1</v>
      </c>
      <c r="B22" s="5">
        <v>0</v>
      </c>
      <c r="C22" s="5">
        <v>0</v>
      </c>
      <c r="D22" s="5">
        <v>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4">
        <v>5.3438335809806834E-5</v>
      </c>
      <c r="AG22" s="54">
        <v>5.3548291233283803E-5</v>
      </c>
      <c r="AH22" s="54">
        <v>5.3658246656760772E-5</v>
      </c>
      <c r="AI22" s="54">
        <v>5.3768202080237741E-5</v>
      </c>
      <c r="AJ22" s="54">
        <v>5.3878157503714709E-5</v>
      </c>
      <c r="AK22" s="54">
        <v>5.3988112927191678E-5</v>
      </c>
      <c r="AL22" s="54">
        <v>5.4098068350668647E-5</v>
      </c>
      <c r="AM22" s="54">
        <v>5.4208023774145616E-5</v>
      </c>
      <c r="AN22" s="54">
        <v>5.4317979197622585E-5</v>
      </c>
      <c r="AO22" s="54">
        <v>5.4427934621099554E-5</v>
      </c>
      <c r="AP22" s="54">
        <v>5.4537890044576523E-5</v>
      </c>
      <c r="AQ22" s="54">
        <v>5.4647845468053492E-5</v>
      </c>
      <c r="AR22" s="54">
        <v>5.4757800891530461E-5</v>
      </c>
      <c r="AS22" s="54">
        <v>5.4867756315007429E-5</v>
      </c>
      <c r="AT22" s="54">
        <v>5.4977711738484398E-5</v>
      </c>
      <c r="AU22" s="28">
        <v>5.5247102526002975E-5</v>
      </c>
      <c r="AV22" s="28">
        <v>5.5324590418986889E-5</v>
      </c>
      <c r="AW22" s="28">
        <v>5.5402078311970795E-5</v>
      </c>
      <c r="AX22" s="28">
        <v>5.5479566204954709E-5</v>
      </c>
      <c r="AY22" s="28">
        <v>5.5557054097938623E-5</v>
      </c>
      <c r="AZ22" s="28">
        <v>5.5634541990922537E-5</v>
      </c>
      <c r="BA22" s="28">
        <v>5.5712029883906443E-5</v>
      </c>
      <c r="BB22" s="28">
        <v>5.5789517776890357E-5</v>
      </c>
      <c r="BC22" s="28">
        <v>5.5867005669874271E-5</v>
      </c>
      <c r="BD22" s="28">
        <v>5.5944493562858178E-5</v>
      </c>
      <c r="BE22" s="28">
        <v>5.6021981455842091E-5</v>
      </c>
      <c r="BF22" s="28">
        <v>5.6099469348826005E-5</v>
      </c>
      <c r="BG22" s="28">
        <v>5.6176957241809919E-5</v>
      </c>
      <c r="BH22" s="28">
        <v>5.6254445134793826E-5</v>
      </c>
      <c r="BI22" s="28">
        <v>5.633193302777774E-5</v>
      </c>
      <c r="BJ22" s="28">
        <v>5.6409420920761653E-5</v>
      </c>
      <c r="BK22" s="28">
        <v>5.648690881374556E-5</v>
      </c>
      <c r="BL22" s="28">
        <v>5.6564396706729474E-5</v>
      </c>
      <c r="BM22" s="28">
        <v>5.6641884599713388E-5</v>
      </c>
      <c r="BN22" s="28">
        <v>5.6719372492697294E-5</v>
      </c>
      <c r="BO22" s="28">
        <v>5.6796860385681208E-5</v>
      </c>
      <c r="BP22" s="28">
        <v>5.6874348278665122E-5</v>
      </c>
      <c r="BQ22" s="28">
        <v>5.6951836171649036E-5</v>
      </c>
      <c r="BR22" s="28">
        <v>5.7029324064632942E-5</v>
      </c>
      <c r="BS22" s="28">
        <v>5.7106811957616856E-5</v>
      </c>
      <c r="BT22" s="28">
        <v>5.7106811957616856E-5</v>
      </c>
      <c r="BU22" s="28">
        <v>5.7106811957616856E-5</v>
      </c>
      <c r="BV22" s="28">
        <v>5.7106811957616856E-5</v>
      </c>
      <c r="BW22" s="28">
        <v>5.7106811957616856E-5</v>
      </c>
      <c r="BX22" s="28">
        <v>5.7106811957616856E-5</v>
      </c>
      <c r="BY22" s="28">
        <v>5.7106811957616856E-5</v>
      </c>
      <c r="BZ22" s="28">
        <v>5.7106811957616856E-5</v>
      </c>
      <c r="CA22" s="28">
        <v>5.7106811957616856E-5</v>
      </c>
      <c r="CB22" s="28">
        <v>5.7106811957616856E-5</v>
      </c>
      <c r="CC22" s="28">
        <v>5.7106811957616856E-5</v>
      </c>
      <c r="CD22" s="28">
        <v>5.7106811957616856E-5</v>
      </c>
      <c r="CE22" s="28">
        <v>5.7106811957616856E-5</v>
      </c>
      <c r="CF22" s="28">
        <v>5.7106811957616856E-5</v>
      </c>
      <c r="CG22" s="28">
        <v>5.7106811957616856E-5</v>
      </c>
      <c r="CH22" s="28">
        <v>5.7106811957616856E-5</v>
      </c>
      <c r="CI22" s="28">
        <v>5.7106811957616856E-5</v>
      </c>
      <c r="CJ22" s="28">
        <v>5.7106811957616856E-5</v>
      </c>
      <c r="CK22" s="28">
        <v>5.7106811957616856E-5</v>
      </c>
      <c r="CL22" s="28">
        <v>5.7106811957616856E-5</v>
      </c>
      <c r="CM22" s="28">
        <v>5.7106811957616856E-5</v>
      </c>
    </row>
    <row r="23" spans="1:91" x14ac:dyDescent="0.25">
      <c r="A23" s="41" t="s">
        <v>1</v>
      </c>
      <c r="B23" s="5">
        <v>0</v>
      </c>
      <c r="C23" s="5">
        <v>0</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54">
        <v>3.8032689450222883E-5</v>
      </c>
      <c r="AG23" s="54">
        <v>3.8110946012877659E-5</v>
      </c>
      <c r="AH23" s="54">
        <v>3.8189202575532442E-5</v>
      </c>
      <c r="AI23" s="54">
        <v>3.8267459138187219E-5</v>
      </c>
      <c r="AJ23" s="54">
        <v>3.8345715700842002E-5</v>
      </c>
      <c r="AK23" s="54">
        <v>3.8423972263496778E-5</v>
      </c>
      <c r="AL23" s="54">
        <v>3.8502228826151561E-5</v>
      </c>
      <c r="AM23" s="54">
        <v>3.8580485388806337E-5</v>
      </c>
      <c r="AN23" s="54">
        <v>3.865874195146112E-5</v>
      </c>
      <c r="AO23" s="54">
        <v>3.8736998514115897E-5</v>
      </c>
      <c r="AP23" s="54">
        <v>3.881525507677068E-5</v>
      </c>
      <c r="AQ23" s="54">
        <v>3.8893511639425456E-5</v>
      </c>
      <c r="AR23" s="54">
        <v>3.8971768202080239E-5</v>
      </c>
      <c r="AS23" s="54">
        <v>3.9050024764735016E-5</v>
      </c>
      <c r="AT23" s="54">
        <v>3.9128281327389799E-5</v>
      </c>
      <c r="AU23" s="28">
        <v>3.9320009905894E-5</v>
      </c>
      <c r="AV23" s="28">
        <v>3.9396964005657025E-5</v>
      </c>
      <c r="AW23" s="28">
        <v>3.9473918105420051E-5</v>
      </c>
      <c r="AX23" s="28">
        <v>3.9550872205183077E-5</v>
      </c>
      <c r="AY23" s="28">
        <v>3.9627826304946103E-5</v>
      </c>
      <c r="AZ23" s="28">
        <v>3.9704780404709129E-5</v>
      </c>
      <c r="BA23" s="28">
        <v>3.9781734504472154E-5</v>
      </c>
      <c r="BB23" s="28">
        <v>3.985868860423518E-5</v>
      </c>
      <c r="BC23" s="28">
        <v>3.9935642703998206E-5</v>
      </c>
      <c r="BD23" s="28">
        <v>4.0012596803761232E-5</v>
      </c>
      <c r="BE23" s="28">
        <v>4.0089550903524258E-5</v>
      </c>
      <c r="BF23" s="28">
        <v>4.0166505003287283E-5</v>
      </c>
      <c r="BG23" s="28">
        <v>4.0243459103050309E-5</v>
      </c>
      <c r="BH23" s="28">
        <v>4.0320413202813335E-5</v>
      </c>
      <c r="BI23" s="28">
        <v>4.0397367302576361E-5</v>
      </c>
      <c r="BJ23" s="28">
        <v>4.0474321402339387E-5</v>
      </c>
      <c r="BK23" s="28">
        <v>4.0551275502102413E-5</v>
      </c>
      <c r="BL23" s="28">
        <v>4.0628229601865438E-5</v>
      </c>
      <c r="BM23" s="28">
        <v>4.0705183701628464E-5</v>
      </c>
      <c r="BN23" s="28">
        <v>4.078213780139149E-5</v>
      </c>
      <c r="BO23" s="28">
        <v>4.0859091901154516E-5</v>
      </c>
      <c r="BP23" s="28">
        <v>4.0936046000917542E-5</v>
      </c>
      <c r="BQ23" s="28">
        <v>4.1013000100680567E-5</v>
      </c>
      <c r="BR23" s="28">
        <v>4.1089954200443593E-5</v>
      </c>
      <c r="BS23" s="28">
        <v>4.1166908300206619E-5</v>
      </c>
      <c r="BT23" s="28">
        <v>4.1166908300206619E-5</v>
      </c>
      <c r="BU23" s="28">
        <v>4.1166908300206619E-5</v>
      </c>
      <c r="BV23" s="28">
        <v>4.1166908300206619E-5</v>
      </c>
      <c r="BW23" s="28">
        <v>4.1166908300206619E-5</v>
      </c>
      <c r="BX23" s="28">
        <v>4.1166908300206619E-5</v>
      </c>
      <c r="BY23" s="28">
        <v>4.1166908300206619E-5</v>
      </c>
      <c r="BZ23" s="28">
        <v>4.1166908300206619E-5</v>
      </c>
      <c r="CA23" s="28">
        <v>4.1166908300206619E-5</v>
      </c>
      <c r="CB23" s="28">
        <v>4.1166908300206619E-5</v>
      </c>
      <c r="CC23" s="28">
        <v>4.1166908300206619E-5</v>
      </c>
      <c r="CD23" s="28">
        <v>4.1166908300206619E-5</v>
      </c>
      <c r="CE23" s="28">
        <v>4.1166908300206619E-5</v>
      </c>
      <c r="CF23" s="28">
        <v>4.1166908300206619E-5</v>
      </c>
      <c r="CG23" s="28">
        <v>4.1166908300206619E-5</v>
      </c>
      <c r="CH23" s="28">
        <v>4.1166908300206619E-5</v>
      </c>
      <c r="CI23" s="28">
        <v>4.1166908300206619E-5</v>
      </c>
      <c r="CJ23" s="28">
        <v>4.1166908300206619E-5</v>
      </c>
      <c r="CK23" s="28">
        <v>4.1166908300206619E-5</v>
      </c>
      <c r="CL23" s="28">
        <v>4.1166908300206619E-5</v>
      </c>
      <c r="CM23" s="28">
        <v>4.1166908300206619E-5</v>
      </c>
    </row>
    <row r="24" spans="1:91" x14ac:dyDescent="0.25">
      <c r="A24" s="41" t="s">
        <v>1</v>
      </c>
      <c r="B24" s="5">
        <v>0</v>
      </c>
      <c r="C24" s="5">
        <v>0</v>
      </c>
      <c r="D24" s="5">
        <v>0</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0</v>
      </c>
      <c r="AF24" s="54">
        <v>3.3218424962852898E-5</v>
      </c>
      <c r="AG24" s="54">
        <v>3.3286775631500744E-5</v>
      </c>
      <c r="AH24" s="54">
        <v>3.3355126300148591E-5</v>
      </c>
      <c r="AI24" s="54">
        <v>3.3423476968796431E-5</v>
      </c>
      <c r="AJ24" s="54">
        <v>3.3491827637444278E-5</v>
      </c>
      <c r="AK24" s="54">
        <v>3.3560178306092124E-5</v>
      </c>
      <c r="AL24" s="54">
        <v>3.3628528974739971E-5</v>
      </c>
      <c r="AM24" s="54">
        <v>3.3696879643387817E-5</v>
      </c>
      <c r="AN24" s="54">
        <v>3.3765230312035657E-5</v>
      </c>
      <c r="AO24" s="54">
        <v>3.3833580980683504E-5</v>
      </c>
      <c r="AP24" s="54">
        <v>3.3901931649331351E-5</v>
      </c>
      <c r="AQ24" s="54">
        <v>3.3970282317979197E-5</v>
      </c>
      <c r="AR24" s="54">
        <v>3.4038632986627044E-5</v>
      </c>
      <c r="AS24" s="54">
        <v>3.4106983655274884E-5</v>
      </c>
      <c r="AT24" s="54">
        <v>3.417533432392273E-5</v>
      </c>
      <c r="AU24" s="28">
        <v>3.4342793462109958E-5</v>
      </c>
      <c r="AV24" s="28">
        <v>3.4522919559545845E-5</v>
      </c>
      <c r="AW24" s="28">
        <v>3.4703045656981732E-5</v>
      </c>
      <c r="AX24" s="28">
        <v>3.4883171754417618E-5</v>
      </c>
      <c r="AY24" s="28">
        <v>3.5063297851853505E-5</v>
      </c>
      <c r="AZ24" s="28">
        <v>3.5243423949289392E-5</v>
      </c>
      <c r="BA24" s="28">
        <v>3.5423550046725279E-5</v>
      </c>
      <c r="BB24" s="28">
        <v>3.5603676144161152E-5</v>
      </c>
      <c r="BC24" s="28">
        <v>3.5783802241597039E-5</v>
      </c>
      <c r="BD24" s="28">
        <v>3.5963928339032926E-5</v>
      </c>
      <c r="BE24" s="28">
        <v>3.6144054436468813E-5</v>
      </c>
      <c r="BF24" s="28">
        <v>3.63241805339047E-5</v>
      </c>
      <c r="BG24" s="28">
        <v>3.6504306631340587E-5</v>
      </c>
      <c r="BH24" s="28">
        <v>3.6684432728776473E-5</v>
      </c>
      <c r="BI24" s="28">
        <v>3.686455882621236E-5</v>
      </c>
      <c r="BJ24" s="28">
        <v>3.7044684923648247E-5</v>
      </c>
      <c r="BK24" s="28">
        <v>3.7224811021084134E-5</v>
      </c>
      <c r="BL24" s="28">
        <v>3.7404937118520021E-5</v>
      </c>
      <c r="BM24" s="28">
        <v>3.7585063215955894E-5</v>
      </c>
      <c r="BN24" s="28">
        <v>3.7765189313391781E-5</v>
      </c>
      <c r="BO24" s="28">
        <v>3.7945315410827668E-5</v>
      </c>
      <c r="BP24" s="28">
        <v>3.8125441508263555E-5</v>
      </c>
      <c r="BQ24" s="28">
        <v>3.8305567605699441E-5</v>
      </c>
      <c r="BR24" s="28">
        <v>3.8485693703135328E-5</v>
      </c>
      <c r="BS24" s="28">
        <v>3.8665819800571215E-5</v>
      </c>
      <c r="BT24" s="28">
        <v>3.8665819800571215E-5</v>
      </c>
      <c r="BU24" s="28">
        <v>3.8665819800571215E-5</v>
      </c>
      <c r="BV24" s="28">
        <v>3.8665819800571215E-5</v>
      </c>
      <c r="BW24" s="28">
        <v>3.8665819800571215E-5</v>
      </c>
      <c r="BX24" s="28">
        <v>3.8665819800571215E-5</v>
      </c>
      <c r="BY24" s="28">
        <v>3.8665819800571215E-5</v>
      </c>
      <c r="BZ24" s="28">
        <v>3.8665819800571215E-5</v>
      </c>
      <c r="CA24" s="28">
        <v>3.8665819800571215E-5</v>
      </c>
      <c r="CB24" s="28">
        <v>3.8665819800571215E-5</v>
      </c>
      <c r="CC24" s="28">
        <v>3.8665819800571215E-5</v>
      </c>
      <c r="CD24" s="28">
        <v>3.8665819800571215E-5</v>
      </c>
      <c r="CE24" s="28">
        <v>3.8665819800571215E-5</v>
      </c>
      <c r="CF24" s="28">
        <v>3.8665819800571215E-5</v>
      </c>
      <c r="CG24" s="28">
        <v>3.8665819800571215E-5</v>
      </c>
      <c r="CH24" s="28">
        <v>3.8665819800571215E-5</v>
      </c>
      <c r="CI24" s="28">
        <v>3.8665819800571215E-5</v>
      </c>
      <c r="CJ24" s="28">
        <v>3.8665819800571215E-5</v>
      </c>
      <c r="CK24" s="28">
        <v>3.8665819800571215E-5</v>
      </c>
      <c r="CL24" s="28">
        <v>3.8665819800571215E-5</v>
      </c>
      <c r="CM24" s="28">
        <v>3.8665819800571215E-5</v>
      </c>
    </row>
    <row r="25" spans="1:91" x14ac:dyDescent="0.25">
      <c r="A25" s="41" t="s">
        <v>1</v>
      </c>
      <c r="B25" s="5">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4">
        <v>1.5999999999999999E-5</v>
      </c>
      <c r="AG25" s="54">
        <v>1.6200000000000001E-5</v>
      </c>
      <c r="AH25" s="54">
        <v>1.6399999999999999E-5</v>
      </c>
      <c r="AI25" s="54">
        <v>1.66E-5</v>
      </c>
      <c r="AJ25" s="54">
        <v>1.6799999999999998E-5</v>
      </c>
      <c r="AK25" s="54">
        <v>1.7E-5</v>
      </c>
      <c r="AL25" s="54">
        <v>1.7200000000000001E-5</v>
      </c>
      <c r="AM25" s="54">
        <v>1.7399999999999999E-5</v>
      </c>
      <c r="AN25" s="54">
        <v>1.7600000000000001E-5</v>
      </c>
      <c r="AO25" s="54">
        <v>1.7799999999999999E-5</v>
      </c>
      <c r="AP25" s="54">
        <v>1.8E-5</v>
      </c>
      <c r="AQ25" s="54">
        <v>1.8200000000000002E-5</v>
      </c>
      <c r="AR25" s="54">
        <v>1.84E-5</v>
      </c>
      <c r="AS25" s="54">
        <v>1.8600000000000001E-5</v>
      </c>
      <c r="AT25" s="54">
        <v>1.88E-5</v>
      </c>
      <c r="AU25" s="28">
        <v>1.9290000000000003E-5</v>
      </c>
      <c r="AV25" s="28">
        <v>1.9392083333333337E-5</v>
      </c>
      <c r="AW25" s="28">
        <v>1.949416666666667E-5</v>
      </c>
      <c r="AX25" s="28">
        <v>1.9596250000000004E-5</v>
      </c>
      <c r="AY25" s="28">
        <v>1.9698333333333338E-5</v>
      </c>
      <c r="AZ25" s="28">
        <v>1.9800416666666671E-5</v>
      </c>
      <c r="BA25" s="28">
        <v>1.9902500000000005E-5</v>
      </c>
      <c r="BB25" s="28">
        <v>2.0004583333333338E-5</v>
      </c>
      <c r="BC25" s="28">
        <v>2.0106666666666672E-5</v>
      </c>
      <c r="BD25" s="28">
        <v>2.0208750000000005E-5</v>
      </c>
      <c r="BE25" s="28">
        <v>2.0310833333333339E-5</v>
      </c>
      <c r="BF25" s="28">
        <v>2.0412916666666672E-5</v>
      </c>
      <c r="BG25" s="28">
        <v>2.0515000000000006E-5</v>
      </c>
      <c r="BH25" s="28">
        <v>2.0617083333333346E-5</v>
      </c>
      <c r="BI25" s="28">
        <v>2.071916666666668E-5</v>
      </c>
      <c r="BJ25" s="28">
        <v>2.0821250000000013E-5</v>
      </c>
      <c r="BK25" s="28">
        <v>2.0923333333333347E-5</v>
      </c>
      <c r="BL25" s="28">
        <v>2.1025416666666681E-5</v>
      </c>
      <c r="BM25" s="28">
        <v>2.1127500000000014E-5</v>
      </c>
      <c r="BN25" s="28">
        <v>2.1229583333333348E-5</v>
      </c>
      <c r="BO25" s="28">
        <v>2.1331666666666681E-5</v>
      </c>
      <c r="BP25" s="28">
        <v>2.1433750000000015E-5</v>
      </c>
      <c r="BQ25" s="28">
        <v>2.1535833333333348E-5</v>
      </c>
      <c r="BR25" s="28">
        <v>2.1637916666666682E-5</v>
      </c>
      <c r="BS25" s="28">
        <v>2.1740000000000015E-5</v>
      </c>
      <c r="BT25" s="28">
        <v>2.186250000000002E-5</v>
      </c>
      <c r="BU25" s="28">
        <v>2.1985000000000014E-5</v>
      </c>
      <c r="BV25" s="28">
        <v>2.2107500000000018E-5</v>
      </c>
      <c r="BW25" s="28">
        <v>2.2230000000000012E-5</v>
      </c>
      <c r="BX25" s="28">
        <v>2.2352500000000017E-5</v>
      </c>
      <c r="BY25" s="28">
        <v>2.2475000000000021E-5</v>
      </c>
      <c r="BZ25" s="28">
        <v>2.2597500000000015E-5</v>
      </c>
      <c r="CA25" s="28">
        <v>2.272000000000002E-5</v>
      </c>
      <c r="CB25" s="28">
        <v>2.2842500000000014E-5</v>
      </c>
      <c r="CC25" s="28">
        <v>2.2965000000000018E-5</v>
      </c>
      <c r="CD25" s="28">
        <v>2.3087500000000022E-5</v>
      </c>
      <c r="CE25" s="28">
        <v>2.3210000000000017E-5</v>
      </c>
      <c r="CF25" s="28">
        <v>2.3332500000000021E-5</v>
      </c>
      <c r="CG25" s="28">
        <v>2.3455000000000015E-5</v>
      </c>
      <c r="CH25" s="28">
        <v>2.3577500000000019E-5</v>
      </c>
      <c r="CI25" s="28">
        <v>2.3700000000000024E-5</v>
      </c>
      <c r="CJ25" s="28">
        <v>2.3822500000000018E-5</v>
      </c>
      <c r="CK25" s="28">
        <v>2.3945000000000022E-5</v>
      </c>
      <c r="CL25" s="28">
        <v>2.4067500000000016E-5</v>
      </c>
      <c r="CM25" s="28">
        <v>2.4190000000000021E-5</v>
      </c>
    </row>
    <row r="26" spans="1:91" x14ac:dyDescent="0.25">
      <c r="A26" s="41" t="s">
        <v>1</v>
      </c>
      <c r="B26" s="5">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0</v>
      </c>
      <c r="AF26" s="54">
        <v>3.6000000000000001E-5</v>
      </c>
      <c r="AG26" s="54">
        <v>3.5866666666666667E-5</v>
      </c>
      <c r="AH26" s="54">
        <v>3.5733333333333332E-5</v>
      </c>
      <c r="AI26" s="54">
        <v>3.5599999999999998E-5</v>
      </c>
      <c r="AJ26" s="54">
        <v>3.546666666666667E-5</v>
      </c>
      <c r="AK26" s="54">
        <v>3.5333333333333336E-5</v>
      </c>
      <c r="AL26" s="54">
        <v>3.5200000000000002E-5</v>
      </c>
      <c r="AM26" s="54">
        <v>3.5066666666666667E-5</v>
      </c>
      <c r="AN26" s="54">
        <v>3.4933333333333333E-5</v>
      </c>
      <c r="AO26" s="54">
        <v>3.4799999999999999E-5</v>
      </c>
      <c r="AP26" s="54">
        <v>3.4666666666666665E-5</v>
      </c>
      <c r="AQ26" s="54">
        <v>3.453333333333333E-5</v>
      </c>
      <c r="AR26" s="54">
        <v>3.4400000000000003E-5</v>
      </c>
      <c r="AS26" s="54">
        <v>3.4266666666666668E-5</v>
      </c>
      <c r="AT26" s="54">
        <v>3.4133333333333334E-5</v>
      </c>
      <c r="AU26" s="28">
        <v>3.4193333333333337E-5</v>
      </c>
      <c r="AV26" s="28">
        <v>3.4212083333333334E-5</v>
      </c>
      <c r="AW26" s="28">
        <v>3.4230833333333338E-5</v>
      </c>
      <c r="AX26" s="28">
        <v>3.4249583333333342E-5</v>
      </c>
      <c r="AY26" s="28">
        <v>3.4268333333333339E-5</v>
      </c>
      <c r="AZ26" s="28">
        <v>3.4287083333333336E-5</v>
      </c>
      <c r="BA26" s="28">
        <v>3.430583333333334E-5</v>
      </c>
      <c r="BB26" s="28">
        <v>3.4324583333333343E-5</v>
      </c>
      <c r="BC26" s="28">
        <v>3.4343333333333341E-5</v>
      </c>
      <c r="BD26" s="28">
        <v>3.4362083333333338E-5</v>
      </c>
      <c r="BE26" s="28">
        <v>3.4380833333333341E-5</v>
      </c>
      <c r="BF26" s="28">
        <v>3.4399583333333345E-5</v>
      </c>
      <c r="BG26" s="28">
        <v>3.4418333333333342E-5</v>
      </c>
      <c r="BH26" s="28">
        <v>3.4437083333333339E-5</v>
      </c>
      <c r="BI26" s="28">
        <v>3.4455833333333343E-5</v>
      </c>
      <c r="BJ26" s="28">
        <v>3.4474583333333347E-5</v>
      </c>
      <c r="BK26" s="28">
        <v>3.4493333333333344E-5</v>
      </c>
      <c r="BL26" s="28">
        <v>3.4512083333333341E-5</v>
      </c>
      <c r="BM26" s="28">
        <v>3.4530833333333345E-5</v>
      </c>
      <c r="BN26" s="28">
        <v>3.4549583333333349E-5</v>
      </c>
      <c r="BO26" s="28">
        <v>3.4568333333333346E-5</v>
      </c>
      <c r="BP26" s="28">
        <v>3.4587083333333343E-5</v>
      </c>
      <c r="BQ26" s="28">
        <v>3.4605833333333347E-5</v>
      </c>
      <c r="BR26" s="28">
        <v>3.4624583333333351E-5</v>
      </c>
      <c r="BS26" s="28">
        <v>3.4643333333333348E-5</v>
      </c>
      <c r="BT26" s="28">
        <v>3.4643333333333348E-5</v>
      </c>
      <c r="BU26" s="28">
        <v>3.4643333333333348E-5</v>
      </c>
      <c r="BV26" s="28">
        <v>3.4643333333333348E-5</v>
      </c>
      <c r="BW26" s="28">
        <v>3.4643333333333348E-5</v>
      </c>
      <c r="BX26" s="28">
        <v>3.4643333333333348E-5</v>
      </c>
      <c r="BY26" s="28">
        <v>3.4643333333333348E-5</v>
      </c>
      <c r="BZ26" s="28">
        <v>3.4643333333333348E-5</v>
      </c>
      <c r="CA26" s="28">
        <v>3.4643333333333348E-5</v>
      </c>
      <c r="CB26" s="28">
        <v>3.4643333333333348E-5</v>
      </c>
      <c r="CC26" s="28">
        <v>3.4643333333333348E-5</v>
      </c>
      <c r="CD26" s="28">
        <v>3.4643333333333348E-5</v>
      </c>
      <c r="CE26" s="28">
        <v>3.4643333333333348E-5</v>
      </c>
      <c r="CF26" s="28">
        <v>3.4643333333333348E-5</v>
      </c>
      <c r="CG26" s="28">
        <v>3.4643333333333348E-5</v>
      </c>
      <c r="CH26" s="28">
        <v>3.4643333333333348E-5</v>
      </c>
      <c r="CI26" s="28">
        <v>3.4643333333333348E-5</v>
      </c>
      <c r="CJ26" s="28">
        <v>3.4643333333333348E-5</v>
      </c>
      <c r="CK26" s="28">
        <v>3.4643333333333348E-5</v>
      </c>
      <c r="CL26" s="28">
        <v>3.4643333333333348E-5</v>
      </c>
      <c r="CM26" s="28">
        <v>3.4643333333333348E-5</v>
      </c>
    </row>
    <row r="27" spans="1:91" x14ac:dyDescent="0.25">
      <c r="A27" s="41"/>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row>
    <row r="28" spans="1:91" x14ac:dyDescent="0.25">
      <c r="A28" s="41" t="s">
        <v>7</v>
      </c>
      <c r="B28" s="5">
        <v>0</v>
      </c>
      <c r="C28" s="5">
        <v>0</v>
      </c>
      <c r="D28" s="5">
        <v>0</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0</v>
      </c>
      <c r="AE28" s="5">
        <v>0</v>
      </c>
      <c r="AF28" s="54">
        <v>8.0900000000000001E-5</v>
      </c>
      <c r="AG28" s="54">
        <v>8.0833333333333338E-5</v>
      </c>
      <c r="AH28" s="54">
        <v>8.0766666666666674E-5</v>
      </c>
      <c r="AI28" s="54">
        <v>8.0699999999999996E-5</v>
      </c>
      <c r="AJ28" s="54">
        <v>8.0633333333333333E-5</v>
      </c>
      <c r="AK28" s="54">
        <v>8.0566666666666669E-5</v>
      </c>
      <c r="AL28" s="54">
        <v>8.0500000000000005E-5</v>
      </c>
      <c r="AM28" s="54">
        <v>8.0433333333333341E-5</v>
      </c>
      <c r="AN28" s="54">
        <v>8.0366666666666664E-5</v>
      </c>
      <c r="AO28" s="54">
        <v>8.03E-5</v>
      </c>
      <c r="AP28" s="54">
        <v>8.0233333333333337E-5</v>
      </c>
      <c r="AQ28" s="54">
        <v>8.0166666666666673E-5</v>
      </c>
      <c r="AR28" s="54">
        <v>8.0100000000000009E-5</v>
      </c>
      <c r="AS28" s="54">
        <v>8.0033333333333332E-5</v>
      </c>
      <c r="AT28" s="54">
        <v>7.9966666666666668E-5</v>
      </c>
      <c r="AU28" s="28">
        <v>7.9996666666666666E-5</v>
      </c>
      <c r="AV28" s="28">
        <v>8.0045757575757575E-5</v>
      </c>
      <c r="AW28" s="28">
        <v>8.0094848484848485E-5</v>
      </c>
      <c r="AX28" s="28">
        <v>8.0143939393939395E-5</v>
      </c>
      <c r="AY28" s="28">
        <v>8.0193030303030304E-5</v>
      </c>
      <c r="AZ28" s="28">
        <v>8.0242121212121214E-5</v>
      </c>
      <c r="BA28" s="28">
        <v>8.0291212121212123E-5</v>
      </c>
      <c r="BB28" s="28">
        <v>8.0340303030303033E-5</v>
      </c>
      <c r="BC28" s="28">
        <v>8.0389393939393942E-5</v>
      </c>
      <c r="BD28" s="28">
        <v>8.0438484848484852E-5</v>
      </c>
      <c r="BE28" s="28">
        <v>8.0487575757575761E-5</v>
      </c>
      <c r="BF28" s="28">
        <v>8.0536666666666671E-5</v>
      </c>
      <c r="BG28" s="28">
        <v>8.058575757575758E-5</v>
      </c>
      <c r="BH28" s="28">
        <v>8.063484848484849E-5</v>
      </c>
      <c r="BI28" s="28">
        <v>8.06839393939394E-5</v>
      </c>
      <c r="BJ28" s="28">
        <v>8.0733030303030309E-5</v>
      </c>
      <c r="BK28" s="28">
        <v>8.0782121212121219E-5</v>
      </c>
      <c r="BL28" s="28">
        <v>8.0831212121212128E-5</v>
      </c>
      <c r="BM28" s="28">
        <v>8.0880303030303038E-5</v>
      </c>
      <c r="BN28" s="28">
        <v>8.0929393939393947E-5</v>
      </c>
      <c r="BO28" s="28">
        <v>8.0978484848484857E-5</v>
      </c>
      <c r="BP28" s="28">
        <v>8.1027575757575766E-5</v>
      </c>
      <c r="BQ28" s="28">
        <v>8.1076666666666676E-5</v>
      </c>
      <c r="BR28" s="28">
        <v>8.1125757575757585E-5</v>
      </c>
      <c r="BS28" s="28">
        <v>8.1751666666666679E-5</v>
      </c>
      <c r="BT28" s="28">
        <v>8.1771916666666686E-5</v>
      </c>
      <c r="BU28" s="28">
        <v>8.1792166666666693E-5</v>
      </c>
      <c r="BV28" s="28">
        <v>8.1812416666666687E-5</v>
      </c>
      <c r="BW28" s="28">
        <v>8.1832666666666694E-5</v>
      </c>
      <c r="BX28" s="28">
        <v>8.1852916666666701E-5</v>
      </c>
      <c r="BY28" s="28">
        <v>8.1873166666666694E-5</v>
      </c>
      <c r="BZ28" s="28">
        <v>8.1893416666666702E-5</v>
      </c>
      <c r="CA28" s="28">
        <v>8.1913666666666709E-5</v>
      </c>
      <c r="CB28" s="28">
        <v>8.1933916666666716E-5</v>
      </c>
      <c r="CC28" s="28">
        <v>8.1954166666666723E-5</v>
      </c>
      <c r="CD28" s="28">
        <v>8.1974416666666717E-5</v>
      </c>
      <c r="CE28" s="28">
        <v>8.1994666666666724E-5</v>
      </c>
      <c r="CF28" s="28">
        <v>8.2014916666666731E-5</v>
      </c>
      <c r="CG28" s="28">
        <v>8.2035166666666724E-5</v>
      </c>
      <c r="CH28" s="28">
        <v>8.2055416666666732E-5</v>
      </c>
      <c r="CI28" s="28">
        <v>8.2075666666666739E-5</v>
      </c>
      <c r="CJ28" s="28">
        <v>8.2095916666666746E-5</v>
      </c>
      <c r="CK28" s="28">
        <v>8.2116166666666753E-5</v>
      </c>
      <c r="CL28" s="28">
        <v>8.2136416666666747E-5</v>
      </c>
      <c r="CM28" s="28">
        <v>8.2156666666666754E-5</v>
      </c>
    </row>
    <row r="30" spans="1:91" x14ac:dyDescent="0.25">
      <c r="A30" s="17" t="s">
        <v>13</v>
      </c>
      <c r="B30" s="5">
        <v>0</v>
      </c>
      <c r="C30" s="5">
        <v>0</v>
      </c>
      <c r="D30" s="5">
        <v>0</v>
      </c>
      <c r="E30" s="5">
        <v>0</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0</v>
      </c>
      <c r="AE30" s="5">
        <v>0</v>
      </c>
      <c r="AF30" s="44">
        <v>2.8586557155908612E-3</v>
      </c>
      <c r="AG30" s="44">
        <v>2.909963886131464E-3</v>
      </c>
      <c r="AH30" s="44">
        <v>2.9612720566720677E-3</v>
      </c>
      <c r="AI30" s="44">
        <v>3.0125802272126705E-3</v>
      </c>
      <c r="AJ30" s="44">
        <v>3.0638883977532742E-3</v>
      </c>
      <c r="AK30" s="44">
        <v>3.1151965682938766E-3</v>
      </c>
      <c r="AL30" s="44">
        <v>3.1665047388344802E-3</v>
      </c>
      <c r="AM30" s="44">
        <v>3.2178129093750835E-3</v>
      </c>
      <c r="AN30" s="44">
        <v>3.2691210799156863E-3</v>
      </c>
      <c r="AO30" s="44">
        <v>3.3204292504562887E-3</v>
      </c>
      <c r="AP30" s="44">
        <v>3.3717374209968911E-3</v>
      </c>
      <c r="AQ30" s="44">
        <v>3.4230455915374956E-3</v>
      </c>
      <c r="AR30" s="44">
        <v>3.474353762078098E-3</v>
      </c>
      <c r="AS30" s="44">
        <v>3.5256619326187004E-3</v>
      </c>
      <c r="AT30" s="44">
        <v>3.5769701031593041E-3</v>
      </c>
      <c r="AU30" s="44">
        <v>3.6282782736999073E-3</v>
      </c>
      <c r="AV30" s="44">
        <v>3.6601435786098075E-3</v>
      </c>
      <c r="AW30" s="44">
        <v>3.6920088835197063E-3</v>
      </c>
      <c r="AX30" s="44">
        <v>3.7238741884296055E-3</v>
      </c>
      <c r="AY30" s="44">
        <v>3.7557394933395052E-3</v>
      </c>
      <c r="AZ30" s="44">
        <v>3.7876047982494045E-3</v>
      </c>
      <c r="BA30" s="44">
        <v>3.8194701031593042E-3</v>
      </c>
      <c r="BB30" s="44">
        <v>3.8513354080692043E-3</v>
      </c>
      <c r="BC30" s="44">
        <v>3.8832007129791031E-3</v>
      </c>
      <c r="BD30" s="44">
        <v>3.9150660178890037E-3</v>
      </c>
      <c r="BE30" s="44">
        <v>3.9469313227989029E-3</v>
      </c>
      <c r="BF30" s="44">
        <v>3.9787966277088022E-3</v>
      </c>
      <c r="BG30" s="44">
        <v>4.0106619326187015E-3</v>
      </c>
      <c r="BH30" s="44">
        <v>4.0425272375286016E-3</v>
      </c>
      <c r="BI30" s="44">
        <v>4.0743925424385008E-3</v>
      </c>
      <c r="BJ30" s="44">
        <v>4.1062578473483992E-3</v>
      </c>
      <c r="BK30" s="44">
        <v>4.1381231522582993E-3</v>
      </c>
      <c r="BL30" s="44">
        <v>4.1699884571681986E-3</v>
      </c>
      <c r="BM30" s="44">
        <v>4.2018537620780979E-3</v>
      </c>
      <c r="BN30" s="44">
        <v>4.233719066987998E-3</v>
      </c>
      <c r="BO30" s="44">
        <v>4.2655843718978972E-3</v>
      </c>
      <c r="BP30" s="44">
        <v>4.2974496768077956E-3</v>
      </c>
      <c r="BQ30" s="44">
        <v>4.3293149817176958E-3</v>
      </c>
      <c r="BR30" s="44">
        <v>4.3611802866275959E-3</v>
      </c>
      <c r="BS30" s="44">
        <v>4.3930455915374969E-3</v>
      </c>
      <c r="BT30" s="44">
        <v>4.4249108964473944E-3</v>
      </c>
      <c r="BU30" s="44">
        <v>4.4567762013572945E-3</v>
      </c>
      <c r="BV30" s="44">
        <v>4.4886415062671938E-3</v>
      </c>
      <c r="BW30" s="44">
        <v>4.520506811177093E-3</v>
      </c>
      <c r="BX30" s="44">
        <v>4.5523721160869923E-3</v>
      </c>
      <c r="BY30" s="44">
        <v>4.5842374209968924E-3</v>
      </c>
      <c r="BZ30" s="44">
        <v>4.6161027259067908E-3</v>
      </c>
      <c r="CA30" s="44">
        <v>4.6479680308166918E-3</v>
      </c>
      <c r="CB30" s="44">
        <v>4.6798333357265902E-3</v>
      </c>
      <c r="CC30" s="44">
        <v>4.7116986406364903E-3</v>
      </c>
      <c r="CD30" s="44">
        <v>4.7435639455463896E-3</v>
      </c>
      <c r="CE30" s="44">
        <v>4.7754292504562897E-3</v>
      </c>
      <c r="CF30" s="44">
        <v>4.8072945553661881E-3</v>
      </c>
      <c r="CG30" s="44">
        <v>4.8391598602760891E-3</v>
      </c>
      <c r="CH30" s="44">
        <v>4.8710251651859866E-3</v>
      </c>
      <c r="CI30" s="44">
        <v>4.9028904700958876E-3</v>
      </c>
      <c r="CJ30" s="44">
        <v>4.9347557750057851E-3</v>
      </c>
      <c r="CK30" s="44">
        <v>4.9666210799156861E-3</v>
      </c>
      <c r="CL30" s="44">
        <v>4.9984863848255862E-3</v>
      </c>
      <c r="CM30" s="44">
        <v>5.0303516897354846E-3</v>
      </c>
    </row>
    <row r="31" spans="1:91" x14ac:dyDescent="0.25">
      <c r="A31" s="17" t="s">
        <v>1</v>
      </c>
      <c r="B31" s="5">
        <v>0</v>
      </c>
      <c r="C31" s="5">
        <v>0</v>
      </c>
      <c r="D31" s="5">
        <v>0</v>
      </c>
      <c r="E31" s="5">
        <v>0</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44">
        <v>2.21991625074704E-3</v>
      </c>
      <c r="AG31" s="44">
        <v>2.2566263371078163E-3</v>
      </c>
      <c r="AH31" s="44">
        <v>2.2933364234685931E-3</v>
      </c>
      <c r="AI31" s="44">
        <v>2.3300465098293689E-3</v>
      </c>
      <c r="AJ31" s="44">
        <v>2.3667565961901457E-3</v>
      </c>
      <c r="AK31" s="44">
        <v>2.403466682550922E-3</v>
      </c>
      <c r="AL31" s="44">
        <v>2.4401767689116983E-3</v>
      </c>
      <c r="AM31" s="44">
        <v>2.4768868552724754E-3</v>
      </c>
      <c r="AN31" s="44">
        <v>2.5135969416332517E-3</v>
      </c>
      <c r="AO31" s="44">
        <v>2.5503070279940276E-3</v>
      </c>
      <c r="AP31" s="44">
        <v>2.5870171143548043E-3</v>
      </c>
      <c r="AQ31" s="44">
        <v>2.6237272007155811E-3</v>
      </c>
      <c r="AR31" s="44">
        <v>2.6604372870763569E-3</v>
      </c>
      <c r="AS31" s="44">
        <v>2.6971473734371336E-3</v>
      </c>
      <c r="AT31" s="44">
        <v>2.7338574597979095E-3</v>
      </c>
      <c r="AU31" s="44">
        <v>2.7705675461586858E-3</v>
      </c>
      <c r="AV31" s="44">
        <v>2.7941732069956472E-3</v>
      </c>
      <c r="AW31" s="44">
        <v>2.8177788678326082E-3</v>
      </c>
      <c r="AX31" s="44">
        <v>2.8413845286695688E-3</v>
      </c>
      <c r="AY31" s="44">
        <v>2.8649901895065294E-3</v>
      </c>
      <c r="AZ31" s="44">
        <v>2.8885958503434904E-3</v>
      </c>
      <c r="BA31" s="44">
        <v>2.9122015111804514E-3</v>
      </c>
      <c r="BB31" s="44">
        <v>2.9358071720174115E-3</v>
      </c>
      <c r="BC31" s="44">
        <v>2.9594128328543738E-3</v>
      </c>
      <c r="BD31" s="44">
        <v>2.9830184936913344E-3</v>
      </c>
      <c r="BE31" s="44">
        <v>3.0066241545282949E-3</v>
      </c>
      <c r="BF31" s="44">
        <v>3.030229815365256E-3</v>
      </c>
      <c r="BG31" s="44">
        <v>3.0538354762022174E-3</v>
      </c>
      <c r="BH31" s="44">
        <v>3.0774411370391771E-3</v>
      </c>
      <c r="BI31" s="44">
        <v>3.1010467978761381E-3</v>
      </c>
      <c r="BJ31" s="44">
        <v>3.1246524587130987E-3</v>
      </c>
      <c r="BK31" s="44">
        <v>3.1482581195500597E-3</v>
      </c>
      <c r="BL31" s="44">
        <v>3.1718637803870211E-3</v>
      </c>
      <c r="BM31" s="44">
        <v>3.1954694412239821E-3</v>
      </c>
      <c r="BN31" s="44">
        <v>3.2190751020609435E-3</v>
      </c>
      <c r="BO31" s="44">
        <v>3.2426807628979037E-3</v>
      </c>
      <c r="BP31" s="44">
        <v>3.2662864237348651E-3</v>
      </c>
      <c r="BQ31" s="44">
        <v>3.2898920845718252E-3</v>
      </c>
      <c r="BR31" s="44">
        <v>3.3134977454087858E-3</v>
      </c>
      <c r="BS31" s="44">
        <v>3.3371034062457468E-3</v>
      </c>
      <c r="BT31" s="44">
        <v>3.3607090670827078E-3</v>
      </c>
      <c r="BU31" s="44">
        <v>3.3843147279196684E-3</v>
      </c>
      <c r="BV31" s="44">
        <v>3.4079203887566302E-3</v>
      </c>
      <c r="BW31" s="44">
        <v>3.4315260495935899E-3</v>
      </c>
      <c r="BX31" s="44">
        <v>3.4551317104305514E-3</v>
      </c>
      <c r="BY31" s="44">
        <v>3.4787373712675128E-3</v>
      </c>
      <c r="BZ31" s="44">
        <v>3.5023430321044729E-3</v>
      </c>
      <c r="CA31" s="44">
        <v>3.5259486929414339E-3</v>
      </c>
      <c r="CB31" s="44">
        <v>3.5495543537783945E-3</v>
      </c>
      <c r="CC31" s="44">
        <v>3.5731600146153551E-3</v>
      </c>
      <c r="CD31" s="44">
        <v>3.5967656754523165E-3</v>
      </c>
      <c r="CE31" s="44">
        <v>3.6203713362892771E-3</v>
      </c>
      <c r="CF31" s="44">
        <v>3.6439769971262381E-3</v>
      </c>
      <c r="CG31" s="44">
        <v>3.6675826579631995E-3</v>
      </c>
      <c r="CH31" s="44">
        <v>3.6911883188001609E-3</v>
      </c>
      <c r="CI31" s="44">
        <v>3.7147939796371206E-3</v>
      </c>
      <c r="CJ31" s="44">
        <v>3.7383996404740821E-3</v>
      </c>
      <c r="CK31" s="44">
        <v>3.7620053013110422E-3</v>
      </c>
      <c r="CL31" s="44">
        <v>3.7856109621480032E-3</v>
      </c>
      <c r="CM31" s="44">
        <v>3.8092166229849646E-3</v>
      </c>
    </row>
    <row r="32" spans="1:91" x14ac:dyDescent="0.25">
      <c r="A32" s="17" t="s">
        <v>1</v>
      </c>
      <c r="B32" s="5">
        <v>0</v>
      </c>
      <c r="C32" s="5">
        <v>0</v>
      </c>
      <c r="D32" s="5">
        <v>0</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0</v>
      </c>
      <c r="AF32" s="44">
        <v>3.2695631189309741E-3</v>
      </c>
      <c r="AG32" s="44">
        <v>3.3190680876783053E-3</v>
      </c>
      <c r="AH32" s="44">
        <v>3.3685730564256351E-3</v>
      </c>
      <c r="AI32" s="44">
        <v>3.4180780251729654E-3</v>
      </c>
      <c r="AJ32" s="44">
        <v>3.4675829939202975E-3</v>
      </c>
      <c r="AK32" s="44">
        <v>3.5170879626676278E-3</v>
      </c>
      <c r="AL32" s="44">
        <v>3.566592931414959E-3</v>
      </c>
      <c r="AM32" s="44">
        <v>3.6160979001622893E-3</v>
      </c>
      <c r="AN32" s="44">
        <v>3.66560286890962E-3</v>
      </c>
      <c r="AO32" s="44">
        <v>3.7151078376569512E-3</v>
      </c>
      <c r="AP32" s="44">
        <v>3.764612806404282E-3</v>
      </c>
      <c r="AQ32" s="44">
        <v>3.8141177751516123E-3</v>
      </c>
      <c r="AR32" s="44">
        <v>3.8636227438989435E-3</v>
      </c>
      <c r="AS32" s="44">
        <v>3.9131277126462733E-3</v>
      </c>
      <c r="AT32" s="44">
        <v>3.9626326813936045E-3</v>
      </c>
      <c r="AU32" s="44">
        <v>4.0121376501409357E-3</v>
      </c>
      <c r="AV32" s="44">
        <v>4.0409850921853223E-3</v>
      </c>
      <c r="AW32" s="44">
        <v>4.0698325342297097E-3</v>
      </c>
      <c r="AX32" s="44">
        <v>4.0986799762740963E-3</v>
      </c>
      <c r="AY32" s="44">
        <v>4.127527418318482E-3</v>
      </c>
      <c r="AZ32" s="44">
        <v>4.1563748603628704E-3</v>
      </c>
      <c r="BA32" s="44">
        <v>4.1852223024072561E-3</v>
      </c>
      <c r="BB32" s="44">
        <v>4.2140697444516435E-3</v>
      </c>
      <c r="BC32" s="44">
        <v>4.2429171864960301E-3</v>
      </c>
      <c r="BD32" s="44">
        <v>4.2717646285404158E-3</v>
      </c>
      <c r="BE32" s="44">
        <v>4.3006120705848042E-3</v>
      </c>
      <c r="BF32" s="44">
        <v>4.3294595126291899E-3</v>
      </c>
      <c r="BG32" s="44">
        <v>4.3583069546735782E-3</v>
      </c>
      <c r="BH32" s="44">
        <v>4.3871543967179639E-3</v>
      </c>
      <c r="BI32" s="44">
        <v>4.4160018387623514E-3</v>
      </c>
      <c r="BJ32" s="44">
        <v>4.444849280806738E-3</v>
      </c>
      <c r="BK32" s="44">
        <v>4.4736967228511245E-3</v>
      </c>
      <c r="BL32" s="44">
        <v>4.5025441648955111E-3</v>
      </c>
      <c r="BM32" s="44">
        <v>4.5313916069398994E-3</v>
      </c>
      <c r="BN32" s="44">
        <v>4.5602390489842852E-3</v>
      </c>
      <c r="BO32" s="44">
        <v>4.5890864910286726E-3</v>
      </c>
      <c r="BP32" s="44">
        <v>4.6179339330730601E-3</v>
      </c>
      <c r="BQ32" s="44">
        <v>4.6467813751174458E-3</v>
      </c>
      <c r="BR32" s="44">
        <v>4.6756288171618332E-3</v>
      </c>
      <c r="BS32" s="44">
        <v>4.7044762592062198E-3</v>
      </c>
      <c r="BT32" s="44">
        <v>4.7333237012506073E-3</v>
      </c>
      <c r="BU32" s="44">
        <v>4.762171143294993E-3</v>
      </c>
      <c r="BV32" s="44">
        <v>4.7910185853393805E-3</v>
      </c>
      <c r="BW32" s="44">
        <v>4.8198660273837679E-3</v>
      </c>
      <c r="BX32" s="44">
        <v>4.8487134694281545E-3</v>
      </c>
      <c r="BY32" s="44">
        <v>4.8775609114725419E-3</v>
      </c>
      <c r="BZ32" s="44">
        <v>4.9064083535169277E-3</v>
      </c>
      <c r="CA32" s="44">
        <v>4.9352557955613151E-3</v>
      </c>
      <c r="CB32" s="44">
        <v>4.9641032376057017E-3</v>
      </c>
      <c r="CC32" s="44">
        <v>4.9929506796500883E-3</v>
      </c>
      <c r="CD32" s="44">
        <v>5.0217981216944757E-3</v>
      </c>
      <c r="CE32" s="44">
        <v>5.0506455637388623E-3</v>
      </c>
      <c r="CF32" s="44">
        <v>5.0794930057832489E-3</v>
      </c>
      <c r="CG32" s="44">
        <v>5.1083404478276355E-3</v>
      </c>
      <c r="CH32" s="44">
        <v>5.1371878898720212E-3</v>
      </c>
      <c r="CI32" s="44">
        <v>5.1660353319164087E-3</v>
      </c>
      <c r="CJ32" s="44">
        <v>5.1948827739607961E-3</v>
      </c>
      <c r="CK32" s="44">
        <v>5.2237302160051836E-3</v>
      </c>
      <c r="CL32" s="44">
        <v>5.252577658049571E-3</v>
      </c>
      <c r="CM32" s="44">
        <v>5.2814251000939559E-3</v>
      </c>
    </row>
    <row r="33" spans="1:91" x14ac:dyDescent="0.25">
      <c r="A33" s="17" t="s">
        <v>1</v>
      </c>
      <c r="B33" s="5">
        <v>0</v>
      </c>
      <c r="C33" s="5">
        <v>0</v>
      </c>
      <c r="D33" s="5">
        <v>0</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0</v>
      </c>
      <c r="AF33" s="44">
        <v>1.4251346260975677E-3</v>
      </c>
      <c r="AG33" s="44">
        <v>1.4394010133432365E-3</v>
      </c>
      <c r="AH33" s="44">
        <v>1.4536674005889065E-3</v>
      </c>
      <c r="AI33" s="44">
        <v>1.4679337878345756E-3</v>
      </c>
      <c r="AJ33" s="44">
        <v>1.4822001750802451E-3</v>
      </c>
      <c r="AK33" s="44">
        <v>1.4964665623259147E-3</v>
      </c>
      <c r="AL33" s="44">
        <v>1.5107329495715842E-3</v>
      </c>
      <c r="AM33" s="44">
        <v>1.5249993368172535E-3</v>
      </c>
      <c r="AN33" s="44">
        <v>1.5392657240629226E-3</v>
      </c>
      <c r="AO33" s="44">
        <v>1.5535321113085924E-3</v>
      </c>
      <c r="AP33" s="44">
        <v>1.5677984985542617E-3</v>
      </c>
      <c r="AQ33" s="44">
        <v>1.5820648857999312E-3</v>
      </c>
      <c r="AR33" s="44">
        <v>1.5963312730456008E-3</v>
      </c>
      <c r="AS33" s="44">
        <v>1.6105976602912699E-3</v>
      </c>
      <c r="AT33" s="44">
        <v>1.6248640475369394E-3</v>
      </c>
      <c r="AU33" s="44">
        <v>1.6391304347826087E-3</v>
      </c>
      <c r="AV33" s="44">
        <v>1.6512056578914661E-3</v>
      </c>
      <c r="AW33" s="44">
        <v>1.6632808810003231E-3</v>
      </c>
      <c r="AX33" s="44">
        <v>1.6753561041091803E-3</v>
      </c>
      <c r="AY33" s="44">
        <v>1.6874313272180379E-3</v>
      </c>
      <c r="AZ33" s="44">
        <v>1.6995065503268951E-3</v>
      </c>
      <c r="BA33" s="44">
        <v>1.7115817734357521E-3</v>
      </c>
      <c r="BB33" s="44">
        <v>1.7236569965446093E-3</v>
      </c>
      <c r="BC33" s="44">
        <v>1.7357322196534667E-3</v>
      </c>
      <c r="BD33" s="44">
        <v>1.7478074427623236E-3</v>
      </c>
      <c r="BE33" s="44">
        <v>1.759882665871181E-3</v>
      </c>
      <c r="BF33" s="44">
        <v>1.7719578889800382E-3</v>
      </c>
      <c r="BG33" s="44">
        <v>1.7840331120888959E-3</v>
      </c>
      <c r="BH33" s="44">
        <v>1.7961083351977531E-3</v>
      </c>
      <c r="BI33" s="44">
        <v>1.8081835583066094E-3</v>
      </c>
      <c r="BJ33" s="44">
        <v>1.8202587814154672E-3</v>
      </c>
      <c r="BK33" s="44">
        <v>1.8323340045243244E-3</v>
      </c>
      <c r="BL33" s="44">
        <v>1.844409227633182E-3</v>
      </c>
      <c r="BM33" s="44">
        <v>1.8564844507420388E-3</v>
      </c>
      <c r="BN33" s="44">
        <v>1.8685596738508962E-3</v>
      </c>
      <c r="BO33" s="44">
        <v>1.8806348969597534E-3</v>
      </c>
      <c r="BP33" s="44">
        <v>1.8927101200686108E-3</v>
      </c>
      <c r="BQ33" s="44">
        <v>1.9047853431774678E-3</v>
      </c>
      <c r="BR33" s="44">
        <v>1.9168605662863256E-3</v>
      </c>
      <c r="BS33" s="44">
        <v>1.9289357893951824E-3</v>
      </c>
      <c r="BT33" s="44">
        <v>1.9410110125040402E-3</v>
      </c>
      <c r="BU33" s="44">
        <v>1.9530862356128972E-3</v>
      </c>
      <c r="BV33" s="44">
        <v>1.9651614587217541E-3</v>
      </c>
      <c r="BW33" s="44">
        <v>1.9772366818306113E-3</v>
      </c>
      <c r="BX33" s="44">
        <v>1.989311904939469E-3</v>
      </c>
      <c r="BY33" s="44">
        <v>2.0013871280483257E-3</v>
      </c>
      <c r="BZ33" s="44">
        <v>2.0134623511571829E-3</v>
      </c>
      <c r="CA33" s="44">
        <v>2.0255375742660405E-3</v>
      </c>
      <c r="CB33" s="44">
        <v>2.0376127973748973E-3</v>
      </c>
      <c r="CC33" s="44">
        <v>2.0496880204837549E-3</v>
      </c>
      <c r="CD33" s="44">
        <v>2.0617632435926121E-3</v>
      </c>
      <c r="CE33" s="44">
        <v>2.0738384667014697E-3</v>
      </c>
      <c r="CF33" s="44">
        <v>2.0859136898103261E-3</v>
      </c>
      <c r="CG33" s="44">
        <v>2.0979889129191837E-3</v>
      </c>
      <c r="CH33" s="44">
        <v>2.1100641360280409E-3</v>
      </c>
      <c r="CI33" s="44">
        <v>2.1221393591368985E-3</v>
      </c>
      <c r="CJ33" s="44">
        <v>2.1342145822457557E-3</v>
      </c>
      <c r="CK33" s="44">
        <v>2.1462898053546129E-3</v>
      </c>
      <c r="CL33" s="44">
        <v>2.1583650284634701E-3</v>
      </c>
      <c r="CM33" s="44">
        <v>2.1704402515723277E-3</v>
      </c>
    </row>
    <row r="34" spans="1:91" x14ac:dyDescent="0.25">
      <c r="A34" s="17" t="s">
        <v>1</v>
      </c>
      <c r="B34" s="5">
        <v>0</v>
      </c>
      <c r="C34" s="5">
        <v>0</v>
      </c>
      <c r="D34" s="5">
        <v>0</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44">
        <v>1.6577549140049134E-3</v>
      </c>
      <c r="AG34" s="44">
        <v>1.6804361179361179E-3</v>
      </c>
      <c r="AH34" s="44">
        <v>1.7031173218673219E-3</v>
      </c>
      <c r="AI34" s="44">
        <v>1.7257985257985258E-3</v>
      </c>
      <c r="AJ34" s="44">
        <v>1.7484797297297294E-3</v>
      </c>
      <c r="AK34" s="44">
        <v>1.7711609336609332E-3</v>
      </c>
      <c r="AL34" s="44">
        <v>1.7938421375921377E-3</v>
      </c>
      <c r="AM34" s="44">
        <v>1.8165233415233415E-3</v>
      </c>
      <c r="AN34" s="44">
        <v>1.8392045454545453E-3</v>
      </c>
      <c r="AO34" s="44">
        <v>1.8618857493857496E-3</v>
      </c>
      <c r="AP34" s="44">
        <v>1.8845669533169532E-3</v>
      </c>
      <c r="AQ34" s="44">
        <v>1.9072481572481575E-3</v>
      </c>
      <c r="AR34" s="44">
        <v>1.9299293611793611E-3</v>
      </c>
      <c r="AS34" s="44">
        <v>1.9526105651105647E-3</v>
      </c>
      <c r="AT34" s="44">
        <v>1.9752917690417696E-3</v>
      </c>
      <c r="AU34" s="44">
        <v>1.9979729729729728E-3</v>
      </c>
      <c r="AV34" s="44">
        <v>2.0184735872235877E-3</v>
      </c>
      <c r="AW34" s="44">
        <v>2.0389742014742013E-3</v>
      </c>
      <c r="AX34" s="44">
        <v>2.0594748157248153E-3</v>
      </c>
      <c r="AY34" s="44">
        <v>2.0799754299754298E-3</v>
      </c>
      <c r="AZ34" s="44">
        <v>2.1004760442260443E-3</v>
      </c>
      <c r="BA34" s="44">
        <v>2.1209766584766587E-3</v>
      </c>
      <c r="BB34" s="44">
        <v>2.1414772727272723E-3</v>
      </c>
      <c r="BC34" s="44">
        <v>2.1619778869778868E-3</v>
      </c>
      <c r="BD34" s="44">
        <v>2.1824785012285013E-3</v>
      </c>
      <c r="BE34" s="44">
        <v>2.2029791154791153E-3</v>
      </c>
      <c r="BF34" s="44">
        <v>2.2234797297297293E-3</v>
      </c>
      <c r="BG34" s="44">
        <v>2.2439803439803438E-3</v>
      </c>
      <c r="BH34" s="44">
        <v>2.2644809582309583E-3</v>
      </c>
      <c r="BI34" s="44">
        <v>2.2849815724815723E-3</v>
      </c>
      <c r="BJ34" s="44">
        <v>2.3054821867321868E-3</v>
      </c>
      <c r="BK34" s="44">
        <v>2.3259828009828008E-3</v>
      </c>
      <c r="BL34" s="44">
        <v>2.3464834152334153E-3</v>
      </c>
      <c r="BM34" s="44">
        <v>2.3669840294840293E-3</v>
      </c>
      <c r="BN34" s="44">
        <v>2.3874846437346438E-3</v>
      </c>
      <c r="BO34" s="44">
        <v>2.4079852579852574E-3</v>
      </c>
      <c r="BP34" s="44">
        <v>2.4284858722358718E-3</v>
      </c>
      <c r="BQ34" s="44">
        <v>2.4489864864864859E-3</v>
      </c>
      <c r="BR34" s="44">
        <v>2.4694871007371003E-3</v>
      </c>
      <c r="BS34" s="44">
        <v>2.4899877149877148E-3</v>
      </c>
      <c r="BT34" s="44">
        <v>2.5104883292383293E-3</v>
      </c>
      <c r="BU34" s="44">
        <v>2.5309889434889433E-3</v>
      </c>
      <c r="BV34" s="44">
        <v>2.5514895577395573E-3</v>
      </c>
      <c r="BW34" s="44">
        <v>2.5719901719901722E-3</v>
      </c>
      <c r="BX34" s="44">
        <v>2.5924907862407863E-3</v>
      </c>
      <c r="BY34" s="44">
        <v>2.6129914004914007E-3</v>
      </c>
      <c r="BZ34" s="44">
        <v>2.6334920147420139E-3</v>
      </c>
      <c r="CA34" s="44">
        <v>2.6539926289926284E-3</v>
      </c>
      <c r="CB34" s="44">
        <v>2.6744932432432428E-3</v>
      </c>
      <c r="CC34" s="44">
        <v>2.6949938574938573E-3</v>
      </c>
      <c r="CD34" s="44">
        <v>2.7154944717444713E-3</v>
      </c>
      <c r="CE34" s="44">
        <v>2.7359950859950858E-3</v>
      </c>
      <c r="CF34" s="44">
        <v>2.7564957002457007E-3</v>
      </c>
      <c r="CG34" s="44">
        <v>2.7769963144963143E-3</v>
      </c>
      <c r="CH34" s="44">
        <v>2.7974969287469288E-3</v>
      </c>
      <c r="CI34" s="44">
        <v>2.8179975429975424E-3</v>
      </c>
      <c r="CJ34" s="44">
        <v>2.8384981572481573E-3</v>
      </c>
      <c r="CK34" s="44">
        <v>2.8589987714987713E-3</v>
      </c>
      <c r="CL34" s="44">
        <v>2.8794993857493853E-3</v>
      </c>
      <c r="CM34" s="44">
        <v>2.8999999999999998E-3</v>
      </c>
    </row>
    <row r="35" spans="1:91" x14ac:dyDescent="0.25">
      <c r="A35" s="17" t="s">
        <v>1</v>
      </c>
      <c r="B35" s="5">
        <v>0</v>
      </c>
      <c r="C35" s="5">
        <v>0</v>
      </c>
      <c r="D35" s="5">
        <v>0</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44">
        <v>6.1522727272727278E-2</v>
      </c>
      <c r="AG35" s="44">
        <v>6.1954545454545457E-2</v>
      </c>
      <c r="AH35" s="44">
        <v>6.2386363636363643E-2</v>
      </c>
      <c r="AI35" s="44">
        <v>6.2818181818181829E-2</v>
      </c>
      <c r="AJ35" s="44">
        <v>6.3250000000000001E-2</v>
      </c>
      <c r="AK35" s="44">
        <v>6.3681818181818187E-2</v>
      </c>
      <c r="AL35" s="44">
        <v>6.4113636363636373E-2</v>
      </c>
      <c r="AM35" s="44">
        <v>6.4545454545454545E-2</v>
      </c>
      <c r="AN35" s="44">
        <v>6.4977272727272731E-2</v>
      </c>
      <c r="AO35" s="44">
        <v>6.5409090909090917E-2</v>
      </c>
      <c r="AP35" s="44">
        <v>6.5840909090909089E-2</v>
      </c>
      <c r="AQ35" s="44">
        <v>6.6272727272727275E-2</v>
      </c>
      <c r="AR35" s="44">
        <v>6.6704545454545461E-2</v>
      </c>
      <c r="AS35" s="44">
        <v>6.7136363636363633E-2</v>
      </c>
      <c r="AT35" s="44">
        <v>6.7568181818181819E-2</v>
      </c>
      <c r="AU35" s="44">
        <v>6.8000000000000005E-2</v>
      </c>
      <c r="AV35" s="44">
        <v>6.881818181818182E-2</v>
      </c>
      <c r="AW35" s="44">
        <v>6.9636363636363635E-2</v>
      </c>
      <c r="AX35" s="44">
        <v>7.0454545454545464E-2</v>
      </c>
      <c r="AY35" s="44">
        <v>7.1272727272727279E-2</v>
      </c>
      <c r="AZ35" s="44">
        <v>7.2090909090909094E-2</v>
      </c>
      <c r="BA35" s="44">
        <v>7.290909090909091E-2</v>
      </c>
      <c r="BB35" s="44">
        <v>7.3727272727272725E-2</v>
      </c>
      <c r="BC35" s="44">
        <v>7.4545454545454554E-2</v>
      </c>
      <c r="BD35" s="44">
        <v>7.5363636363636369E-2</v>
      </c>
      <c r="BE35" s="44">
        <v>7.6181818181818184E-2</v>
      </c>
      <c r="BF35" s="44">
        <v>7.6999999999999999E-2</v>
      </c>
      <c r="BG35" s="44">
        <v>7.7818181818181814E-2</v>
      </c>
      <c r="BH35" s="44">
        <v>7.8636363636363643E-2</v>
      </c>
      <c r="BI35" s="44">
        <v>7.9454545454545458E-2</v>
      </c>
      <c r="BJ35" s="44">
        <v>8.0272727272727273E-2</v>
      </c>
      <c r="BK35" s="44">
        <v>8.1090909090909088E-2</v>
      </c>
      <c r="BL35" s="44">
        <v>8.1909090909090904E-2</v>
      </c>
      <c r="BM35" s="44">
        <v>8.2727272727272733E-2</v>
      </c>
      <c r="BN35" s="44">
        <v>8.3545454545454548E-2</v>
      </c>
      <c r="BO35" s="44">
        <v>8.4363636363636363E-2</v>
      </c>
      <c r="BP35" s="44">
        <v>8.5181818181818178E-2</v>
      </c>
      <c r="BQ35" s="44">
        <v>8.5999999999999993E-2</v>
      </c>
      <c r="BR35" s="44">
        <v>8.6818181818181822E-2</v>
      </c>
      <c r="BS35" s="44">
        <v>8.7636363636363637E-2</v>
      </c>
      <c r="BT35" s="44">
        <v>8.8454545454545452E-2</v>
      </c>
      <c r="BU35" s="44">
        <v>8.9272727272727267E-2</v>
      </c>
      <c r="BV35" s="44">
        <v>9.0090909090909083E-2</v>
      </c>
      <c r="BW35" s="44">
        <v>9.0909090909090912E-2</v>
      </c>
      <c r="BX35" s="44">
        <v>9.1727272727272727E-2</v>
      </c>
      <c r="BY35" s="44">
        <v>9.2545454545454542E-2</v>
      </c>
      <c r="BZ35" s="44">
        <v>9.3363636363636357E-2</v>
      </c>
      <c r="CA35" s="44">
        <v>9.4181818181818172E-2</v>
      </c>
      <c r="CB35" s="44">
        <v>9.5000000000000001E-2</v>
      </c>
      <c r="CC35" s="44">
        <v>9.5818181818181816E-2</v>
      </c>
      <c r="CD35" s="44">
        <v>9.6636363636363631E-2</v>
      </c>
      <c r="CE35" s="44">
        <v>9.7454545454545446E-2</v>
      </c>
      <c r="CF35" s="44">
        <v>9.8272727272727262E-2</v>
      </c>
      <c r="CG35" s="44">
        <v>9.9090909090909091E-2</v>
      </c>
      <c r="CH35" s="44">
        <v>9.9909090909090906E-2</v>
      </c>
      <c r="CI35" s="44">
        <v>0.10072727272727272</v>
      </c>
      <c r="CJ35" s="44">
        <v>0.10154545454545455</v>
      </c>
      <c r="CK35" s="44">
        <v>0.10236363636363635</v>
      </c>
      <c r="CL35" s="44">
        <v>0.10318181818181818</v>
      </c>
      <c r="CM35" s="44">
        <v>0.104</v>
      </c>
    </row>
    <row r="37" spans="1:91" x14ac:dyDescent="0.25">
      <c r="A37" s="17" t="s">
        <v>15</v>
      </c>
      <c r="B37" s="5">
        <v>0</v>
      </c>
      <c r="C37" s="5">
        <v>0</v>
      </c>
      <c r="D37" s="5">
        <v>0</v>
      </c>
      <c r="E37" s="5">
        <v>0</v>
      </c>
      <c r="F37" s="5">
        <v>0</v>
      </c>
      <c r="G37" s="5">
        <v>0</v>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0</v>
      </c>
      <c r="AE37" s="5">
        <v>0</v>
      </c>
      <c r="AF37" s="19">
        <v>9.6590909090909095E-4</v>
      </c>
      <c r="AG37" s="19">
        <v>9.6818181818181823E-4</v>
      </c>
      <c r="AH37" s="19">
        <v>9.704545454545454E-4</v>
      </c>
      <c r="AI37" s="19">
        <v>9.7272727272727268E-4</v>
      </c>
      <c r="AJ37" s="19">
        <v>9.7499999999999996E-4</v>
      </c>
      <c r="AK37" s="19">
        <v>9.7727272727272723E-4</v>
      </c>
      <c r="AL37" s="19">
        <v>9.7954545454545451E-4</v>
      </c>
      <c r="AM37" s="19">
        <v>9.8181818181818179E-4</v>
      </c>
      <c r="AN37" s="19">
        <v>9.8409090909090907E-4</v>
      </c>
      <c r="AO37" s="19">
        <v>9.8636363636363635E-4</v>
      </c>
      <c r="AP37" s="19">
        <v>9.8863636363636363E-4</v>
      </c>
      <c r="AQ37" s="19">
        <v>9.9090909090909091E-4</v>
      </c>
      <c r="AR37" s="19">
        <v>9.9318181818181818E-4</v>
      </c>
      <c r="AS37" s="19">
        <v>9.9545454545454546E-4</v>
      </c>
      <c r="AT37" s="19">
        <v>9.9772727272727274E-4</v>
      </c>
      <c r="AU37" s="19">
        <v>1E-3</v>
      </c>
      <c r="AV37" s="19">
        <v>1.0363636363636365E-3</v>
      </c>
      <c r="AW37" s="19">
        <v>1.0727272727272727E-3</v>
      </c>
      <c r="AX37" s="19">
        <v>1.1090909090909092E-3</v>
      </c>
      <c r="AY37" s="19">
        <v>1.1454545454545454E-3</v>
      </c>
      <c r="AZ37" s="19">
        <v>1.1818181818181819E-3</v>
      </c>
      <c r="BA37" s="19">
        <v>1.2181818181818181E-3</v>
      </c>
      <c r="BB37" s="19">
        <v>1.2545454545454546E-3</v>
      </c>
      <c r="BC37" s="19">
        <v>1.2909090909090908E-3</v>
      </c>
      <c r="BD37" s="19">
        <v>1.3272727272727273E-3</v>
      </c>
      <c r="BE37" s="19">
        <v>1.3636363636363635E-3</v>
      </c>
      <c r="BF37" s="19">
        <v>1.4E-3</v>
      </c>
      <c r="BG37" s="19">
        <v>1.4363636363636362E-3</v>
      </c>
      <c r="BH37" s="19">
        <v>1.4727272727272727E-3</v>
      </c>
      <c r="BI37" s="19">
        <v>1.5090909090909091E-3</v>
      </c>
      <c r="BJ37" s="19">
        <v>1.5454545454545454E-3</v>
      </c>
      <c r="BK37" s="19">
        <v>1.5818181818181816E-3</v>
      </c>
      <c r="BL37" s="19">
        <v>1.6181818181818181E-3</v>
      </c>
      <c r="BM37" s="19">
        <v>1.6545454545454545E-3</v>
      </c>
      <c r="BN37" s="19">
        <v>1.6909090909090908E-3</v>
      </c>
      <c r="BO37" s="19">
        <v>1.727272727272727E-3</v>
      </c>
      <c r="BP37" s="19">
        <v>1.7636363636363635E-3</v>
      </c>
      <c r="BQ37" s="19">
        <v>1.8E-3</v>
      </c>
      <c r="BR37" s="19">
        <v>1.8363636363636362E-3</v>
      </c>
      <c r="BS37" s="19">
        <v>1.8727272727272727E-3</v>
      </c>
      <c r="BT37" s="19">
        <v>1.9090909090909089E-3</v>
      </c>
      <c r="BU37" s="19">
        <v>1.9454545454545454E-3</v>
      </c>
      <c r="BV37" s="19">
        <v>1.9818181818181818E-3</v>
      </c>
      <c r="BW37" s="19">
        <v>2.0181818181818183E-3</v>
      </c>
      <c r="BX37" s="19">
        <v>2.0545454545454543E-3</v>
      </c>
      <c r="BY37" s="19">
        <v>2.0909090909090908E-3</v>
      </c>
      <c r="BZ37" s="19">
        <v>2.1272727272727268E-3</v>
      </c>
      <c r="CA37" s="19">
        <v>2.1636363636363632E-3</v>
      </c>
      <c r="CB37" s="19">
        <v>2.1999999999999997E-3</v>
      </c>
      <c r="CC37" s="19">
        <v>2.2363636363636362E-3</v>
      </c>
      <c r="CD37" s="19">
        <v>2.2727272727272726E-3</v>
      </c>
      <c r="CE37" s="19">
        <v>2.3090909090909091E-3</v>
      </c>
      <c r="CF37" s="19">
        <v>2.3454545454545455E-3</v>
      </c>
      <c r="CG37" s="19">
        <v>2.3818181818181816E-3</v>
      </c>
      <c r="CH37" s="19">
        <v>2.418181818181818E-3</v>
      </c>
      <c r="CI37" s="19">
        <v>2.454545454545454E-3</v>
      </c>
      <c r="CJ37" s="19">
        <v>2.4909090909090905E-3</v>
      </c>
      <c r="CK37" s="19">
        <v>2.527272727272727E-3</v>
      </c>
      <c r="CL37" s="19">
        <v>2.5636363636363634E-3</v>
      </c>
      <c r="CM37" s="19">
        <v>2.5999999999999999E-3</v>
      </c>
    </row>
    <row r="38" spans="1:91" x14ac:dyDescent="0.25">
      <c r="A38" s="17"/>
    </row>
    <row r="39" spans="1:91" x14ac:dyDescent="0.25">
      <c r="A39" s="17" t="s">
        <v>14</v>
      </c>
      <c r="B39" s="5">
        <v>0</v>
      </c>
      <c r="C39" s="5">
        <v>0</v>
      </c>
      <c r="D39" s="5">
        <v>0</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19">
        <v>8.6618671127481966E-4</v>
      </c>
      <c r="AG39" s="19">
        <v>8.7332065560907562E-4</v>
      </c>
      <c r="AH39" s="19">
        <v>8.8045459994333169E-4</v>
      </c>
      <c r="AI39" s="19">
        <v>8.8758854427758765E-4</v>
      </c>
      <c r="AJ39" s="19">
        <v>8.9472248861184372E-4</v>
      </c>
      <c r="AK39" s="19">
        <v>9.0185643294609969E-4</v>
      </c>
      <c r="AL39" s="19">
        <v>9.0899037728035576E-4</v>
      </c>
      <c r="AM39" s="19">
        <v>9.1612432161461172E-4</v>
      </c>
      <c r="AN39" s="19">
        <v>9.2325826594886768E-4</v>
      </c>
      <c r="AO39" s="19">
        <v>9.3039221028312375E-4</v>
      </c>
      <c r="AP39" s="19">
        <v>9.3752615461737982E-4</v>
      </c>
      <c r="AQ39" s="19">
        <v>9.4466009895163578E-4</v>
      </c>
      <c r="AR39" s="19">
        <v>9.5179404328589175E-4</v>
      </c>
      <c r="AS39" s="19">
        <v>9.5892798762014782E-4</v>
      </c>
      <c r="AT39" s="19">
        <v>9.6606193195440389E-4</v>
      </c>
      <c r="AU39" s="19">
        <v>9.7319587628865985E-4</v>
      </c>
      <c r="AV39" s="19">
        <v>9.9072164948453621E-4</v>
      </c>
      <c r="AW39" s="19">
        <v>1.0082474226804125E-3</v>
      </c>
      <c r="AX39" s="19">
        <v>1.0257731958762887E-3</v>
      </c>
      <c r="AY39" s="19">
        <v>1.043298969072165E-3</v>
      </c>
      <c r="AZ39" s="19">
        <v>1.0608247422680412E-3</v>
      </c>
      <c r="BA39" s="19">
        <v>1.0783505154639175E-3</v>
      </c>
      <c r="BB39" s="19">
        <v>1.095876288659794E-3</v>
      </c>
      <c r="BC39" s="19">
        <v>1.1134020618556702E-3</v>
      </c>
      <c r="BD39" s="19">
        <v>1.1309278350515465E-3</v>
      </c>
      <c r="BE39" s="19">
        <v>1.1484536082474227E-3</v>
      </c>
      <c r="BF39" s="19">
        <v>1.165979381443299E-3</v>
      </c>
      <c r="BG39" s="19">
        <v>1.1835051546391752E-3</v>
      </c>
      <c r="BH39" s="19">
        <v>1.2010309278350515E-3</v>
      </c>
      <c r="BI39" s="19">
        <v>1.2185567010309277E-3</v>
      </c>
      <c r="BJ39" s="19">
        <v>1.236082474226804E-3</v>
      </c>
      <c r="BK39" s="19">
        <v>1.2536082474226805E-3</v>
      </c>
      <c r="BL39" s="19">
        <v>1.2711340206185567E-3</v>
      </c>
      <c r="BM39" s="19">
        <v>1.288659793814433E-3</v>
      </c>
      <c r="BN39" s="19">
        <v>1.3061855670103092E-3</v>
      </c>
      <c r="BO39" s="19">
        <v>1.3237113402061855E-3</v>
      </c>
      <c r="BP39" s="19">
        <v>1.3412371134020619E-3</v>
      </c>
      <c r="BQ39" s="19">
        <v>1.3587628865979382E-3</v>
      </c>
      <c r="BR39" s="19">
        <v>1.3762886597938145E-3</v>
      </c>
      <c r="BS39" s="19">
        <v>1.3938144329896907E-3</v>
      </c>
      <c r="BT39" s="19">
        <v>1.411340206185567E-3</v>
      </c>
      <c r="BU39" s="19">
        <v>1.4288659793814432E-3</v>
      </c>
      <c r="BV39" s="19">
        <v>1.4463917525773195E-3</v>
      </c>
      <c r="BW39" s="19">
        <v>1.4639175257731957E-3</v>
      </c>
      <c r="BX39" s="19">
        <v>1.481443298969072E-3</v>
      </c>
      <c r="BY39" s="19">
        <v>1.4989690721649482E-3</v>
      </c>
      <c r="BZ39" s="19">
        <v>1.5164948453608247E-3</v>
      </c>
      <c r="CA39" s="19">
        <v>1.534020618556701E-3</v>
      </c>
      <c r="CB39" s="19">
        <v>1.5515463917525772E-3</v>
      </c>
      <c r="CC39" s="19">
        <v>1.5690721649484537E-3</v>
      </c>
      <c r="CD39" s="19">
        <v>1.5865979381443299E-3</v>
      </c>
      <c r="CE39" s="19">
        <v>1.6041237113402062E-3</v>
      </c>
      <c r="CF39" s="19">
        <v>1.6216494845360824E-3</v>
      </c>
      <c r="CG39" s="19">
        <v>1.6391752577319587E-3</v>
      </c>
      <c r="CH39" s="19">
        <v>1.656701030927835E-3</v>
      </c>
      <c r="CI39" s="19">
        <v>1.6742268041237112E-3</v>
      </c>
      <c r="CJ39" s="19">
        <v>1.6917525773195875E-3</v>
      </c>
      <c r="CK39" s="19">
        <v>1.7092783505154637E-3</v>
      </c>
      <c r="CL39" s="19">
        <v>1.72680412371134E-3</v>
      </c>
      <c r="CM39" s="19">
        <v>1.7443298969072164E-3</v>
      </c>
    </row>
    <row r="41" spans="1:91" x14ac:dyDescent="0.25">
      <c r="A41" s="17" t="s">
        <v>16</v>
      </c>
      <c r="B41" s="5">
        <v>0</v>
      </c>
      <c r="C41" s="5">
        <v>0</v>
      </c>
      <c r="D41" s="5">
        <v>0</v>
      </c>
      <c r="E41" s="5">
        <v>0</v>
      </c>
      <c r="F41" s="5">
        <v>0</v>
      </c>
      <c r="G41" s="5">
        <v>0</v>
      </c>
      <c r="H41" s="5">
        <v>0</v>
      </c>
      <c r="I41" s="5">
        <v>0</v>
      </c>
      <c r="J41" s="5">
        <v>0</v>
      </c>
      <c r="K41" s="5">
        <v>0</v>
      </c>
      <c r="L41" s="5">
        <v>0</v>
      </c>
      <c r="M41" s="5">
        <v>0</v>
      </c>
      <c r="N41" s="5">
        <v>0</v>
      </c>
      <c r="O41" s="5">
        <v>0</v>
      </c>
      <c r="P41" s="5">
        <v>0</v>
      </c>
      <c r="Q41" s="5">
        <v>0</v>
      </c>
      <c r="R41" s="5">
        <v>0</v>
      </c>
      <c r="S41" s="5">
        <v>0</v>
      </c>
      <c r="T41" s="5">
        <v>0</v>
      </c>
      <c r="U41" s="5">
        <v>0</v>
      </c>
      <c r="V41" s="5">
        <v>0</v>
      </c>
      <c r="W41" s="5">
        <v>0</v>
      </c>
      <c r="X41" s="5">
        <v>0</v>
      </c>
      <c r="Y41" s="5">
        <v>0</v>
      </c>
      <c r="Z41" s="5">
        <v>0</v>
      </c>
      <c r="AA41" s="5">
        <v>0</v>
      </c>
      <c r="AB41" s="5">
        <v>0</v>
      </c>
      <c r="AC41" s="5">
        <v>0</v>
      </c>
      <c r="AD41" s="5">
        <v>0</v>
      </c>
      <c r="AE41" s="5">
        <v>0</v>
      </c>
      <c r="AF41" s="47">
        <v>5.0675000000000008E-3</v>
      </c>
      <c r="AG41" s="47">
        <v>5.1450000000000003E-3</v>
      </c>
      <c r="AH41" s="47">
        <v>5.2225000000000006E-3</v>
      </c>
      <c r="AI41" s="47">
        <v>5.3000000000000009E-3</v>
      </c>
      <c r="AJ41" s="47">
        <v>5.3775000000000003E-3</v>
      </c>
      <c r="AK41" s="47">
        <v>5.4550000000000006E-3</v>
      </c>
      <c r="AL41" s="47">
        <v>5.532500000000001E-3</v>
      </c>
      <c r="AM41" s="47">
        <v>5.6100000000000004E-3</v>
      </c>
      <c r="AN41" s="47">
        <v>5.6874999999999998E-3</v>
      </c>
      <c r="AO41" s="47">
        <v>5.765000000000001E-3</v>
      </c>
      <c r="AP41" s="47">
        <v>5.8425000000000005E-3</v>
      </c>
      <c r="AQ41" s="47">
        <v>5.9199999999999999E-3</v>
      </c>
      <c r="AR41" s="47">
        <v>5.9975000000000011E-3</v>
      </c>
      <c r="AS41" s="47">
        <v>6.0750000000000005E-3</v>
      </c>
      <c r="AT41" s="47">
        <v>6.1525E-3</v>
      </c>
      <c r="AU41" s="47">
        <v>6.2300000000000003E-3</v>
      </c>
      <c r="AV41" s="47">
        <v>6.2575E-3</v>
      </c>
      <c r="AW41" s="47">
        <v>6.2850000000000007E-3</v>
      </c>
      <c r="AX41" s="47">
        <v>6.3125000000000004E-3</v>
      </c>
      <c r="AY41" s="47">
        <v>6.3400000000000001E-3</v>
      </c>
      <c r="AZ41" s="47">
        <v>6.3674999999999999E-3</v>
      </c>
      <c r="BA41" s="47">
        <v>6.3950000000000005E-3</v>
      </c>
      <c r="BB41" s="47">
        <v>6.4225000000000003E-3</v>
      </c>
      <c r="BC41" s="47">
        <v>6.45E-3</v>
      </c>
      <c r="BD41" s="47">
        <v>6.4774999999999998E-3</v>
      </c>
      <c r="BE41" s="47">
        <v>6.5050000000000004E-3</v>
      </c>
      <c r="BF41" s="47">
        <v>6.5325000000000001E-3</v>
      </c>
      <c r="BG41" s="47">
        <v>6.5599999999999999E-3</v>
      </c>
      <c r="BH41" s="47">
        <v>6.5875000000000005E-3</v>
      </c>
      <c r="BI41" s="47">
        <v>6.6150000000000002E-3</v>
      </c>
      <c r="BJ41" s="47">
        <v>6.6425E-3</v>
      </c>
      <c r="BK41" s="47">
        <v>6.6699999999999997E-3</v>
      </c>
      <c r="BL41" s="47">
        <v>6.6975000000000003E-3</v>
      </c>
      <c r="BM41" s="47">
        <v>6.7250000000000001E-3</v>
      </c>
      <c r="BN41" s="47">
        <v>6.7524999999999998E-3</v>
      </c>
      <c r="BO41" s="47">
        <v>6.7799999999999996E-3</v>
      </c>
      <c r="BP41" s="47">
        <v>6.8075000000000002E-3</v>
      </c>
      <c r="BQ41" s="47">
        <v>6.8349999999999999E-3</v>
      </c>
      <c r="BR41" s="47">
        <v>6.8624999999999997E-3</v>
      </c>
      <c r="BS41" s="47">
        <v>6.8900000000000003E-3</v>
      </c>
      <c r="BT41" s="47">
        <v>6.9175E-3</v>
      </c>
      <c r="BU41" s="47">
        <v>6.9449999999999998E-3</v>
      </c>
      <c r="BV41" s="47">
        <v>6.9724999999999995E-3</v>
      </c>
      <c r="BW41" s="47">
        <v>7.0000000000000001E-3</v>
      </c>
      <c r="BX41" s="47">
        <v>7.0274999999999999E-3</v>
      </c>
      <c r="BY41" s="47">
        <v>7.0549999999999996E-3</v>
      </c>
      <c r="BZ41" s="47">
        <v>7.0825000000000003E-3</v>
      </c>
      <c r="CA41" s="47">
        <v>7.11E-3</v>
      </c>
      <c r="CB41" s="47">
        <v>7.1374999999999997E-3</v>
      </c>
      <c r="CC41" s="47">
        <v>7.1649999999999995E-3</v>
      </c>
      <c r="CD41" s="47">
        <v>7.1925000000000001E-3</v>
      </c>
      <c r="CE41" s="47">
        <v>7.2199999999999999E-3</v>
      </c>
      <c r="CF41" s="47">
        <v>7.2474999999999996E-3</v>
      </c>
      <c r="CG41" s="47">
        <v>7.2750000000000002E-3</v>
      </c>
      <c r="CH41" s="47">
        <v>7.3025E-3</v>
      </c>
      <c r="CI41" s="47">
        <v>7.3299999999999997E-3</v>
      </c>
      <c r="CJ41" s="47">
        <v>7.3574999999999995E-3</v>
      </c>
      <c r="CK41" s="47">
        <v>7.3849999999999992E-3</v>
      </c>
      <c r="CL41" s="47">
        <v>7.4124999999999998E-3</v>
      </c>
      <c r="CM41" s="47">
        <v>7.4399999999999996E-3</v>
      </c>
    </row>
    <row r="42" spans="1:91" x14ac:dyDescent="0.25">
      <c r="A42" s="17" t="s">
        <v>1</v>
      </c>
      <c r="B42" s="5">
        <v>0</v>
      </c>
      <c r="C42" s="5">
        <v>0</v>
      </c>
      <c r="D42" s="5">
        <v>0</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47">
        <v>2.3129545454545456E-3</v>
      </c>
      <c r="AG42" s="47">
        <v>2.3440909090909094E-3</v>
      </c>
      <c r="AH42" s="47">
        <v>2.3752272727272728E-3</v>
      </c>
      <c r="AI42" s="47">
        <v>2.4063636363636366E-3</v>
      </c>
      <c r="AJ42" s="47">
        <v>2.4375000000000004E-3</v>
      </c>
      <c r="AK42" s="47">
        <v>2.4686363636363638E-3</v>
      </c>
      <c r="AL42" s="47">
        <v>2.4997727272727276E-3</v>
      </c>
      <c r="AM42" s="47">
        <v>2.5309090909090915E-3</v>
      </c>
      <c r="AN42" s="47">
        <v>2.5620454545454549E-3</v>
      </c>
      <c r="AO42" s="47">
        <v>2.5931818181818183E-3</v>
      </c>
      <c r="AP42" s="47">
        <v>2.6243181818181821E-3</v>
      </c>
      <c r="AQ42" s="47">
        <v>2.6554545454545459E-3</v>
      </c>
      <c r="AR42" s="47">
        <v>2.6865909090909093E-3</v>
      </c>
      <c r="AS42" s="47">
        <v>2.7177272727272731E-3</v>
      </c>
      <c r="AT42" s="47">
        <v>2.748863636363637E-3</v>
      </c>
      <c r="AU42" s="47">
        <v>2.7800000000000004E-3</v>
      </c>
      <c r="AV42" s="47">
        <v>2.7993181818181823E-3</v>
      </c>
      <c r="AW42" s="47">
        <v>2.8186363636363639E-3</v>
      </c>
      <c r="AX42" s="47">
        <v>2.8379545454545459E-3</v>
      </c>
      <c r="AY42" s="47">
        <v>2.8572727272727274E-3</v>
      </c>
      <c r="AZ42" s="47">
        <v>2.8765909090909094E-3</v>
      </c>
      <c r="BA42" s="47">
        <v>2.8959090909090913E-3</v>
      </c>
      <c r="BB42" s="47">
        <v>2.9152272727272729E-3</v>
      </c>
      <c r="BC42" s="47">
        <v>2.9345454545454549E-3</v>
      </c>
      <c r="BD42" s="47">
        <v>2.9538636363636368E-3</v>
      </c>
      <c r="BE42" s="47">
        <v>2.9731818181818184E-3</v>
      </c>
      <c r="BF42" s="47">
        <v>2.9925000000000004E-3</v>
      </c>
      <c r="BG42" s="47">
        <v>3.0118181818181819E-3</v>
      </c>
      <c r="BH42" s="47">
        <v>3.0311363636363639E-3</v>
      </c>
      <c r="BI42" s="47">
        <v>3.0504545454545459E-3</v>
      </c>
      <c r="BJ42" s="47">
        <v>3.0697727272727274E-3</v>
      </c>
      <c r="BK42" s="47">
        <v>3.0890909090909094E-3</v>
      </c>
      <c r="BL42" s="47">
        <v>3.1084090909090914E-3</v>
      </c>
      <c r="BM42" s="47">
        <v>3.1277272727272729E-3</v>
      </c>
      <c r="BN42" s="47">
        <v>3.1470454545454549E-3</v>
      </c>
      <c r="BO42" s="47">
        <v>3.1663636363636364E-3</v>
      </c>
      <c r="BP42" s="47">
        <v>3.1856818181818184E-3</v>
      </c>
      <c r="BQ42" s="47">
        <v>3.2050000000000004E-3</v>
      </c>
      <c r="BR42" s="47">
        <v>3.2243181818181819E-3</v>
      </c>
      <c r="BS42" s="47">
        <v>3.2436363636363639E-3</v>
      </c>
      <c r="BT42" s="47">
        <v>3.2629545454545454E-3</v>
      </c>
      <c r="BU42" s="47">
        <v>3.2822727272727274E-3</v>
      </c>
      <c r="BV42" s="47">
        <v>3.3015909090909094E-3</v>
      </c>
      <c r="BW42" s="47">
        <v>3.3209090909090909E-3</v>
      </c>
      <c r="BX42" s="47">
        <v>3.3402272727272729E-3</v>
      </c>
      <c r="BY42" s="47">
        <v>3.3595454545454545E-3</v>
      </c>
      <c r="BZ42" s="47">
        <v>3.3788636363636364E-3</v>
      </c>
      <c r="CA42" s="47">
        <v>3.3981818181818184E-3</v>
      </c>
      <c r="CB42" s="47">
        <v>3.4175E-3</v>
      </c>
      <c r="CC42" s="47">
        <v>3.4368181818181819E-3</v>
      </c>
      <c r="CD42" s="47">
        <v>3.4561363636363635E-3</v>
      </c>
      <c r="CE42" s="47">
        <v>3.4754545454545455E-3</v>
      </c>
      <c r="CF42" s="47">
        <v>3.4947727272727274E-3</v>
      </c>
      <c r="CG42" s="47">
        <v>3.5140909090909094E-3</v>
      </c>
      <c r="CH42" s="47">
        <v>3.533409090909091E-3</v>
      </c>
      <c r="CI42" s="47">
        <v>3.5527272727272729E-3</v>
      </c>
      <c r="CJ42" s="47">
        <v>3.5720454545454545E-3</v>
      </c>
      <c r="CK42" s="47">
        <v>3.5913636363636365E-3</v>
      </c>
      <c r="CL42" s="47">
        <v>3.6106818181818184E-3</v>
      </c>
      <c r="CM42" s="47">
        <v>3.63E-3</v>
      </c>
    </row>
    <row r="43" spans="1:91" x14ac:dyDescent="0.25">
      <c r="A43" s="17" t="s">
        <v>1</v>
      </c>
      <c r="B43" s="5">
        <v>0</v>
      </c>
      <c r="C43" s="5">
        <v>0</v>
      </c>
      <c r="D43" s="5">
        <v>0</v>
      </c>
      <c r="E43" s="5">
        <v>0</v>
      </c>
      <c r="F43" s="5">
        <v>0</v>
      </c>
      <c r="G43" s="5">
        <v>0</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0</v>
      </c>
      <c r="AC43" s="5">
        <v>0</v>
      </c>
      <c r="AD43" s="5">
        <v>0</v>
      </c>
      <c r="AE43" s="5">
        <v>0</v>
      </c>
      <c r="AF43" s="47">
        <v>3.4209090909090912E-3</v>
      </c>
      <c r="AG43" s="47">
        <v>3.4681818181818186E-3</v>
      </c>
      <c r="AH43" s="47">
        <v>3.5154545454545456E-3</v>
      </c>
      <c r="AI43" s="47">
        <v>3.562727272727273E-3</v>
      </c>
      <c r="AJ43" s="47">
        <v>3.6100000000000004E-3</v>
      </c>
      <c r="AK43" s="47">
        <v>3.6572727272727278E-3</v>
      </c>
      <c r="AL43" s="47">
        <v>3.7045454545454552E-3</v>
      </c>
      <c r="AM43" s="47">
        <v>3.7518181818181826E-3</v>
      </c>
      <c r="AN43" s="47">
        <v>3.7990909090909099E-3</v>
      </c>
      <c r="AO43" s="47">
        <v>3.8463636363636369E-3</v>
      </c>
      <c r="AP43" s="47">
        <v>3.8936363636363643E-3</v>
      </c>
      <c r="AQ43" s="47">
        <v>3.9409090909090913E-3</v>
      </c>
      <c r="AR43" s="47">
        <v>3.9881818181818187E-3</v>
      </c>
      <c r="AS43" s="47">
        <v>4.0354545454545461E-3</v>
      </c>
      <c r="AT43" s="47">
        <v>4.0827272727272735E-3</v>
      </c>
      <c r="AU43" s="47">
        <v>4.1300000000000009E-3</v>
      </c>
      <c r="AV43" s="47">
        <v>4.1579545454545463E-3</v>
      </c>
      <c r="AW43" s="47">
        <v>4.1859090909090917E-3</v>
      </c>
      <c r="AX43" s="47">
        <v>4.2138636363636371E-3</v>
      </c>
      <c r="AY43" s="47">
        <v>4.2418181818181825E-3</v>
      </c>
      <c r="AZ43" s="47">
        <v>4.269772727272728E-3</v>
      </c>
      <c r="BA43" s="47">
        <v>4.2977272727272734E-3</v>
      </c>
      <c r="BB43" s="47">
        <v>4.3256818181818188E-3</v>
      </c>
      <c r="BC43" s="47">
        <v>4.3536363636363642E-3</v>
      </c>
      <c r="BD43" s="47">
        <v>4.3815909090909096E-3</v>
      </c>
      <c r="BE43" s="47">
        <v>4.4095454545454551E-3</v>
      </c>
      <c r="BF43" s="47">
        <v>4.4375000000000005E-3</v>
      </c>
      <c r="BG43" s="47">
        <v>4.4654545454545459E-3</v>
      </c>
      <c r="BH43" s="47">
        <v>4.4934090909090913E-3</v>
      </c>
      <c r="BI43" s="47">
        <v>4.5213636363636367E-3</v>
      </c>
      <c r="BJ43" s="47">
        <v>4.5493181818181821E-3</v>
      </c>
      <c r="BK43" s="47">
        <v>4.5772727272727276E-3</v>
      </c>
      <c r="BL43" s="47">
        <v>4.605227272727273E-3</v>
      </c>
      <c r="BM43" s="47">
        <v>4.6331818181818184E-3</v>
      </c>
      <c r="BN43" s="47">
        <v>4.6611363636363638E-3</v>
      </c>
      <c r="BO43" s="47">
        <v>4.6890909090909101E-3</v>
      </c>
      <c r="BP43" s="47">
        <v>4.7170454545454547E-3</v>
      </c>
      <c r="BQ43" s="47">
        <v>4.745000000000001E-3</v>
      </c>
      <c r="BR43" s="47">
        <v>4.7729545454545455E-3</v>
      </c>
      <c r="BS43" s="47">
        <v>4.8009090909090918E-3</v>
      </c>
      <c r="BT43" s="47">
        <v>4.8288636363636372E-3</v>
      </c>
      <c r="BU43" s="47">
        <v>4.8568181818181826E-3</v>
      </c>
      <c r="BV43" s="47">
        <v>4.8847727272727281E-3</v>
      </c>
      <c r="BW43" s="47">
        <v>4.9127272727272735E-3</v>
      </c>
      <c r="BX43" s="47">
        <v>4.9406818181818189E-3</v>
      </c>
      <c r="BY43" s="47">
        <v>4.9686363636363643E-3</v>
      </c>
      <c r="BZ43" s="47">
        <v>4.9965909090909097E-3</v>
      </c>
      <c r="CA43" s="47">
        <v>5.0245454545454551E-3</v>
      </c>
      <c r="CB43" s="47">
        <v>5.0525000000000006E-3</v>
      </c>
      <c r="CC43" s="47">
        <v>5.080454545454546E-3</v>
      </c>
      <c r="CD43" s="47">
        <v>5.1084090909090914E-3</v>
      </c>
      <c r="CE43" s="47">
        <v>5.1363636363636368E-3</v>
      </c>
      <c r="CF43" s="47">
        <v>5.1643181818181822E-3</v>
      </c>
      <c r="CG43" s="47">
        <v>5.1922727272727277E-3</v>
      </c>
      <c r="CH43" s="47">
        <v>5.2202272727272731E-3</v>
      </c>
      <c r="CI43" s="47">
        <v>5.2481818181818185E-3</v>
      </c>
      <c r="CJ43" s="47">
        <v>5.2761363636363639E-3</v>
      </c>
      <c r="CK43" s="47">
        <v>5.3040909090909093E-3</v>
      </c>
      <c r="CL43" s="47">
        <v>5.3320454545454548E-3</v>
      </c>
      <c r="CM43" s="47">
        <v>5.3600000000000002E-3</v>
      </c>
    </row>
    <row r="44" spans="1:91" x14ac:dyDescent="0.25">
      <c r="A44" s="17" t="s">
        <v>1</v>
      </c>
      <c r="B44" s="5">
        <v>0</v>
      </c>
      <c r="C44" s="5">
        <v>0</v>
      </c>
      <c r="D44" s="5">
        <v>0</v>
      </c>
      <c r="E44" s="5">
        <v>0</v>
      </c>
      <c r="F44" s="5">
        <v>0</v>
      </c>
      <c r="G44" s="5">
        <v>0</v>
      </c>
      <c r="H44" s="5">
        <v>0</v>
      </c>
      <c r="I44" s="5">
        <v>0</v>
      </c>
      <c r="J44" s="5">
        <v>0</v>
      </c>
      <c r="K44" s="5">
        <v>0</v>
      </c>
      <c r="L44" s="5">
        <v>0</v>
      </c>
      <c r="M44" s="5">
        <v>0</v>
      </c>
      <c r="N44" s="5">
        <v>0</v>
      </c>
      <c r="O44" s="5">
        <v>0</v>
      </c>
      <c r="P44" s="5">
        <v>0</v>
      </c>
      <c r="Q44" s="5">
        <v>0</v>
      </c>
      <c r="R44" s="5">
        <v>0</v>
      </c>
      <c r="S44" s="5">
        <v>0</v>
      </c>
      <c r="T44" s="5">
        <v>0</v>
      </c>
      <c r="U44" s="5">
        <v>0</v>
      </c>
      <c r="V44" s="5">
        <v>0</v>
      </c>
      <c r="W44" s="5">
        <v>0</v>
      </c>
      <c r="X44" s="5">
        <v>0</v>
      </c>
      <c r="Y44" s="5">
        <v>0</v>
      </c>
      <c r="Z44" s="5">
        <v>0</v>
      </c>
      <c r="AA44" s="5">
        <v>0</v>
      </c>
      <c r="AB44" s="5">
        <v>0</v>
      </c>
      <c r="AC44" s="5">
        <v>0</v>
      </c>
      <c r="AD44" s="5">
        <v>0</v>
      </c>
      <c r="AE44" s="5">
        <v>0</v>
      </c>
      <c r="AF44" s="47">
        <v>1.4251346260975674E-3</v>
      </c>
      <c r="AG44" s="47">
        <v>1.4394010133432368E-3</v>
      </c>
      <c r="AH44" s="47">
        <v>1.4536674005889063E-3</v>
      </c>
      <c r="AI44" s="47">
        <v>1.4679337878345756E-3</v>
      </c>
      <c r="AJ44" s="47">
        <v>1.4822001750802451E-3</v>
      </c>
      <c r="AK44" s="47">
        <v>1.4964665623259145E-3</v>
      </c>
      <c r="AL44" s="47">
        <v>1.510732949571584E-3</v>
      </c>
      <c r="AM44" s="47">
        <v>1.5249993368172533E-3</v>
      </c>
      <c r="AN44" s="47">
        <v>1.5392657240629226E-3</v>
      </c>
      <c r="AO44" s="47">
        <v>1.5535321113085922E-3</v>
      </c>
      <c r="AP44" s="47">
        <v>1.5677984985542617E-3</v>
      </c>
      <c r="AQ44" s="47">
        <v>1.582064885799931E-3</v>
      </c>
      <c r="AR44" s="47">
        <v>1.5963312730456003E-3</v>
      </c>
      <c r="AS44" s="47">
        <v>1.6105976602912699E-3</v>
      </c>
      <c r="AT44" s="47">
        <v>1.6248640475369394E-3</v>
      </c>
      <c r="AU44" s="47">
        <v>1.6391304347826087E-3</v>
      </c>
      <c r="AV44" s="47">
        <v>1.6512056578914659E-3</v>
      </c>
      <c r="AW44" s="47">
        <v>1.6632808810003231E-3</v>
      </c>
      <c r="AX44" s="47">
        <v>1.6753561041091805E-3</v>
      </c>
      <c r="AY44" s="47">
        <v>1.6874313272180377E-3</v>
      </c>
      <c r="AZ44" s="47">
        <v>1.6995065503268949E-3</v>
      </c>
      <c r="BA44" s="47">
        <v>1.7115817734357521E-3</v>
      </c>
      <c r="BB44" s="47">
        <v>1.7236569965446095E-3</v>
      </c>
      <c r="BC44" s="47">
        <v>1.7357322196534667E-3</v>
      </c>
      <c r="BD44" s="47">
        <v>1.7478074427623239E-3</v>
      </c>
      <c r="BE44" s="47">
        <v>1.759882665871181E-3</v>
      </c>
      <c r="BF44" s="47">
        <v>1.7719578889800382E-3</v>
      </c>
      <c r="BG44" s="47">
        <v>1.7840331120888956E-3</v>
      </c>
      <c r="BH44" s="47">
        <v>1.7961083351977528E-3</v>
      </c>
      <c r="BI44" s="47">
        <v>1.80818355830661E-3</v>
      </c>
      <c r="BJ44" s="47">
        <v>1.8202587814154672E-3</v>
      </c>
      <c r="BK44" s="47">
        <v>1.8323340045243246E-3</v>
      </c>
      <c r="BL44" s="47">
        <v>1.8444092276331818E-3</v>
      </c>
      <c r="BM44" s="47">
        <v>1.856484450742039E-3</v>
      </c>
      <c r="BN44" s="47">
        <v>1.8685596738508962E-3</v>
      </c>
      <c r="BO44" s="47">
        <v>1.8806348969597534E-3</v>
      </c>
      <c r="BP44" s="47">
        <v>1.8927101200686108E-3</v>
      </c>
      <c r="BQ44" s="47">
        <v>1.904785343177468E-3</v>
      </c>
      <c r="BR44" s="47">
        <v>1.9168605662863252E-3</v>
      </c>
      <c r="BS44" s="47">
        <v>1.9289357893951826E-3</v>
      </c>
      <c r="BT44" s="47">
        <v>1.9410110125040398E-3</v>
      </c>
      <c r="BU44" s="47">
        <v>1.953086235612897E-3</v>
      </c>
      <c r="BV44" s="47">
        <v>1.9651614587217541E-3</v>
      </c>
      <c r="BW44" s="47">
        <v>1.9772366818306113E-3</v>
      </c>
      <c r="BX44" s="47">
        <v>1.9893119049394685E-3</v>
      </c>
      <c r="BY44" s="47">
        <v>2.0013871280483257E-3</v>
      </c>
      <c r="BZ44" s="47">
        <v>2.0134623511571829E-3</v>
      </c>
      <c r="CA44" s="47">
        <v>2.0255375742660405E-3</v>
      </c>
      <c r="CB44" s="47">
        <v>2.0376127973748977E-3</v>
      </c>
      <c r="CC44" s="47">
        <v>2.0496880204837549E-3</v>
      </c>
      <c r="CD44" s="47">
        <v>2.0617632435926121E-3</v>
      </c>
      <c r="CE44" s="47">
        <v>2.0738384667014693E-3</v>
      </c>
      <c r="CF44" s="47">
        <v>2.0859136898103265E-3</v>
      </c>
      <c r="CG44" s="47">
        <v>2.0979889129191837E-3</v>
      </c>
      <c r="CH44" s="47">
        <v>2.1100641360280409E-3</v>
      </c>
      <c r="CI44" s="47">
        <v>2.1221393591368985E-3</v>
      </c>
      <c r="CJ44" s="47">
        <v>2.1342145822457557E-3</v>
      </c>
      <c r="CK44" s="47">
        <v>2.1462898053546129E-3</v>
      </c>
      <c r="CL44" s="47">
        <v>2.1583650284634701E-3</v>
      </c>
      <c r="CM44" s="47">
        <v>2.1704402515723272E-3</v>
      </c>
    </row>
    <row r="45" spans="1:91" x14ac:dyDescent="0.25">
      <c r="A45" s="17" t="s">
        <v>1</v>
      </c>
      <c r="B45" s="5">
        <v>0</v>
      </c>
      <c r="C45" s="5">
        <v>0</v>
      </c>
      <c r="D45" s="5">
        <v>0</v>
      </c>
      <c r="E45" s="5">
        <v>0</v>
      </c>
      <c r="F45" s="5">
        <v>0</v>
      </c>
      <c r="G45" s="5">
        <v>0</v>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v>
      </c>
      <c r="AD45" s="5">
        <v>0</v>
      </c>
      <c r="AE45" s="5">
        <v>0</v>
      </c>
      <c r="AF45" s="47">
        <v>1.6577549140049139E-3</v>
      </c>
      <c r="AG45" s="47">
        <v>1.6804361179361179E-3</v>
      </c>
      <c r="AH45" s="47">
        <v>1.7031173218673219E-3</v>
      </c>
      <c r="AI45" s="47">
        <v>1.7257985257985258E-3</v>
      </c>
      <c r="AJ45" s="47">
        <v>1.7484797297297296E-3</v>
      </c>
      <c r="AK45" s="47">
        <v>1.7711609336609336E-3</v>
      </c>
      <c r="AL45" s="47">
        <v>1.7938421375921377E-3</v>
      </c>
      <c r="AM45" s="47">
        <v>1.8165233415233415E-3</v>
      </c>
      <c r="AN45" s="47">
        <v>1.8392045454545453E-3</v>
      </c>
      <c r="AO45" s="47">
        <v>1.8618857493857494E-3</v>
      </c>
      <c r="AP45" s="47">
        <v>1.8845669533169532E-3</v>
      </c>
      <c r="AQ45" s="47">
        <v>1.907248157248157E-3</v>
      </c>
      <c r="AR45" s="47">
        <v>1.9299293611793611E-3</v>
      </c>
      <c r="AS45" s="47">
        <v>1.9526105651105651E-3</v>
      </c>
      <c r="AT45" s="47">
        <v>1.9752917690417692E-3</v>
      </c>
      <c r="AU45" s="47">
        <v>1.9979729729729728E-3</v>
      </c>
      <c r="AV45" s="47">
        <v>2.0184735872235873E-3</v>
      </c>
      <c r="AW45" s="47">
        <v>2.0389742014742013E-3</v>
      </c>
      <c r="AX45" s="47">
        <v>2.0594748157248153E-3</v>
      </c>
      <c r="AY45" s="47">
        <v>2.0799754299754298E-3</v>
      </c>
      <c r="AZ45" s="47">
        <v>2.1004760442260443E-3</v>
      </c>
      <c r="BA45" s="47">
        <v>2.1209766584766583E-3</v>
      </c>
      <c r="BB45" s="47">
        <v>2.1414772727272723E-3</v>
      </c>
      <c r="BC45" s="47">
        <v>2.1619778869778868E-3</v>
      </c>
      <c r="BD45" s="47">
        <v>2.1824785012285013E-3</v>
      </c>
      <c r="BE45" s="47">
        <v>2.2029791154791153E-3</v>
      </c>
      <c r="BF45" s="47">
        <v>2.2234797297297293E-3</v>
      </c>
      <c r="BG45" s="47">
        <v>2.2439803439803438E-3</v>
      </c>
      <c r="BH45" s="47">
        <v>2.2644809582309583E-3</v>
      </c>
      <c r="BI45" s="47">
        <v>2.2849815724815723E-3</v>
      </c>
      <c r="BJ45" s="47">
        <v>2.3054821867321863E-3</v>
      </c>
      <c r="BK45" s="47">
        <v>2.3259828009828008E-3</v>
      </c>
      <c r="BL45" s="47">
        <v>2.3464834152334153E-3</v>
      </c>
      <c r="BM45" s="47">
        <v>2.3669840294840293E-3</v>
      </c>
      <c r="BN45" s="47">
        <v>2.3874846437346433E-3</v>
      </c>
      <c r="BO45" s="47">
        <v>2.4079852579852578E-3</v>
      </c>
      <c r="BP45" s="47">
        <v>2.4284858722358723E-3</v>
      </c>
      <c r="BQ45" s="47">
        <v>2.4489864864864863E-3</v>
      </c>
      <c r="BR45" s="47">
        <v>2.4694871007371003E-3</v>
      </c>
      <c r="BS45" s="47">
        <v>2.4899877149877148E-3</v>
      </c>
      <c r="BT45" s="47">
        <v>2.5104883292383293E-3</v>
      </c>
      <c r="BU45" s="47">
        <v>2.5309889434889433E-3</v>
      </c>
      <c r="BV45" s="47">
        <v>2.5514895577395573E-3</v>
      </c>
      <c r="BW45" s="47">
        <v>2.5719901719901718E-3</v>
      </c>
      <c r="BX45" s="47">
        <v>2.5924907862407863E-3</v>
      </c>
      <c r="BY45" s="47">
        <v>2.6129914004914003E-3</v>
      </c>
      <c r="BZ45" s="47">
        <v>2.6334920147420143E-3</v>
      </c>
      <c r="CA45" s="47">
        <v>2.6539926289926288E-3</v>
      </c>
      <c r="CB45" s="47">
        <v>2.6744932432432433E-3</v>
      </c>
      <c r="CC45" s="47">
        <v>2.6949938574938573E-3</v>
      </c>
      <c r="CD45" s="47">
        <v>2.7154944717444713E-3</v>
      </c>
      <c r="CE45" s="47">
        <v>2.7359950859950858E-3</v>
      </c>
      <c r="CF45" s="47">
        <v>2.7564957002457003E-3</v>
      </c>
      <c r="CG45" s="47">
        <v>2.7769963144963143E-3</v>
      </c>
      <c r="CH45" s="47">
        <v>2.7974969287469283E-3</v>
      </c>
      <c r="CI45" s="47">
        <v>2.8179975429975428E-3</v>
      </c>
      <c r="CJ45" s="47">
        <v>2.8384981572481573E-3</v>
      </c>
      <c r="CK45" s="47">
        <v>2.8589987714987713E-3</v>
      </c>
      <c r="CL45" s="47">
        <v>2.8794993857493853E-3</v>
      </c>
      <c r="CM45" s="47">
        <v>2.8999999999999998E-3</v>
      </c>
    </row>
    <row r="46" spans="1:91" x14ac:dyDescent="0.25">
      <c r="A46" s="17" t="s">
        <v>1</v>
      </c>
      <c r="B46" s="5">
        <v>0</v>
      </c>
      <c r="C46" s="5">
        <v>0</v>
      </c>
      <c r="D46" s="5">
        <v>0</v>
      </c>
      <c r="E46" s="5">
        <v>0</v>
      </c>
      <c r="F46" s="5">
        <v>0</v>
      </c>
      <c r="G46" s="5">
        <v>0</v>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c r="AA46" s="5">
        <v>0</v>
      </c>
      <c r="AB46" s="5">
        <v>0</v>
      </c>
      <c r="AC46" s="5">
        <v>0</v>
      </c>
      <c r="AD46" s="5">
        <v>0</v>
      </c>
      <c r="AE46" s="5">
        <v>0</v>
      </c>
      <c r="AF46" s="47">
        <v>6.1522727272727278E-2</v>
      </c>
      <c r="AG46" s="47">
        <v>6.1954545454545457E-2</v>
      </c>
      <c r="AH46" s="47">
        <v>6.2386363636363643E-2</v>
      </c>
      <c r="AI46" s="47">
        <v>6.2818181818181829E-2</v>
      </c>
      <c r="AJ46" s="47">
        <v>6.3250000000000001E-2</v>
      </c>
      <c r="AK46" s="47">
        <v>6.3681818181818187E-2</v>
      </c>
      <c r="AL46" s="47">
        <v>6.4113636363636373E-2</v>
      </c>
      <c r="AM46" s="47">
        <v>6.4545454545454545E-2</v>
      </c>
      <c r="AN46" s="47">
        <v>6.4977272727272731E-2</v>
      </c>
      <c r="AO46" s="47">
        <v>6.5409090909090917E-2</v>
      </c>
      <c r="AP46" s="47">
        <v>6.5840909090909089E-2</v>
      </c>
      <c r="AQ46" s="47">
        <v>6.6272727272727275E-2</v>
      </c>
      <c r="AR46" s="47">
        <v>6.6704545454545461E-2</v>
      </c>
      <c r="AS46" s="47">
        <v>6.7136363636363633E-2</v>
      </c>
      <c r="AT46" s="47">
        <v>6.7568181818181819E-2</v>
      </c>
      <c r="AU46" s="47">
        <v>6.8000000000000005E-2</v>
      </c>
      <c r="AV46" s="47">
        <v>6.881818181818182E-2</v>
      </c>
      <c r="AW46" s="47">
        <v>6.9636363636363635E-2</v>
      </c>
      <c r="AX46" s="47">
        <v>7.0454545454545464E-2</v>
      </c>
      <c r="AY46" s="47">
        <v>7.1272727272727279E-2</v>
      </c>
      <c r="AZ46" s="47">
        <v>7.2090909090909094E-2</v>
      </c>
      <c r="BA46" s="47">
        <v>7.290909090909091E-2</v>
      </c>
      <c r="BB46" s="47">
        <v>7.3727272727272725E-2</v>
      </c>
      <c r="BC46" s="47">
        <v>7.4545454545454554E-2</v>
      </c>
      <c r="BD46" s="47">
        <v>7.5363636363636369E-2</v>
      </c>
      <c r="BE46" s="47">
        <v>7.6181818181818184E-2</v>
      </c>
      <c r="BF46" s="47">
        <v>7.6999999999999999E-2</v>
      </c>
      <c r="BG46" s="47">
        <v>7.7818181818181814E-2</v>
      </c>
      <c r="BH46" s="47">
        <v>7.8636363636363643E-2</v>
      </c>
      <c r="BI46" s="47">
        <v>7.9454545454545458E-2</v>
      </c>
      <c r="BJ46" s="47">
        <v>8.0272727272727273E-2</v>
      </c>
      <c r="BK46" s="47">
        <v>8.1090909090909088E-2</v>
      </c>
      <c r="BL46" s="47">
        <v>8.1909090909090904E-2</v>
      </c>
      <c r="BM46" s="47">
        <v>8.2727272727272733E-2</v>
      </c>
      <c r="BN46" s="47">
        <v>8.3545454545454548E-2</v>
      </c>
      <c r="BO46" s="47">
        <v>8.4363636363636363E-2</v>
      </c>
      <c r="BP46" s="47">
        <v>8.5181818181818178E-2</v>
      </c>
      <c r="BQ46" s="47">
        <v>8.5999999999999993E-2</v>
      </c>
      <c r="BR46" s="47">
        <v>8.6818181818181822E-2</v>
      </c>
      <c r="BS46" s="47">
        <v>8.7636363636363637E-2</v>
      </c>
      <c r="BT46" s="47">
        <v>8.8454545454545452E-2</v>
      </c>
      <c r="BU46" s="47">
        <v>8.9272727272727267E-2</v>
      </c>
      <c r="BV46" s="47">
        <v>9.0090909090909083E-2</v>
      </c>
      <c r="BW46" s="47">
        <v>9.0909090909090912E-2</v>
      </c>
      <c r="BX46" s="47">
        <v>9.1727272727272727E-2</v>
      </c>
      <c r="BY46" s="47">
        <v>9.2545454545454542E-2</v>
      </c>
      <c r="BZ46" s="47">
        <v>9.3363636363636357E-2</v>
      </c>
      <c r="CA46" s="47">
        <v>9.4181818181818172E-2</v>
      </c>
      <c r="CB46" s="47">
        <v>9.5000000000000001E-2</v>
      </c>
      <c r="CC46" s="47">
        <v>9.5818181818181816E-2</v>
      </c>
      <c r="CD46" s="47">
        <v>9.6636363636363631E-2</v>
      </c>
      <c r="CE46" s="47">
        <v>9.7454545454545446E-2</v>
      </c>
      <c r="CF46" s="47">
        <v>9.8272727272727262E-2</v>
      </c>
      <c r="CG46" s="47">
        <v>9.9090909090909091E-2</v>
      </c>
      <c r="CH46" s="47">
        <v>9.9909090909090906E-2</v>
      </c>
      <c r="CI46" s="47">
        <v>0.10072727272727272</v>
      </c>
      <c r="CJ46" s="47">
        <v>0.10154545454545455</v>
      </c>
      <c r="CK46" s="47">
        <v>0.10236363636363635</v>
      </c>
      <c r="CL46" s="47">
        <v>0.10318181818181818</v>
      </c>
      <c r="CM46" s="47">
        <v>0.104</v>
      </c>
    </row>
    <row r="47" spans="1:91" x14ac:dyDescent="0.25">
      <c r="A47" s="17"/>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row>
    <row r="48" spans="1:91" x14ac:dyDescent="0.25">
      <c r="A48" s="17" t="s">
        <v>17</v>
      </c>
      <c r="B48" s="5">
        <v>0</v>
      </c>
      <c r="C48" s="5">
        <v>0</v>
      </c>
      <c r="D48" s="5">
        <v>0</v>
      </c>
      <c r="E48" s="5">
        <v>0</v>
      </c>
      <c r="F48" s="5">
        <v>0</v>
      </c>
      <c r="G48" s="5">
        <v>0</v>
      </c>
      <c r="H48" s="5">
        <v>0</v>
      </c>
      <c r="I48" s="5">
        <v>0</v>
      </c>
      <c r="J48" s="5">
        <v>0</v>
      </c>
      <c r="K48" s="5">
        <v>0</v>
      </c>
      <c r="L48" s="5">
        <v>0</v>
      </c>
      <c r="M48" s="5">
        <v>0</v>
      </c>
      <c r="N48" s="5">
        <v>0</v>
      </c>
      <c r="O48" s="5">
        <v>0</v>
      </c>
      <c r="P48" s="5">
        <v>0</v>
      </c>
      <c r="Q48" s="5">
        <v>0</v>
      </c>
      <c r="R48" s="5">
        <v>0</v>
      </c>
      <c r="S48" s="5">
        <v>0</v>
      </c>
      <c r="T48" s="5">
        <v>0</v>
      </c>
      <c r="U48" s="5">
        <v>0</v>
      </c>
      <c r="V48" s="5">
        <v>0</v>
      </c>
      <c r="W48" s="5">
        <v>0</v>
      </c>
      <c r="X48" s="5">
        <v>0</v>
      </c>
      <c r="Y48" s="5">
        <v>0</v>
      </c>
      <c r="Z48" s="5">
        <v>0</v>
      </c>
      <c r="AA48" s="5">
        <v>0</v>
      </c>
      <c r="AB48" s="5">
        <v>0</v>
      </c>
      <c r="AC48" s="5">
        <v>0</v>
      </c>
      <c r="AD48" s="5">
        <v>0</v>
      </c>
      <c r="AE48" s="5">
        <v>0</v>
      </c>
      <c r="AF48" s="19">
        <v>3.0288636363636368E-3</v>
      </c>
      <c r="AG48" s="19">
        <v>3.1022727272727278E-3</v>
      </c>
      <c r="AH48" s="19">
        <v>3.1756818181818188E-3</v>
      </c>
      <c r="AI48" s="19">
        <v>3.2490909090909098E-3</v>
      </c>
      <c r="AJ48" s="19">
        <v>3.3225000000000008E-3</v>
      </c>
      <c r="AK48" s="19">
        <v>3.3959090909090918E-3</v>
      </c>
      <c r="AL48" s="19">
        <v>3.4693181818181828E-3</v>
      </c>
      <c r="AM48" s="19">
        <v>3.5427272727272738E-3</v>
      </c>
      <c r="AN48" s="19">
        <v>3.6161363636363648E-3</v>
      </c>
      <c r="AO48" s="19">
        <v>3.6895454545454558E-3</v>
      </c>
      <c r="AP48" s="19">
        <v>3.7629545454545468E-3</v>
      </c>
      <c r="AQ48" s="19">
        <v>3.8363636363636378E-3</v>
      </c>
      <c r="AR48" s="19">
        <v>3.9097727272727287E-3</v>
      </c>
      <c r="AS48" s="19">
        <v>3.9831818181818197E-3</v>
      </c>
      <c r="AT48" s="19">
        <v>4.0565909090909107E-3</v>
      </c>
      <c r="AU48" s="19">
        <v>4.1300000000000009E-3</v>
      </c>
      <c r="AV48" s="19">
        <v>4.1579545454545463E-3</v>
      </c>
      <c r="AW48" s="19">
        <v>4.1859090909090917E-3</v>
      </c>
      <c r="AX48" s="19">
        <v>4.2138636363636371E-3</v>
      </c>
      <c r="AY48" s="19">
        <v>4.2418181818181825E-3</v>
      </c>
      <c r="AZ48" s="19">
        <v>4.269772727272728E-3</v>
      </c>
      <c r="BA48" s="19">
        <v>4.2977272727272734E-3</v>
      </c>
      <c r="BB48" s="19">
        <v>4.3256818181818188E-3</v>
      </c>
      <c r="BC48" s="19">
        <v>4.3536363636363642E-3</v>
      </c>
      <c r="BD48" s="19">
        <v>4.3815909090909096E-3</v>
      </c>
      <c r="BE48" s="19">
        <v>4.4095454545454551E-3</v>
      </c>
      <c r="BF48" s="19">
        <v>4.4375000000000005E-3</v>
      </c>
      <c r="BG48" s="19">
        <v>4.4654545454545459E-3</v>
      </c>
      <c r="BH48" s="19">
        <v>4.4934090909090913E-3</v>
      </c>
      <c r="BI48" s="19">
        <v>4.5213636363636367E-3</v>
      </c>
      <c r="BJ48" s="19">
        <v>4.5493181818181821E-3</v>
      </c>
      <c r="BK48" s="19">
        <v>4.5772727272727276E-3</v>
      </c>
      <c r="BL48" s="19">
        <v>4.605227272727273E-3</v>
      </c>
      <c r="BM48" s="19">
        <v>4.6331818181818184E-3</v>
      </c>
      <c r="BN48" s="19">
        <v>4.6611363636363638E-3</v>
      </c>
      <c r="BO48" s="19">
        <v>4.6890909090909101E-3</v>
      </c>
      <c r="BP48" s="19">
        <v>4.7170454545454547E-3</v>
      </c>
      <c r="BQ48" s="19">
        <v>4.745000000000001E-3</v>
      </c>
      <c r="BR48" s="19">
        <v>4.7729545454545455E-3</v>
      </c>
      <c r="BS48" s="19">
        <v>4.8009090909090918E-3</v>
      </c>
      <c r="BT48" s="19">
        <v>4.8288636363636372E-3</v>
      </c>
      <c r="BU48" s="19">
        <v>4.8568181818181826E-3</v>
      </c>
      <c r="BV48" s="19">
        <v>4.8847727272727281E-3</v>
      </c>
      <c r="BW48" s="19">
        <v>4.9127272727272735E-3</v>
      </c>
      <c r="BX48" s="19">
        <v>4.9406818181818189E-3</v>
      </c>
      <c r="BY48" s="19">
        <v>4.9686363636363643E-3</v>
      </c>
      <c r="BZ48" s="19">
        <v>4.9965909090909097E-3</v>
      </c>
      <c r="CA48" s="19">
        <v>5.0245454545454551E-3</v>
      </c>
      <c r="CB48" s="19">
        <v>5.0525000000000006E-3</v>
      </c>
      <c r="CC48" s="19">
        <v>5.080454545454546E-3</v>
      </c>
      <c r="CD48" s="19">
        <v>5.1084090909090914E-3</v>
      </c>
      <c r="CE48" s="19">
        <v>5.1363636363636368E-3</v>
      </c>
      <c r="CF48" s="19">
        <v>5.1643181818181822E-3</v>
      </c>
      <c r="CG48" s="19">
        <v>5.1922727272727277E-3</v>
      </c>
      <c r="CH48" s="19">
        <v>5.2202272727272731E-3</v>
      </c>
      <c r="CI48" s="19">
        <v>5.2481818181818185E-3</v>
      </c>
      <c r="CJ48" s="19">
        <v>5.2761363636363639E-3</v>
      </c>
      <c r="CK48" s="19">
        <v>5.3040909090909093E-3</v>
      </c>
      <c r="CL48" s="19">
        <v>5.3320454545454548E-3</v>
      </c>
      <c r="CM48" s="19">
        <v>5.3600000000000002E-3</v>
      </c>
    </row>
    <row r="49" spans="1:91" x14ac:dyDescent="0.25">
      <c r="A49" s="17"/>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row>
    <row r="50" spans="1:91" x14ac:dyDescent="0.25">
      <c r="A50" s="17" t="s">
        <v>18</v>
      </c>
      <c r="B50" s="5">
        <v>0</v>
      </c>
      <c r="C50" s="5">
        <v>0</v>
      </c>
      <c r="D50" s="5">
        <v>0</v>
      </c>
      <c r="E50" s="5">
        <v>0</v>
      </c>
      <c r="F50" s="5">
        <v>0</v>
      </c>
      <c r="G50" s="5">
        <v>0</v>
      </c>
      <c r="H50" s="5">
        <v>0</v>
      </c>
      <c r="I50" s="5">
        <v>0</v>
      </c>
      <c r="J50" s="5">
        <v>0</v>
      </c>
      <c r="K50" s="5">
        <v>0</v>
      </c>
      <c r="L50" s="5">
        <v>0</v>
      </c>
      <c r="M50" s="5">
        <v>0</v>
      </c>
      <c r="N50" s="5">
        <v>0</v>
      </c>
      <c r="O50" s="5">
        <v>0</v>
      </c>
      <c r="P50" s="5">
        <v>0</v>
      </c>
      <c r="Q50" s="5">
        <v>0</v>
      </c>
      <c r="R50" s="5">
        <v>0</v>
      </c>
      <c r="S50" s="5">
        <v>0</v>
      </c>
      <c r="T50" s="5">
        <v>0</v>
      </c>
      <c r="U50" s="5">
        <v>0</v>
      </c>
      <c r="V50" s="5">
        <v>0</v>
      </c>
      <c r="W50" s="5">
        <v>0</v>
      </c>
      <c r="X50" s="5">
        <v>0</v>
      </c>
      <c r="Y50" s="5">
        <v>0</v>
      </c>
      <c r="Z50" s="5">
        <v>0</v>
      </c>
      <c r="AA50" s="5">
        <v>0</v>
      </c>
      <c r="AB50" s="5">
        <v>0</v>
      </c>
      <c r="AC50" s="5">
        <v>0</v>
      </c>
      <c r="AD50" s="5">
        <v>0</v>
      </c>
      <c r="AE50" s="5">
        <v>0</v>
      </c>
      <c r="AF50" s="19">
        <v>8.6618671127481966E-4</v>
      </c>
      <c r="AG50" s="19">
        <v>8.7332065560907562E-4</v>
      </c>
      <c r="AH50" s="19">
        <v>8.8045459994333169E-4</v>
      </c>
      <c r="AI50" s="19">
        <v>8.8758854427758765E-4</v>
      </c>
      <c r="AJ50" s="19">
        <v>8.9472248861184372E-4</v>
      </c>
      <c r="AK50" s="19">
        <v>9.0185643294609969E-4</v>
      </c>
      <c r="AL50" s="19">
        <v>9.0899037728035576E-4</v>
      </c>
      <c r="AM50" s="19">
        <v>9.1612432161461172E-4</v>
      </c>
      <c r="AN50" s="19">
        <v>9.2325826594886768E-4</v>
      </c>
      <c r="AO50" s="19">
        <v>9.3039221028312375E-4</v>
      </c>
      <c r="AP50" s="19">
        <v>9.3752615461737982E-4</v>
      </c>
      <c r="AQ50" s="19">
        <v>9.4466009895163578E-4</v>
      </c>
      <c r="AR50" s="19">
        <v>9.5179404328589175E-4</v>
      </c>
      <c r="AS50" s="19">
        <v>9.5892798762014782E-4</v>
      </c>
      <c r="AT50" s="19">
        <v>9.6606193195440389E-4</v>
      </c>
      <c r="AU50" s="19">
        <v>9.7319587628865985E-4</v>
      </c>
      <c r="AV50" s="19">
        <v>9.9072164948453621E-4</v>
      </c>
      <c r="AW50" s="19">
        <v>1.0082474226804125E-3</v>
      </c>
      <c r="AX50" s="19">
        <v>1.0257731958762887E-3</v>
      </c>
      <c r="AY50" s="19">
        <v>1.043298969072165E-3</v>
      </c>
      <c r="AZ50" s="19">
        <v>1.0608247422680412E-3</v>
      </c>
      <c r="BA50" s="19">
        <v>1.0783505154639175E-3</v>
      </c>
      <c r="BB50" s="19">
        <v>1.095876288659794E-3</v>
      </c>
      <c r="BC50" s="19">
        <v>1.1134020618556702E-3</v>
      </c>
      <c r="BD50" s="19">
        <v>1.1309278350515465E-3</v>
      </c>
      <c r="BE50" s="19">
        <v>1.1484536082474227E-3</v>
      </c>
      <c r="BF50" s="19">
        <v>1.165979381443299E-3</v>
      </c>
      <c r="BG50" s="19">
        <v>1.1835051546391752E-3</v>
      </c>
      <c r="BH50" s="19">
        <v>1.2010309278350515E-3</v>
      </c>
      <c r="BI50" s="19">
        <v>1.2185567010309277E-3</v>
      </c>
      <c r="BJ50" s="19">
        <v>1.236082474226804E-3</v>
      </c>
      <c r="BK50" s="19">
        <v>1.2536082474226805E-3</v>
      </c>
      <c r="BL50" s="19">
        <v>1.2711340206185567E-3</v>
      </c>
      <c r="BM50" s="19">
        <v>1.288659793814433E-3</v>
      </c>
      <c r="BN50" s="19">
        <v>1.3061855670103092E-3</v>
      </c>
      <c r="BO50" s="19">
        <v>1.3237113402061855E-3</v>
      </c>
      <c r="BP50" s="19">
        <v>1.3412371134020619E-3</v>
      </c>
      <c r="BQ50" s="19">
        <v>1.3587628865979382E-3</v>
      </c>
      <c r="BR50" s="19">
        <v>1.3762886597938145E-3</v>
      </c>
      <c r="BS50" s="19">
        <v>1.3938144329896907E-3</v>
      </c>
      <c r="BT50" s="19">
        <v>1.411340206185567E-3</v>
      </c>
      <c r="BU50" s="19">
        <v>1.4288659793814432E-3</v>
      </c>
      <c r="BV50" s="19">
        <v>1.4463917525773195E-3</v>
      </c>
      <c r="BW50" s="19">
        <v>1.4639175257731957E-3</v>
      </c>
      <c r="BX50" s="19">
        <v>1.481443298969072E-3</v>
      </c>
      <c r="BY50" s="19">
        <v>1.4989690721649482E-3</v>
      </c>
      <c r="BZ50" s="19">
        <v>1.5164948453608247E-3</v>
      </c>
      <c r="CA50" s="19">
        <v>1.534020618556701E-3</v>
      </c>
      <c r="CB50" s="19">
        <v>1.5515463917525772E-3</v>
      </c>
      <c r="CC50" s="19">
        <v>1.5690721649484537E-3</v>
      </c>
      <c r="CD50" s="19">
        <v>1.5865979381443299E-3</v>
      </c>
      <c r="CE50" s="19">
        <v>1.6041237113402062E-3</v>
      </c>
      <c r="CF50" s="19">
        <v>1.6216494845360824E-3</v>
      </c>
      <c r="CG50" s="19">
        <v>1.6391752577319587E-3</v>
      </c>
      <c r="CH50" s="19">
        <v>1.656701030927835E-3</v>
      </c>
      <c r="CI50" s="19">
        <v>1.6742268041237112E-3</v>
      </c>
      <c r="CJ50" s="19">
        <v>1.6917525773195875E-3</v>
      </c>
      <c r="CK50" s="19">
        <v>1.7092783505154637E-3</v>
      </c>
      <c r="CL50" s="19">
        <v>1.72680412371134E-3</v>
      </c>
      <c r="CM50" s="19">
        <v>1.7443298969072164E-3</v>
      </c>
    </row>
    <row r="52" spans="1:91" s="41" customFormat="1" x14ac:dyDescent="0.25">
      <c r="A52" s="41" t="s">
        <v>33</v>
      </c>
      <c r="B52" s="5">
        <f>'25% by 2050 Ag'!B27</f>
        <v>0</v>
      </c>
      <c r="C52" s="5">
        <f>'25% by 2050 Ag'!C27</f>
        <v>0</v>
      </c>
      <c r="D52" s="5">
        <f>'25% by 2050 Ag'!D27</f>
        <v>0</v>
      </c>
      <c r="E52" s="5">
        <f>'25% by 2050 Ag'!E27</f>
        <v>0</v>
      </c>
      <c r="F52" s="5">
        <f>'25% by 2050 Ag'!F27</f>
        <v>0</v>
      </c>
      <c r="G52" s="5">
        <f>'25% by 2050 Ag'!G27</f>
        <v>0</v>
      </c>
      <c r="H52" s="5">
        <f>'25% by 2050 Ag'!H27</f>
        <v>0</v>
      </c>
      <c r="I52" s="5">
        <f>'25% by 2050 Ag'!I27</f>
        <v>0</v>
      </c>
      <c r="J52" s="5">
        <f>'25% by 2050 Ag'!J27</f>
        <v>0</v>
      </c>
      <c r="K52" s="5">
        <f>'25% by 2050 Ag'!K27</f>
        <v>0</v>
      </c>
      <c r="L52" s="5">
        <f>'25% by 2050 Ag'!L27</f>
        <v>0</v>
      </c>
      <c r="M52" s="5">
        <f>'25% by 2050 Ag'!M27</f>
        <v>0</v>
      </c>
      <c r="N52" s="5">
        <f>'25% by 2050 Ag'!N27</f>
        <v>0</v>
      </c>
      <c r="O52" s="5">
        <f>'25% by 2050 Ag'!O27</f>
        <v>0</v>
      </c>
      <c r="P52" s="5">
        <f>'25% by 2050 Ag'!P27</f>
        <v>0</v>
      </c>
      <c r="Q52" s="5">
        <f>'25% by 2050 Ag'!Q27</f>
        <v>0</v>
      </c>
      <c r="R52" s="5">
        <f>'25% by 2050 Ag'!R27</f>
        <v>0</v>
      </c>
      <c r="S52" s="5">
        <f>'25% by 2050 Ag'!S27</f>
        <v>0</v>
      </c>
      <c r="T52" s="5">
        <f>'25% by 2050 Ag'!T27</f>
        <v>0</v>
      </c>
      <c r="U52" s="5">
        <f>'25% by 2050 Ag'!U27</f>
        <v>0</v>
      </c>
      <c r="V52" s="5">
        <f>'25% by 2050 Ag'!V27</f>
        <v>0</v>
      </c>
      <c r="W52" s="5">
        <f>'25% by 2050 Ag'!W27</f>
        <v>0</v>
      </c>
      <c r="X52" s="5">
        <f>'25% by 2050 Ag'!X27</f>
        <v>0</v>
      </c>
      <c r="Y52" s="5">
        <f>'25% by 2050 Ag'!Y27</f>
        <v>0</v>
      </c>
      <c r="Z52" s="5">
        <f>'25% by 2050 Ag'!Z27</f>
        <v>0</v>
      </c>
      <c r="AA52" s="5">
        <f>'25% by 2050 Ag'!AA27</f>
        <v>0</v>
      </c>
      <c r="AB52" s="5">
        <f>'25% by 2050 Ag'!AB27</f>
        <v>0</v>
      </c>
      <c r="AC52" s="5">
        <f>'25% by 2050 Ag'!AC27</f>
        <v>0</v>
      </c>
      <c r="AD52" s="5">
        <f>'25% by 2050 Ag'!AD27</f>
        <v>0</v>
      </c>
      <c r="AE52" s="5">
        <f>'25% by 2050 Ag'!AE27</f>
        <v>0</v>
      </c>
      <c r="AF52" s="48">
        <f>'25% by 2050 Ag'!AF27</f>
        <v>264298.13384870189</v>
      </c>
      <c r="AG52" s="48">
        <f>'25% by 2050 Ag'!AG27</f>
        <v>520633.93324715138</v>
      </c>
      <c r="AH52" s="48">
        <f>'25% by 2050 Ag'!AH27</f>
        <v>769361.87263473251</v>
      </c>
      <c r="AI52" s="48">
        <f>'25% by 2050 Ag'!AI27</f>
        <v>1010815.693040224</v>
      </c>
      <c r="AJ52" s="48">
        <f>'25% by 2050 Ag'!AJ27</f>
        <v>1245309.8961211501</v>
      </c>
      <c r="AK52" s="48">
        <f>'25% by 2050 Ag'!AK27</f>
        <v>1473141.1108468894</v>
      </c>
      <c r="AL52" s="48">
        <f>'25% by 2050 Ag'!AL27</f>
        <v>1694589.3453137057</v>
      </c>
      <c r="AM52" s="48">
        <f>'25% by 2050 Ag'!AM27</f>
        <v>1909919.13479971</v>
      </c>
      <c r="AN52" s="48">
        <f>'25% by 2050 Ag'!AN27</f>
        <v>2119380.5959568662</v>
      </c>
      <c r="AO52" s="48">
        <f>'25% by 2050 Ag'!AO27</f>
        <v>2323210.3959727613</v>
      </c>
      <c r="AP52" s="48">
        <f>'25% by 2050 Ag'!AP27</f>
        <v>2528030.7295535938</v>
      </c>
      <c r="AQ52" s="48">
        <f>'25% by 2050 Ag'!AQ27</f>
        <v>3025243.1509060082</v>
      </c>
      <c r="AR52" s="48">
        <f>'25% by 2050 Ag'!AR27</f>
        <v>3914439.356290834</v>
      </c>
      <c r="AS52" s="48">
        <f>'25% by 2050 Ag'!AS27</f>
        <v>4710896.3697284199</v>
      </c>
      <c r="AT52" s="48">
        <f>'25% by 2050 Ag'!AT27</f>
        <v>5525197.0183615312</v>
      </c>
      <c r="AU52" s="48">
        <f>'25% by 2050 Ag'!AU27</f>
        <v>7231647.8086248199</v>
      </c>
      <c r="AV52" s="48">
        <f>'25% by 2050 Ag'!AV27</f>
        <v>10062408.411293173</v>
      </c>
      <c r="AW52" s="48">
        <f>'25% by 2050 Ag'!AW27</f>
        <v>14004755.431666218</v>
      </c>
      <c r="AX52" s="48">
        <f>'25% by 2050 Ag'!AX27</f>
        <v>14989749.552085569</v>
      </c>
      <c r="AY52" s="48">
        <f>'25% by 2050 Ag'!AY27</f>
        <v>16052595.374386443</v>
      </c>
      <c r="AZ52" s="48">
        <f>'25% by 2050 Ag'!AZ27</f>
        <v>17105346.28058739</v>
      </c>
      <c r="BA52" s="48">
        <f>'25% by 2050 Ag'!BA27</f>
        <v>18148158.904882386</v>
      </c>
      <c r="BB52" s="48">
        <f>'25% by 2050 Ag'!BB27</f>
        <v>19181186.192052074</v>
      </c>
      <c r="BC52" s="48">
        <f>'25% by 2050 Ag'!BC27</f>
        <v>20204577.523639631</v>
      </c>
      <c r="BD52" s="48">
        <f>'25% by 2050 Ag'!BD27</f>
        <v>21218478.838245515</v>
      </c>
      <c r="BE52" s="48">
        <f>'25% by 2050 Ag'!BE27</f>
        <v>22223032.746287949</v>
      </c>
      <c r="BF52" s="48">
        <f>'25% by 2050 Ag'!BF27</f>
        <v>23218378.639551979</v>
      </c>
      <c r="BG52" s="48">
        <f>'25% by 2050 Ag'!BG27</f>
        <v>24204652.795827199</v>
      </c>
      <c r="BH52" s="48">
        <f>'25% by 2050 Ag'!BH27</f>
        <v>25181987.072291125</v>
      </c>
      <c r="BI52" s="48">
        <f>'25% by 2050 Ag'!BI27</f>
        <v>27722897.613718852</v>
      </c>
      <c r="BJ52" s="48">
        <f>'25% by 2050 Ag'!BJ27</f>
        <v>30213917.320765853</v>
      </c>
      <c r="BK52" s="48">
        <f>'25% by 2050 Ag'!BK27</f>
        <v>32655942.729002677</v>
      </c>
      <c r="BL52" s="48">
        <f>'25% by 2050 Ag'!BL27</f>
        <v>35049850.946431875</v>
      </c>
      <c r="BM52" s="48">
        <f>'25% by 2050 Ag'!BM27</f>
        <v>37396500.271563739</v>
      </c>
      <c r="BN52" s="48">
        <f>'25% by 2050 Ag'!BN27</f>
        <v>39696730.783159316</v>
      </c>
      <c r="BO52" s="48">
        <f>'25% by 2050 Ag'!BO27</f>
        <v>41951364.903280146</v>
      </c>
      <c r="BP52" s="48">
        <f>'25% by 2050 Ag'!BP27</f>
        <v>44161207.935173422</v>
      </c>
      <c r="BQ52" s="48">
        <f>'25% by 2050 Ag'!BQ27</f>
        <v>46327048.57742016</v>
      </c>
      <c r="BR52" s="48">
        <f>'25% by 2050 Ag'!BR27</f>
        <v>48449659.415679239</v>
      </c>
      <c r="BS52" s="48">
        <f>'25% by 2050 Ag'!BS27</f>
        <v>50529797.393273272</v>
      </c>
      <c r="BT52" s="48">
        <f>'25% by 2050 Ag'!BT27</f>
        <v>52568204.261781365</v>
      </c>
      <c r="BU52" s="48">
        <f>'25% by 2050 Ag'!BU27</f>
        <v>54565607.012728721</v>
      </c>
      <c r="BV52" s="48">
        <f>'25% by 2050 Ag'!BV27</f>
        <v>56522718.29139404</v>
      </c>
      <c r="BW52" s="48">
        <f>'25% by 2050 Ag'!BW27</f>
        <v>58440236.793690279</v>
      </c>
      <c r="BX52" s="48">
        <f>'25% by 2050 Ag'!BX27</f>
        <v>60318847.647015482</v>
      </c>
      <c r="BY52" s="48">
        <f>'25% by 2050 Ag'!BY27</f>
        <v>62159222.775913559</v>
      </c>
      <c r="BZ52" s="48">
        <f>'25% by 2050 Ag'!BZ27</f>
        <v>63962021.253333978</v>
      </c>
      <c r="CA52" s="48">
        <f>'25% by 2050 Ag'!CA27</f>
        <v>65727889.638230376</v>
      </c>
      <c r="CB52" s="48">
        <f>'25% by 2050 Ag'!CB27</f>
        <v>67457462.30019404</v>
      </c>
      <c r="CC52" s="48">
        <f>'25% by 2050 Ag'!CC27</f>
        <v>69151361.731775209</v>
      </c>
      <c r="CD52" s="48">
        <f>'25% by 2050 Ag'!CD27</f>
        <v>70810198.849107534</v>
      </c>
      <c r="CE52" s="48">
        <f>'25% by 2050 Ag'!CE27</f>
        <v>72434573.281413376</v>
      </c>
      <c r="CF52" s="48">
        <f>'25% by 2050 Ag'!CF27</f>
        <v>74025073.6499345</v>
      </c>
      <c r="CG52" s="48">
        <f>'25% by 2050 Ag'!CG27</f>
        <v>75582277.836800873</v>
      </c>
      <c r="CH52" s="48">
        <f>'25% by 2050 Ag'!CH27</f>
        <v>77106753.244320154</v>
      </c>
      <c r="CI52" s="48">
        <f>'25% by 2050 Ag'!CI27</f>
        <v>78599057.045143902</v>
      </c>
      <c r="CJ52" s="48">
        <f>'25% by 2050 Ag'!CJ27</f>
        <v>80059736.423739135</v>
      </c>
      <c r="CK52" s="48">
        <f>'25% by 2050 Ag'!CK27</f>
        <v>81489328.809571177</v>
      </c>
      <c r="CL52" s="48">
        <f>'25% by 2050 Ag'!CL27</f>
        <v>82888362.102379844</v>
      </c>
      <c r="CM52" s="48">
        <f>'25% by 2050 Ag'!CM27</f>
        <v>84257354.889910609</v>
      </c>
    </row>
    <row r="53" spans="1:91" s="41" customFormat="1" x14ac:dyDescent="0.2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row>
    <row r="54" spans="1:91" s="41" customFormat="1" x14ac:dyDescent="0.25">
      <c r="A54" s="41" t="s">
        <v>22</v>
      </c>
      <c r="B54" s="5">
        <f>'25% by 2050 Ag'!B28</f>
        <v>0</v>
      </c>
      <c r="C54" s="5">
        <f>'25% by 2050 Ag'!C28</f>
        <v>0</v>
      </c>
      <c r="D54" s="5">
        <f>'25% by 2050 Ag'!D28</f>
        <v>0</v>
      </c>
      <c r="E54" s="5">
        <f>'25% by 2050 Ag'!E28</f>
        <v>0</v>
      </c>
      <c r="F54" s="5">
        <f>'25% by 2050 Ag'!F28</f>
        <v>0</v>
      </c>
      <c r="G54" s="5">
        <f>'25% by 2050 Ag'!G28</f>
        <v>0</v>
      </c>
      <c r="H54" s="5">
        <f>'25% by 2050 Ag'!H28</f>
        <v>0</v>
      </c>
      <c r="I54" s="5">
        <f>'25% by 2050 Ag'!I28</f>
        <v>0</v>
      </c>
      <c r="J54" s="5">
        <f>'25% by 2050 Ag'!J28</f>
        <v>0</v>
      </c>
      <c r="K54" s="5">
        <f>'25% by 2050 Ag'!K28</f>
        <v>0</v>
      </c>
      <c r="L54" s="5">
        <f>'25% by 2050 Ag'!L28</f>
        <v>0</v>
      </c>
      <c r="M54" s="5">
        <f>'25% by 2050 Ag'!M28</f>
        <v>0</v>
      </c>
      <c r="N54" s="5">
        <f>'25% by 2050 Ag'!N28</f>
        <v>0</v>
      </c>
      <c r="O54" s="5">
        <f>'25% by 2050 Ag'!O28</f>
        <v>0</v>
      </c>
      <c r="P54" s="5">
        <f>'25% by 2050 Ag'!P28</f>
        <v>0</v>
      </c>
      <c r="Q54" s="5">
        <f>'25% by 2050 Ag'!Q28</f>
        <v>0</v>
      </c>
      <c r="R54" s="5">
        <f>'25% by 2050 Ag'!R28</f>
        <v>0</v>
      </c>
      <c r="S54" s="5">
        <f>'25% by 2050 Ag'!S28</f>
        <v>0</v>
      </c>
      <c r="T54" s="5">
        <f>'25% by 2050 Ag'!T28</f>
        <v>0</v>
      </c>
      <c r="U54" s="5">
        <f>'25% by 2050 Ag'!U28</f>
        <v>0</v>
      </c>
      <c r="V54" s="5">
        <f>'25% by 2050 Ag'!V28</f>
        <v>0</v>
      </c>
      <c r="W54" s="5">
        <f>'25% by 2050 Ag'!W28</f>
        <v>0</v>
      </c>
      <c r="X54" s="5">
        <f>'25% by 2050 Ag'!X28</f>
        <v>0</v>
      </c>
      <c r="Y54" s="5">
        <f>'25% by 2050 Ag'!Y28</f>
        <v>0</v>
      </c>
      <c r="Z54" s="5">
        <f>'25% by 2050 Ag'!Z28</f>
        <v>0</v>
      </c>
      <c r="AA54" s="5">
        <f>'25% by 2050 Ag'!AA28</f>
        <v>0</v>
      </c>
      <c r="AB54" s="5">
        <f>'25% by 2050 Ag'!AB28</f>
        <v>0</v>
      </c>
      <c r="AC54" s="5">
        <f>'25% by 2050 Ag'!AC28</f>
        <v>0</v>
      </c>
      <c r="AD54" s="5">
        <f>'25% by 2050 Ag'!AD28</f>
        <v>0</v>
      </c>
      <c r="AE54" s="5">
        <f>'25% by 2050 Ag'!AE28</f>
        <v>0</v>
      </c>
      <c r="AF54" s="48">
        <f>'25% by 2050 Ag'!AF28</f>
        <v>778374.70567275002</v>
      </c>
      <c r="AG54" s="48">
        <f>'25% by 2050 Ag'!AG28</f>
        <v>1535022.1093097155</v>
      </c>
      <c r="AH54" s="48">
        <f>'25% by 2050 Ag'!AH28</f>
        <v>2270889.154513876</v>
      </c>
      <c r="AI54" s="48">
        <f>'25% by 2050 Ag'!AI28</f>
        <v>2986866.5307719884</v>
      </c>
      <c r="AJ54" s="48">
        <f>'25% by 2050 Ag'!AJ28</f>
        <v>3683792.8982335599</v>
      </c>
      <c r="AK54" s="48">
        <f>'25% by 2050 Ag'!AK28</f>
        <v>4362458.7303994726</v>
      </c>
      <c r="AL54" s="48">
        <f>'25% by 2050 Ag'!AL28</f>
        <v>5023609.8149621096</v>
      </c>
      <c r="AM54" s="48">
        <f>'25% by 2050 Ag'!AM28</f>
        <v>5667950.4482213622</v>
      </c>
      <c r="AN54" s="48">
        <f>'25% by 2050 Ag'!AN28</f>
        <v>6296146.3543270566</v>
      </c>
      <c r="AO54" s="48">
        <f>'25% by 2050 Ag'!AO28</f>
        <v>6908827.3569737086</v>
      </c>
      <c r="AP54" s="48">
        <f>'25% by 2050 Ag'!AP28</f>
        <v>7515181.8335191449</v>
      </c>
      <c r="AQ54" s="48">
        <f>'25% by 2050 Ag'!AQ28</f>
        <v>8613695.5486764461</v>
      </c>
      <c r="AR54" s="48">
        <f>'25% by 2050 Ag'!AR28</f>
        <v>10091710.215177305</v>
      </c>
      <c r="AS54" s="48">
        <f>'25% by 2050 Ag'!AS28</f>
        <v>10296365.485343222</v>
      </c>
      <c r="AT54" s="48">
        <f>'25% by 2050 Ag'!AT28</f>
        <v>12914628.496858951</v>
      </c>
      <c r="AU54" s="48">
        <f>'25% by 2050 Ag'!AU28</f>
        <v>17405074.823177025</v>
      </c>
      <c r="AV54" s="48">
        <f>'25% by 2050 Ag'!AV28</f>
        <v>22085449.70506895</v>
      </c>
      <c r="AW54" s="48">
        <f>'25% by 2050 Ag'!AW28</f>
        <v>28488573.549461856</v>
      </c>
      <c r="AX54" s="48">
        <f>'25% by 2050 Ag'!AX28</f>
        <v>35581088.29499279</v>
      </c>
      <c r="AY54" s="48">
        <f>'25% by 2050 Ag'!AY28</f>
        <v>40062127.00281693</v>
      </c>
      <c r="AZ54" s="48">
        <f>'25% by 2050 Ag'!AZ28</f>
        <v>44462577.950583547</v>
      </c>
      <c r="BA54" s="48">
        <f>'25% by 2050 Ag'!BA28</f>
        <v>48784631.739637792</v>
      </c>
      <c r="BB54" s="48">
        <f>'25% by 2050 Ag'!BB28</f>
        <v>53030399.367209017</v>
      </c>
      <c r="BC54" s="48">
        <f>'25% by 2050 Ag'!BC28</f>
        <v>57201915.846381441</v>
      </c>
      <c r="BD54" s="48">
        <f>'25% by 2050 Ag'!BD28</f>
        <v>61301143.628565356</v>
      </c>
      <c r="BE54" s="48">
        <f>'25% by 2050 Ag'!BE28</f>
        <v>65329975.841022998</v>
      </c>
      <c r="BF54" s="48">
        <f>'25% by 2050 Ag'!BF28</f>
        <v>69290239.351093575</v>
      </c>
      <c r="BG54" s="48">
        <f>'25% by 2050 Ag'!BG28</f>
        <v>73183697.667925835</v>
      </c>
      <c r="BH54" s="48">
        <f>'25% by 2050 Ag'!BH28</f>
        <v>77012045.219639331</v>
      </c>
      <c r="BI54" s="48">
        <f>'25% by 2050 Ag'!BI28</f>
        <v>101528472.96242721</v>
      </c>
      <c r="BJ54" s="48">
        <f>'25% by 2050 Ag'!BJ28</f>
        <v>122851592.28334096</v>
      </c>
      <c r="BK54" s="48">
        <f>'25% by 2050 Ag'!BK28</f>
        <v>143794570.62429976</v>
      </c>
      <c r="BL54" s="48">
        <f>'25% by 2050 Ag'!BL28</f>
        <v>164367054.85666654</v>
      </c>
      <c r="BM54" s="48">
        <f>'25% by 2050 Ag'!BM28</f>
        <v>184578366.62866968</v>
      </c>
      <c r="BN54" s="48">
        <f>'25% by 2050 Ag'!BN28</f>
        <v>204437516.16394019</v>
      </c>
      <c r="BO54" s="48">
        <f>'25% by 2050 Ag'!BO28</f>
        <v>223953215.35754138</v>
      </c>
      <c r="BP54" s="48">
        <f>'25% by 2050 Ag'!BP28</f>
        <v>243133890.2109828</v>
      </c>
      <c r="BQ54" s="48">
        <f>'25% by 2050 Ag'!BQ28</f>
        <v>261987692.6449317</v>
      </c>
      <c r="BR54" s="48">
        <f>'25% by 2050 Ag'!BR28</f>
        <v>280522511.72576308</v>
      </c>
      <c r="BS54" s="48">
        <f>'25% by 2050 Ag'!BS28</f>
        <v>298745984.33970988</v>
      </c>
      <c r="BT54" s="48">
        <f>'25% by 2050 Ag'!BT28</f>
        <v>316665505.34616733</v>
      </c>
      <c r="BU54" s="48">
        <f>'25% by 2050 Ag'!BU28</f>
        <v>334288237.23966336</v>
      </c>
      <c r="BV54" s="48">
        <f>'25% by 2050 Ag'!BV28</f>
        <v>351621119.34810567</v>
      </c>
      <c r="BW54" s="48">
        <f>'25% by 2050 Ag'!BW28</f>
        <v>368670876.59316033</v>
      </c>
      <c r="BX54" s="48">
        <f>'25% by 2050 Ag'!BX28</f>
        <v>385444027.83697653</v>
      </c>
      <c r="BY54" s="48">
        <f>'25% by 2050 Ag'!BY28</f>
        <v>401946893.83795393</v>
      </c>
      <c r="BZ54" s="48">
        <f>'25% by 2050 Ag'!BZ28</f>
        <v>418185604.83683813</v>
      </c>
      <c r="CA54" s="48">
        <f>'25% by 2050 Ag'!CA28</f>
        <v>434166107.79310703</v>
      </c>
      <c r="CB54" s="48">
        <f>'25% by 2050 Ag'!CB28</f>
        <v>449894173.29039776</v>
      </c>
      <c r="CC54" s="48">
        <f>'25% by 2050 Ag'!CC28</f>
        <v>465375402.12857032</v>
      </c>
      <c r="CD54" s="48">
        <f>'25% by 2050 Ag'!CD28</f>
        <v>480615231.61895174</v>
      </c>
      <c r="CE54" s="48">
        <f>'25% by 2050 Ag'!CE28</f>
        <v>495618941.59830558</v>
      </c>
      <c r="CF54" s="48">
        <f>'25% by 2050 Ag'!CF28</f>
        <v>510391660.17615354</v>
      </c>
      <c r="CG54" s="48">
        <f>'25% by 2050 Ag'!CG28</f>
        <v>524938369.22920406</v>
      </c>
      <c r="CH54" s="48">
        <f>'25% by 2050 Ag'!CH28</f>
        <v>539263909.6558429</v>
      </c>
      <c r="CI54" s="48">
        <f>'25% by 2050 Ag'!CI28</f>
        <v>553372986.40288544</v>
      </c>
      <c r="CJ54" s="48">
        <f>'25% by 2050 Ag'!CJ28</f>
        <v>567270173.27608275</v>
      </c>
      <c r="CK54" s="48">
        <f>'25% by 2050 Ag'!CK28</f>
        <v>580959917.54521799</v>
      </c>
      <c r="CL54" s="48">
        <f>'25% by 2050 Ag'!CL28</f>
        <v>594446544.35400867</v>
      </c>
      <c r="CM54" s="48">
        <f>'25% by 2050 Ag'!CM28</f>
        <v>607734260.94445908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1"/>
  <sheetViews>
    <sheetView topLeftCell="A40" workbookViewId="0">
      <selection activeCell="I68" sqref="A61:I68"/>
    </sheetView>
  </sheetViews>
  <sheetFormatPr defaultRowHeight="15" x14ac:dyDescent="0.25"/>
  <cols>
    <col min="2" max="2" width="18.5703125" customWidth="1"/>
    <col min="3" max="3" width="21.5703125" customWidth="1"/>
    <col min="4" max="4" width="48" customWidth="1"/>
    <col min="9" max="17" width="23.42578125" customWidth="1"/>
  </cols>
  <sheetData>
    <row r="1" spans="1:16" x14ac:dyDescent="0.25">
      <c r="A1" t="s">
        <v>8</v>
      </c>
    </row>
    <row r="2" spans="1:16" x14ac:dyDescent="0.25">
      <c r="A2" t="s">
        <v>23</v>
      </c>
      <c r="B2" t="s">
        <v>28</v>
      </c>
      <c r="C2" t="s">
        <v>9</v>
      </c>
      <c r="D2" t="s">
        <v>10</v>
      </c>
      <c r="F2" t="s">
        <v>29</v>
      </c>
    </row>
    <row r="3" spans="1:16" x14ac:dyDescent="0.25">
      <c r="A3" s="3">
        <v>1</v>
      </c>
      <c r="B3" s="20" t="s">
        <v>11</v>
      </c>
      <c r="C3" s="20" t="s">
        <v>12</v>
      </c>
      <c r="D3" s="20" t="s">
        <v>0</v>
      </c>
      <c r="G3" s="4" t="s">
        <v>30</v>
      </c>
      <c r="H3">
        <v>1991</v>
      </c>
    </row>
    <row r="4" spans="1:16" x14ac:dyDescent="0.25">
      <c r="A4" s="20"/>
      <c r="B4" s="20"/>
      <c r="C4" s="20"/>
      <c r="D4" s="20" t="s">
        <v>3</v>
      </c>
      <c r="G4" s="4" t="s">
        <v>31</v>
      </c>
      <c r="H4">
        <v>2050</v>
      </c>
    </row>
    <row r="5" spans="1:16" x14ac:dyDescent="0.25">
      <c r="A5" s="20"/>
      <c r="B5" s="20"/>
      <c r="C5" s="20"/>
      <c r="D5" s="20" t="s">
        <v>4</v>
      </c>
    </row>
    <row r="6" spans="1:16" x14ac:dyDescent="0.25">
      <c r="A6" s="20"/>
      <c r="B6" s="20"/>
      <c r="C6" s="20"/>
      <c r="D6" s="20" t="s">
        <v>5</v>
      </c>
      <c r="G6" t="s">
        <v>32</v>
      </c>
      <c r="I6" t="s">
        <v>59</v>
      </c>
    </row>
    <row r="7" spans="1:16" x14ac:dyDescent="0.25">
      <c r="A7" s="20"/>
      <c r="B7" s="20"/>
      <c r="C7" s="20"/>
      <c r="D7" s="20" t="s">
        <v>6</v>
      </c>
      <c r="H7" t="s">
        <v>34</v>
      </c>
      <c r="I7" t="s">
        <v>35</v>
      </c>
      <c r="J7" t="s">
        <v>36</v>
      </c>
      <c r="K7" t="s">
        <v>57</v>
      </c>
      <c r="L7" t="s">
        <v>58</v>
      </c>
    </row>
    <row r="8" spans="1:16" x14ac:dyDescent="0.25">
      <c r="A8" s="20"/>
      <c r="B8" s="20"/>
      <c r="C8" s="20"/>
      <c r="D8" s="20" t="s">
        <v>7</v>
      </c>
      <c r="H8" t="s">
        <v>38</v>
      </c>
      <c r="I8" s="33">
        <v>160408800</v>
      </c>
      <c r="J8">
        <v>265020200</v>
      </c>
      <c r="K8">
        <v>297107000</v>
      </c>
      <c r="L8" s="33">
        <v>19190000</v>
      </c>
    </row>
    <row r="9" spans="1:16" x14ac:dyDescent="0.25">
      <c r="A9" s="20"/>
      <c r="B9" s="20"/>
      <c r="C9" s="20" t="s">
        <v>27</v>
      </c>
      <c r="D9" s="21" t="s">
        <v>13</v>
      </c>
    </row>
    <row r="10" spans="1:16" x14ac:dyDescent="0.25">
      <c r="A10" s="20"/>
      <c r="B10" s="20"/>
      <c r="C10" s="20"/>
      <c r="D10" s="21" t="s">
        <v>15</v>
      </c>
      <c r="H10" s="41"/>
    </row>
    <row r="11" spans="1:16" x14ac:dyDescent="0.25">
      <c r="A11" s="20"/>
      <c r="B11" s="20"/>
      <c r="C11" s="20"/>
      <c r="D11" s="21" t="s">
        <v>14</v>
      </c>
      <c r="H11" s="41" t="s">
        <v>39</v>
      </c>
      <c r="I11">
        <v>122366500</v>
      </c>
      <c r="J11">
        <v>76008500</v>
      </c>
      <c r="K11">
        <v>141287410</v>
      </c>
      <c r="L11" s="27">
        <v>414800000</v>
      </c>
    </row>
    <row r="12" spans="1:16" x14ac:dyDescent="0.25">
      <c r="A12" s="20"/>
      <c r="B12" s="20"/>
      <c r="C12" s="20"/>
      <c r="D12" s="21" t="s">
        <v>16</v>
      </c>
      <c r="H12" s="41" t="s">
        <v>40</v>
      </c>
      <c r="I12">
        <v>56409850</v>
      </c>
      <c r="J12">
        <v>190299150</v>
      </c>
      <c r="K12">
        <v>569059800</v>
      </c>
      <c r="L12" s="41">
        <v>0</v>
      </c>
    </row>
    <row r="13" spans="1:16" x14ac:dyDescent="0.25">
      <c r="A13" s="20"/>
      <c r="B13" s="20"/>
      <c r="C13" s="20"/>
      <c r="D13" s="21" t="s">
        <v>17</v>
      </c>
      <c r="H13" s="41" t="s">
        <v>37</v>
      </c>
      <c r="I13">
        <v>45542000</v>
      </c>
      <c r="J13" s="41">
        <v>22272000</v>
      </c>
      <c r="K13" s="41">
        <v>310134000</v>
      </c>
      <c r="L13" s="41">
        <v>0</v>
      </c>
      <c r="N13" s="41"/>
      <c r="P13" s="41"/>
    </row>
    <row r="14" spans="1:16" x14ac:dyDescent="0.25">
      <c r="A14" s="20"/>
      <c r="B14" s="20"/>
      <c r="C14" s="20"/>
      <c r="D14" s="21" t="s">
        <v>18</v>
      </c>
      <c r="H14" s="41" t="s">
        <v>41</v>
      </c>
      <c r="I14">
        <v>4929300</v>
      </c>
      <c r="J14" s="41">
        <v>685700</v>
      </c>
      <c r="K14">
        <v>24935200</v>
      </c>
      <c r="L14" s="41">
        <v>0</v>
      </c>
      <c r="N14" s="41"/>
      <c r="P14" s="41"/>
    </row>
    <row r="15" spans="1:16" x14ac:dyDescent="0.25">
      <c r="A15" s="20"/>
      <c r="B15" s="20" t="s">
        <v>19</v>
      </c>
      <c r="C15" s="20" t="s">
        <v>20</v>
      </c>
      <c r="D15" s="20" t="s">
        <v>21</v>
      </c>
      <c r="H15" s="41" t="s">
        <v>42</v>
      </c>
      <c r="I15">
        <v>126164900</v>
      </c>
      <c r="J15" s="41">
        <v>406219100</v>
      </c>
      <c r="K15">
        <v>161112580</v>
      </c>
      <c r="L15" s="41">
        <v>0</v>
      </c>
      <c r="N15" s="41"/>
      <c r="P15" s="41"/>
    </row>
    <row r="16" spans="1:16" x14ac:dyDescent="0.25">
      <c r="A16" s="20"/>
      <c r="B16" s="20"/>
      <c r="C16" s="20"/>
      <c r="D16" s="20" t="s">
        <v>22</v>
      </c>
      <c r="H16" s="41" t="s">
        <v>43</v>
      </c>
      <c r="I16">
        <v>161635150</v>
      </c>
      <c r="J16" s="41">
        <v>19402850</v>
      </c>
      <c r="K16">
        <v>64374300</v>
      </c>
      <c r="L16" s="41">
        <v>0</v>
      </c>
      <c r="N16" s="41"/>
      <c r="P16" s="41"/>
    </row>
    <row r="17" spans="1:17" x14ac:dyDescent="0.25">
      <c r="H17" s="41" t="s">
        <v>44</v>
      </c>
      <c r="I17">
        <v>39321840</v>
      </c>
      <c r="J17" s="41">
        <v>95692860</v>
      </c>
      <c r="K17">
        <v>100559700</v>
      </c>
      <c r="L17" s="41">
        <v>0</v>
      </c>
      <c r="N17" s="41"/>
      <c r="P17" s="41"/>
    </row>
    <row r="18" spans="1:17" x14ac:dyDescent="0.25">
      <c r="A18" s="22">
        <v>2</v>
      </c>
      <c r="B18" s="16" t="s">
        <v>11</v>
      </c>
      <c r="C18" s="16" t="s">
        <v>24</v>
      </c>
      <c r="D18" s="29" t="s">
        <v>0</v>
      </c>
      <c r="H18" s="41" t="s">
        <v>45</v>
      </c>
      <c r="I18">
        <v>50341950</v>
      </c>
      <c r="J18" s="41">
        <v>260757050</v>
      </c>
      <c r="K18">
        <v>368967800</v>
      </c>
      <c r="L18" s="41">
        <v>0</v>
      </c>
      <c r="N18" s="41"/>
      <c r="P18" s="41"/>
    </row>
    <row r="19" spans="1:17" x14ac:dyDescent="0.25">
      <c r="A19" s="16"/>
      <c r="B19" s="16"/>
      <c r="C19" s="16"/>
      <c r="D19" s="29" t="s">
        <v>3</v>
      </c>
      <c r="H19" s="41" t="s">
        <v>46</v>
      </c>
      <c r="I19">
        <v>5635</v>
      </c>
      <c r="J19" s="41">
        <v>122621</v>
      </c>
      <c r="K19">
        <v>26673200</v>
      </c>
      <c r="L19" s="41">
        <v>0</v>
      </c>
      <c r="N19" s="41"/>
      <c r="P19" s="41"/>
    </row>
    <row r="20" spans="1:17" x14ac:dyDescent="0.25">
      <c r="A20" s="16"/>
      <c r="B20" s="16"/>
      <c r="C20" s="16"/>
      <c r="D20" s="29" t="s">
        <v>4</v>
      </c>
      <c r="H20" s="41" t="s">
        <v>47</v>
      </c>
      <c r="I20">
        <v>35948500</v>
      </c>
      <c r="J20" s="41">
        <v>13077500</v>
      </c>
      <c r="K20">
        <v>136936800</v>
      </c>
      <c r="L20" s="41">
        <v>0</v>
      </c>
      <c r="N20" s="41"/>
      <c r="P20" s="41"/>
    </row>
    <row r="21" spans="1:17" x14ac:dyDescent="0.25">
      <c r="A21" s="16"/>
      <c r="B21" s="16"/>
      <c r="C21" s="16"/>
      <c r="D21" s="29" t="s">
        <v>5</v>
      </c>
      <c r="H21" s="41" t="s">
        <v>48</v>
      </c>
      <c r="I21">
        <v>49894450</v>
      </c>
      <c r="J21" s="41">
        <v>6538750</v>
      </c>
      <c r="K21">
        <v>105480500</v>
      </c>
      <c r="L21" s="41">
        <v>0</v>
      </c>
      <c r="N21" s="41"/>
      <c r="P21" s="41"/>
    </row>
    <row r="22" spans="1:17" x14ac:dyDescent="0.25">
      <c r="A22" s="16"/>
      <c r="B22" s="16"/>
      <c r="C22" s="16"/>
      <c r="D22" s="29" t="s">
        <v>6</v>
      </c>
      <c r="H22" s="41" t="s">
        <v>49</v>
      </c>
      <c r="I22">
        <v>40480900</v>
      </c>
      <c r="J22" s="41">
        <v>40171100</v>
      </c>
      <c r="K22">
        <v>15270700</v>
      </c>
      <c r="L22" s="41">
        <v>0</v>
      </c>
      <c r="N22" s="41"/>
      <c r="P22" s="41"/>
    </row>
    <row r="23" spans="1:17" x14ac:dyDescent="0.25">
      <c r="A23" s="16"/>
      <c r="B23" s="16"/>
      <c r="C23" s="16"/>
      <c r="D23" s="29" t="s">
        <v>7</v>
      </c>
      <c r="H23" s="41" t="s">
        <v>50</v>
      </c>
      <c r="I23">
        <v>124818100</v>
      </c>
      <c r="J23" s="41">
        <v>93976900</v>
      </c>
      <c r="K23">
        <v>809045500</v>
      </c>
      <c r="L23" s="41">
        <v>0</v>
      </c>
      <c r="N23" s="41"/>
      <c r="P23" s="41"/>
    </row>
    <row r="24" spans="1:17" x14ac:dyDescent="0.25">
      <c r="A24" s="16"/>
      <c r="B24" s="16"/>
      <c r="C24" s="26" t="s">
        <v>27</v>
      </c>
      <c r="D24" s="18" t="s">
        <v>13</v>
      </c>
      <c r="H24" s="41" t="s">
        <v>51</v>
      </c>
      <c r="I24">
        <v>177782575</v>
      </c>
      <c r="J24" s="41">
        <v>266365625</v>
      </c>
      <c r="K24">
        <v>69822600</v>
      </c>
      <c r="L24" s="41">
        <v>0</v>
      </c>
      <c r="N24" s="41"/>
      <c r="P24" s="41"/>
    </row>
    <row r="25" spans="1:17" x14ac:dyDescent="0.25">
      <c r="A25" s="16"/>
      <c r="B25" s="16"/>
      <c r="C25" s="16"/>
      <c r="D25" s="18" t="s">
        <v>15</v>
      </c>
      <c r="H25" s="41" t="s">
        <v>52</v>
      </c>
      <c r="I25">
        <v>1262100</v>
      </c>
      <c r="J25" s="41">
        <v>3608900</v>
      </c>
      <c r="K25">
        <v>10341040</v>
      </c>
      <c r="L25" s="41">
        <v>0</v>
      </c>
      <c r="N25" s="41"/>
      <c r="P25" s="41"/>
    </row>
    <row r="26" spans="1:17" x14ac:dyDescent="0.25">
      <c r="A26" s="16"/>
      <c r="B26" s="16"/>
      <c r="C26" s="16"/>
      <c r="D26" s="18" t="s">
        <v>14</v>
      </c>
      <c r="H26" s="41" t="s">
        <v>53</v>
      </c>
      <c r="I26">
        <v>61498865</v>
      </c>
      <c r="J26" s="41">
        <v>279712835</v>
      </c>
      <c r="K26">
        <v>22774380</v>
      </c>
      <c r="L26" s="41">
        <v>0</v>
      </c>
      <c r="N26" s="41"/>
      <c r="P26" s="41"/>
    </row>
    <row r="27" spans="1:17" x14ac:dyDescent="0.25">
      <c r="A27" s="16"/>
      <c r="B27" s="16"/>
      <c r="C27" s="16"/>
      <c r="D27" s="18" t="s">
        <v>16</v>
      </c>
      <c r="H27" s="41" t="s">
        <v>54</v>
      </c>
      <c r="I27">
        <v>173909900</v>
      </c>
      <c r="J27" s="41">
        <v>833409100</v>
      </c>
      <c r="K27">
        <v>732758790</v>
      </c>
      <c r="L27" s="41">
        <v>0</v>
      </c>
      <c r="N27" s="41"/>
      <c r="P27" s="41"/>
    </row>
    <row r="28" spans="1:17" x14ac:dyDescent="0.25">
      <c r="A28" s="16"/>
      <c r="B28" s="16"/>
      <c r="C28" s="16"/>
      <c r="D28" s="18" t="s">
        <v>17</v>
      </c>
      <c r="H28" s="41" t="s">
        <v>55</v>
      </c>
      <c r="I28">
        <v>48397800</v>
      </c>
      <c r="J28" s="41">
        <v>435740000</v>
      </c>
      <c r="K28">
        <v>198523130</v>
      </c>
      <c r="L28" s="41">
        <v>0</v>
      </c>
      <c r="N28" s="41"/>
      <c r="P28" s="41"/>
    </row>
    <row r="29" spans="1:17" x14ac:dyDescent="0.25">
      <c r="A29" s="16"/>
      <c r="B29" s="16"/>
      <c r="C29" s="16"/>
      <c r="D29" s="18" t="s">
        <v>18</v>
      </c>
      <c r="H29" s="37" t="s">
        <v>56</v>
      </c>
      <c r="I29" s="37">
        <f>SUM(I11:I28)</f>
        <v>1320710315</v>
      </c>
      <c r="J29" s="37">
        <f t="shared" ref="J29:L29" si="0">SUM(J11:J28)</f>
        <v>3044060541</v>
      </c>
      <c r="K29" s="37">
        <f t="shared" si="0"/>
        <v>3868057430</v>
      </c>
      <c r="L29" s="37">
        <f t="shared" si="0"/>
        <v>414800000</v>
      </c>
      <c r="M29" s="37"/>
      <c r="N29" s="37"/>
      <c r="O29" s="37"/>
      <c r="P29" s="37"/>
      <c r="Q29" s="39"/>
    </row>
    <row r="30" spans="1:17" x14ac:dyDescent="0.25">
      <c r="A30" s="16"/>
      <c r="B30" s="16" t="s">
        <v>19</v>
      </c>
      <c r="C30" s="16" t="s">
        <v>20</v>
      </c>
      <c r="D30" s="16" t="s">
        <v>21</v>
      </c>
    </row>
    <row r="31" spans="1:17" x14ac:dyDescent="0.25">
      <c r="A31" s="16"/>
      <c r="B31" s="16"/>
      <c r="C31" s="16"/>
      <c r="D31" s="16" t="s">
        <v>22</v>
      </c>
    </row>
    <row r="33" spans="1:7" x14ac:dyDescent="0.25">
      <c r="A33" s="31">
        <v>3</v>
      </c>
      <c r="B33" s="1" t="s">
        <v>11</v>
      </c>
      <c r="C33" s="1" t="s">
        <v>12</v>
      </c>
      <c r="D33" s="1" t="s">
        <v>0</v>
      </c>
      <c r="G33" s="1" t="s">
        <v>60</v>
      </c>
    </row>
    <row r="34" spans="1:7" x14ac:dyDescent="0.25">
      <c r="A34" s="1"/>
      <c r="B34" s="1"/>
      <c r="C34" s="1"/>
      <c r="D34" s="1" t="s">
        <v>3</v>
      </c>
      <c r="G34" t="s">
        <v>61</v>
      </c>
    </row>
    <row r="35" spans="1:7" x14ac:dyDescent="0.25">
      <c r="A35" s="1"/>
      <c r="B35" s="1"/>
      <c r="C35" s="1"/>
      <c r="D35" s="1" t="s">
        <v>4</v>
      </c>
      <c r="G35" t="s">
        <v>62</v>
      </c>
    </row>
    <row r="36" spans="1:7" x14ac:dyDescent="0.25">
      <c r="A36" s="1"/>
      <c r="B36" s="1"/>
      <c r="C36" s="1"/>
      <c r="D36" s="1" t="s">
        <v>5</v>
      </c>
      <c r="G36" t="s">
        <v>63</v>
      </c>
    </row>
    <row r="37" spans="1:7" x14ac:dyDescent="0.25">
      <c r="A37" s="1"/>
      <c r="B37" s="1"/>
      <c r="C37" s="1"/>
      <c r="D37" s="1" t="s">
        <v>6</v>
      </c>
      <c r="G37" t="s">
        <v>64</v>
      </c>
    </row>
    <row r="38" spans="1:7" x14ac:dyDescent="0.25">
      <c r="A38" s="1"/>
      <c r="B38" s="1"/>
      <c r="C38" s="1"/>
      <c r="D38" s="1" t="s">
        <v>7</v>
      </c>
      <c r="G38" t="s">
        <v>65</v>
      </c>
    </row>
    <row r="39" spans="1:7" x14ac:dyDescent="0.25">
      <c r="A39" s="1"/>
      <c r="B39" s="1"/>
      <c r="C39" s="1" t="s">
        <v>27</v>
      </c>
      <c r="D39" s="32" t="s">
        <v>13</v>
      </c>
      <c r="G39" t="s">
        <v>66</v>
      </c>
    </row>
    <row r="40" spans="1:7" x14ac:dyDescent="0.25">
      <c r="A40" s="1"/>
      <c r="B40" s="1"/>
      <c r="C40" s="1"/>
      <c r="D40" s="32" t="s">
        <v>15</v>
      </c>
    </row>
    <row r="41" spans="1:7" x14ac:dyDescent="0.25">
      <c r="A41" s="1"/>
      <c r="B41" s="1"/>
      <c r="C41" s="1"/>
      <c r="D41" s="32" t="s">
        <v>14</v>
      </c>
      <c r="G41" t="s">
        <v>67</v>
      </c>
    </row>
    <row r="42" spans="1:7" x14ac:dyDescent="0.25">
      <c r="A42" s="1"/>
      <c r="B42" s="1"/>
      <c r="C42" s="1"/>
      <c r="D42" s="32" t="s">
        <v>16</v>
      </c>
    </row>
    <row r="43" spans="1:7" x14ac:dyDescent="0.25">
      <c r="A43" s="1"/>
      <c r="B43" s="1"/>
      <c r="C43" s="1"/>
      <c r="D43" s="32" t="s">
        <v>17</v>
      </c>
    </row>
    <row r="44" spans="1:7" x14ac:dyDescent="0.25">
      <c r="A44" s="1"/>
      <c r="B44" s="1"/>
      <c r="C44" s="1"/>
      <c r="D44" s="32" t="s">
        <v>18</v>
      </c>
    </row>
    <row r="45" spans="1:7" x14ac:dyDescent="0.25">
      <c r="A45" s="1"/>
      <c r="B45" s="1" t="s">
        <v>25</v>
      </c>
      <c r="C45" s="1" t="s">
        <v>26</v>
      </c>
      <c r="D45" s="30" t="s">
        <v>21</v>
      </c>
    </row>
    <row r="46" spans="1:7" x14ac:dyDescent="0.25">
      <c r="A46" s="1"/>
      <c r="B46" s="1"/>
      <c r="C46" s="1"/>
      <c r="D46" s="30" t="s">
        <v>22</v>
      </c>
    </row>
    <row r="48" spans="1:7" x14ac:dyDescent="0.25">
      <c r="A48" s="35">
        <v>3</v>
      </c>
      <c r="B48" s="36" t="s">
        <v>11</v>
      </c>
      <c r="C48" s="36" t="s">
        <v>24</v>
      </c>
      <c r="D48" s="38" t="s">
        <v>0</v>
      </c>
    </row>
    <row r="49" spans="1:4" x14ac:dyDescent="0.25">
      <c r="A49" s="36"/>
      <c r="B49" s="36"/>
      <c r="C49" s="36"/>
      <c r="D49" s="38" t="s">
        <v>3</v>
      </c>
    </row>
    <row r="50" spans="1:4" x14ac:dyDescent="0.25">
      <c r="A50" s="36"/>
      <c r="B50" s="36"/>
      <c r="C50" s="36"/>
      <c r="D50" s="38" t="s">
        <v>4</v>
      </c>
    </row>
    <row r="51" spans="1:4" x14ac:dyDescent="0.25">
      <c r="A51" s="36"/>
      <c r="B51" s="36"/>
      <c r="C51" s="36"/>
      <c r="D51" s="38" t="s">
        <v>5</v>
      </c>
    </row>
    <row r="52" spans="1:4" x14ac:dyDescent="0.25">
      <c r="A52" s="36"/>
      <c r="B52" s="36"/>
      <c r="C52" s="36"/>
      <c r="D52" s="38" t="s">
        <v>6</v>
      </c>
    </row>
    <row r="53" spans="1:4" x14ac:dyDescent="0.25">
      <c r="A53" s="36"/>
      <c r="B53" s="36"/>
      <c r="C53" s="36"/>
      <c r="D53" s="38" t="s">
        <v>7</v>
      </c>
    </row>
    <row r="54" spans="1:4" x14ac:dyDescent="0.25">
      <c r="A54" s="36"/>
      <c r="B54" s="36"/>
      <c r="C54" s="36" t="s">
        <v>27</v>
      </c>
      <c r="D54" s="34" t="s">
        <v>13</v>
      </c>
    </row>
    <row r="55" spans="1:4" x14ac:dyDescent="0.25">
      <c r="A55" s="36"/>
      <c r="B55" s="36"/>
      <c r="C55" s="36"/>
      <c r="D55" s="34" t="s">
        <v>15</v>
      </c>
    </row>
    <row r="56" spans="1:4" x14ac:dyDescent="0.25">
      <c r="A56" s="36"/>
      <c r="B56" s="36"/>
      <c r="C56" s="36"/>
      <c r="D56" s="34" t="s">
        <v>14</v>
      </c>
    </row>
    <row r="57" spans="1:4" x14ac:dyDescent="0.25">
      <c r="A57" s="36"/>
      <c r="B57" s="36"/>
      <c r="C57" s="36"/>
      <c r="D57" s="34" t="s">
        <v>16</v>
      </c>
    </row>
    <row r="58" spans="1:4" x14ac:dyDescent="0.25">
      <c r="A58" s="36"/>
      <c r="B58" s="36"/>
      <c r="C58" s="36"/>
      <c r="D58" s="34" t="s">
        <v>17</v>
      </c>
    </row>
    <row r="59" spans="1:4" x14ac:dyDescent="0.25">
      <c r="A59" s="36"/>
      <c r="B59" s="36"/>
      <c r="C59" s="36"/>
      <c r="D59" s="34" t="s">
        <v>18</v>
      </c>
    </row>
    <row r="60" spans="1:4" x14ac:dyDescent="0.25">
      <c r="A60" s="36"/>
      <c r="B60" s="36" t="s">
        <v>25</v>
      </c>
      <c r="C60" s="36" t="s">
        <v>26</v>
      </c>
      <c r="D60" s="38" t="s">
        <v>21</v>
      </c>
    </row>
    <row r="61" spans="1:4" x14ac:dyDescent="0.25">
      <c r="A61" s="36"/>
      <c r="B61" s="36"/>
      <c r="C61" s="36"/>
      <c r="D61" s="38" t="s">
        <v>22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4"/>
  <sheetViews>
    <sheetView workbookViewId="0">
      <selection activeCell="CN9" sqref="CN9"/>
    </sheetView>
  </sheetViews>
  <sheetFormatPr defaultRowHeight="15" x14ac:dyDescent="0.25"/>
  <cols>
    <col min="1" max="1" width="15.42578125" style="52" bestFit="1" customWidth="1"/>
    <col min="2" max="16384" width="9.140625" style="52"/>
  </cols>
  <sheetData>
    <row r="1" spans="1:91" x14ac:dyDescent="0.25">
      <c r="B1" s="52">
        <v>1961</v>
      </c>
      <c r="C1" s="52">
        <v>1962</v>
      </c>
      <c r="D1" s="52">
        <v>1963</v>
      </c>
      <c r="E1" s="52">
        <v>1964</v>
      </c>
      <c r="F1" s="52">
        <v>1965</v>
      </c>
      <c r="G1" s="52">
        <v>1966</v>
      </c>
      <c r="H1" s="52">
        <v>1967</v>
      </c>
      <c r="I1" s="52">
        <v>1968</v>
      </c>
      <c r="J1" s="52">
        <v>1969</v>
      </c>
      <c r="K1" s="52">
        <v>1970</v>
      </c>
      <c r="L1" s="52">
        <v>1971</v>
      </c>
      <c r="M1" s="52">
        <v>1972</v>
      </c>
      <c r="N1" s="52">
        <v>1973</v>
      </c>
      <c r="O1" s="52">
        <v>1974</v>
      </c>
      <c r="P1" s="52">
        <v>1975</v>
      </c>
      <c r="Q1" s="52">
        <v>1976</v>
      </c>
      <c r="R1" s="52">
        <v>1977</v>
      </c>
      <c r="S1" s="52">
        <v>1978</v>
      </c>
      <c r="T1" s="52">
        <v>1979</v>
      </c>
      <c r="U1" s="52">
        <v>1980</v>
      </c>
      <c r="V1" s="52">
        <v>1981</v>
      </c>
      <c r="W1" s="52">
        <v>1982</v>
      </c>
      <c r="X1" s="52">
        <v>1983</v>
      </c>
      <c r="Y1" s="52">
        <v>1984</v>
      </c>
      <c r="Z1" s="52">
        <v>1985</v>
      </c>
      <c r="AA1" s="52">
        <v>1986</v>
      </c>
      <c r="AB1" s="52">
        <v>1987</v>
      </c>
      <c r="AC1" s="52">
        <v>1988</v>
      </c>
      <c r="AD1" s="52">
        <v>1989</v>
      </c>
      <c r="AE1" s="52">
        <v>1990</v>
      </c>
      <c r="AF1" s="52">
        <v>1991</v>
      </c>
      <c r="AG1" s="52">
        <v>1992</v>
      </c>
      <c r="AH1" s="52">
        <v>1993</v>
      </c>
      <c r="AI1" s="52">
        <v>1994</v>
      </c>
      <c r="AJ1" s="52">
        <v>1995</v>
      </c>
      <c r="AK1" s="52">
        <v>1996</v>
      </c>
      <c r="AL1" s="52">
        <v>1997</v>
      </c>
      <c r="AM1" s="52">
        <v>1998</v>
      </c>
      <c r="AN1" s="52">
        <v>1999</v>
      </c>
      <c r="AO1" s="52">
        <v>2000</v>
      </c>
      <c r="AP1" s="52">
        <v>2001</v>
      </c>
      <c r="AQ1" s="52">
        <v>2002</v>
      </c>
      <c r="AR1" s="52">
        <v>2003</v>
      </c>
      <c r="AS1" s="52">
        <v>2004</v>
      </c>
      <c r="AT1" s="52">
        <v>2005</v>
      </c>
      <c r="AU1" s="52">
        <v>2006</v>
      </c>
      <c r="AV1" s="52">
        <v>2007</v>
      </c>
      <c r="AW1" s="52">
        <v>2008</v>
      </c>
      <c r="AX1" s="52">
        <v>2009</v>
      </c>
      <c r="AY1" s="52">
        <v>2010</v>
      </c>
      <c r="AZ1" s="52">
        <v>2011</v>
      </c>
      <c r="BA1" s="52">
        <v>2012</v>
      </c>
      <c r="BB1" s="52">
        <v>2013</v>
      </c>
      <c r="BC1" s="52">
        <v>2014</v>
      </c>
      <c r="BD1" s="52">
        <v>2015</v>
      </c>
      <c r="BE1" s="52">
        <v>2016</v>
      </c>
      <c r="BF1" s="52">
        <v>2017</v>
      </c>
      <c r="BG1" s="52">
        <v>2018</v>
      </c>
      <c r="BH1" s="52">
        <v>2019</v>
      </c>
      <c r="BI1" s="52">
        <v>2020</v>
      </c>
      <c r="BJ1" s="52">
        <v>2021</v>
      </c>
      <c r="BK1" s="52">
        <v>2022</v>
      </c>
      <c r="BL1" s="52">
        <v>2023</v>
      </c>
      <c r="BM1" s="52">
        <v>2024</v>
      </c>
      <c r="BN1" s="52">
        <v>2025</v>
      </c>
      <c r="BO1" s="52">
        <v>2026</v>
      </c>
      <c r="BP1" s="52">
        <v>2027</v>
      </c>
      <c r="BQ1" s="52">
        <v>2028</v>
      </c>
      <c r="BR1" s="52">
        <v>2029</v>
      </c>
      <c r="BS1" s="52">
        <v>2030</v>
      </c>
      <c r="BT1" s="52">
        <v>2031</v>
      </c>
      <c r="BU1" s="52">
        <v>2032</v>
      </c>
      <c r="BV1" s="52">
        <v>2033</v>
      </c>
      <c r="BW1" s="52">
        <v>2034</v>
      </c>
      <c r="BX1" s="52">
        <v>2035</v>
      </c>
      <c r="BY1" s="52">
        <v>2036</v>
      </c>
      <c r="BZ1" s="52">
        <v>2037</v>
      </c>
      <c r="CA1" s="52">
        <v>2038</v>
      </c>
      <c r="CB1" s="52">
        <v>2039</v>
      </c>
      <c r="CC1" s="52">
        <v>2040</v>
      </c>
      <c r="CD1" s="52">
        <v>2041</v>
      </c>
      <c r="CE1" s="52">
        <v>2042</v>
      </c>
      <c r="CF1" s="52">
        <v>2043</v>
      </c>
      <c r="CG1" s="52">
        <v>2044</v>
      </c>
      <c r="CH1" s="52">
        <v>2045</v>
      </c>
      <c r="CI1" s="52">
        <v>2046</v>
      </c>
      <c r="CJ1" s="52">
        <v>2047</v>
      </c>
      <c r="CK1" s="52">
        <v>2048</v>
      </c>
      <c r="CL1" s="52">
        <v>2049</v>
      </c>
      <c r="CM1" s="52">
        <v>2050</v>
      </c>
    </row>
    <row r="2" spans="1:91" x14ac:dyDescent="0.25">
      <c r="A2" s="52" t="s">
        <v>88</v>
      </c>
      <c r="B2" s="52">
        <v>0</v>
      </c>
      <c r="C2" s="52">
        <v>0</v>
      </c>
      <c r="D2" s="52">
        <v>0</v>
      </c>
      <c r="E2" s="52">
        <v>0</v>
      </c>
      <c r="F2" s="52">
        <v>0</v>
      </c>
      <c r="G2" s="52">
        <v>0</v>
      </c>
      <c r="H2" s="52">
        <v>0</v>
      </c>
      <c r="I2" s="52">
        <v>0</v>
      </c>
      <c r="J2" s="52">
        <v>0</v>
      </c>
      <c r="K2" s="52">
        <v>0</v>
      </c>
      <c r="L2" s="52">
        <v>0</v>
      </c>
      <c r="M2" s="52">
        <v>0</v>
      </c>
      <c r="N2" s="52">
        <v>0</v>
      </c>
      <c r="O2" s="52">
        <v>0</v>
      </c>
      <c r="P2" s="52">
        <v>0</v>
      </c>
      <c r="Q2" s="52">
        <v>0</v>
      </c>
      <c r="R2" s="52">
        <v>0</v>
      </c>
      <c r="S2" s="52">
        <v>0</v>
      </c>
      <c r="T2" s="52">
        <v>0</v>
      </c>
      <c r="U2" s="52">
        <v>0</v>
      </c>
      <c r="V2" s="52">
        <v>0</v>
      </c>
      <c r="W2" s="52">
        <v>0</v>
      </c>
      <c r="X2" s="52">
        <v>0</v>
      </c>
      <c r="Y2" s="52">
        <v>0</v>
      </c>
      <c r="Z2" s="52">
        <v>0</v>
      </c>
      <c r="AA2" s="52">
        <v>0</v>
      </c>
      <c r="AB2" s="52">
        <v>0</v>
      </c>
      <c r="AC2" s="52">
        <v>0</v>
      </c>
      <c r="AD2" s="52">
        <v>0</v>
      </c>
      <c r="AE2" s="52">
        <v>0</v>
      </c>
      <c r="AF2" s="52">
        <v>362052.23814890668</v>
      </c>
      <c r="AG2" s="52">
        <v>713197.1688317142</v>
      </c>
      <c r="AH2" s="52">
        <v>1053920.3734722363</v>
      </c>
      <c r="AI2" s="52">
        <v>1384679.0315619507</v>
      </c>
      <c r="AJ2" s="52">
        <v>1705903.9672892469</v>
      </c>
      <c r="AK2" s="52">
        <v>2018001.5217080677</v>
      </c>
      <c r="AL2" s="52">
        <v>2321355.2675530217</v>
      </c>
      <c r="AM2" s="52">
        <v>2616327.5819174112</v>
      </c>
      <c r="AN2" s="52">
        <v>2903261.0903518712</v>
      </c>
      <c r="AO2" s="52">
        <v>3182479.9944832348</v>
      </c>
      <c r="AP2" s="52">
        <v>3426203.2706303596</v>
      </c>
      <c r="AQ2" s="52">
        <v>4099611.705200511</v>
      </c>
      <c r="AR2" s="52">
        <v>5302568.9229361145</v>
      </c>
      <c r="AS2" s="52">
        <v>6337478.9155522091</v>
      </c>
      <c r="AT2" s="52">
        <v>7196282.0242403457</v>
      </c>
      <c r="AU2" s="52">
        <v>8890469.8267315794</v>
      </c>
      <c r="AV2" s="52">
        <v>11817403.669567054</v>
      </c>
      <c r="AW2" s="52">
        <v>16628892.472823484</v>
      </c>
      <c r="AX2" s="52">
        <v>17981467.125449497</v>
      </c>
      <c r="AY2" s="52">
        <v>19322308.086294051</v>
      </c>
      <c r="AZ2" s="52">
        <v>20651567.381988008</v>
      </c>
      <c r="BA2" s="52">
        <v>21969394.424161527</v>
      </c>
      <c r="BB2" s="52">
        <v>23275936.065428935</v>
      </c>
      <c r="BC2" s="52">
        <v>24571336.653941341</v>
      </c>
      <c r="BD2" s="52">
        <v>25855738.086549751</v>
      </c>
      <c r="BE2" s="52">
        <v>27129279.860619571</v>
      </c>
      <c r="BF2" s="52">
        <v>28392099.124536492</v>
      </c>
      <c r="BG2" s="52">
        <v>29644330.726941921</v>
      </c>
      <c r="BH2" s="52">
        <v>30886108.174233552</v>
      </c>
      <c r="BI2" s="52">
        <v>30757707.875701215</v>
      </c>
      <c r="BJ2" s="52">
        <v>30630370.733573735</v>
      </c>
      <c r="BK2" s="52">
        <v>30504083.5978656</v>
      </c>
      <c r="BL2" s="52">
        <v>30378833.534567155</v>
      </c>
      <c r="BM2" s="52">
        <v>30254607.82122878</v>
      </c>
      <c r="BN2" s="52">
        <v>30131393.942652877</v>
      </c>
      <c r="BO2" s="52">
        <v>30009179.586690791</v>
      </c>
      <c r="BP2" s="52">
        <v>29887952.640141539</v>
      </c>
      <c r="BQ2" s="52">
        <v>29767701.184749603</v>
      </c>
      <c r="BR2" s="52">
        <v>29648413.493298877</v>
      </c>
      <c r="BS2" s="52">
        <v>29530078.025800221</v>
      </c>
      <c r="BT2" s="52">
        <v>29412683.425769936</v>
      </c>
      <c r="BU2" s="52">
        <v>29296218.516596623</v>
      </c>
      <c r="BV2" s="52">
        <v>29180672.297994055</v>
      </c>
      <c r="BW2" s="52">
        <v>29066033.942537647</v>
      </c>
      <c r="BX2" s="52">
        <v>28952292.792282254</v>
      </c>
      <c r="BY2" s="52">
        <v>28839438.355459042</v>
      </c>
      <c r="BZ2" s="52">
        <v>28727460.303249352</v>
      </c>
      <c r="CA2" s="52">
        <v>28616348.466633409</v>
      </c>
      <c r="CB2" s="52">
        <v>28506092.833311882</v>
      </c>
      <c r="CC2" s="52">
        <v>28396683.544698332</v>
      </c>
      <c r="CD2" s="52">
        <v>28288110.89298068</v>
      </c>
      <c r="CE2" s="52">
        <v>28180365.318249799</v>
      </c>
      <c r="CF2" s="52">
        <v>28073437.405693486</v>
      </c>
      <c r="CG2" s="52">
        <v>27967317.882854093</v>
      </c>
      <c r="CH2" s="52">
        <v>27861997.616948105</v>
      </c>
      <c r="CI2" s="52">
        <v>27757467.612246051</v>
      </c>
      <c r="CJ2" s="52">
        <v>27653719.007511187</v>
      </c>
      <c r="CK2" s="52">
        <v>27550743.073495403</v>
      </c>
      <c r="CL2" s="52">
        <v>27448531.210490867</v>
      </c>
      <c r="CM2" s="52">
        <v>27347074.945935961</v>
      </c>
    </row>
    <row r="3" spans="1:91" x14ac:dyDescent="0.25">
      <c r="A3" s="52" t="s">
        <v>84</v>
      </c>
      <c r="B3" s="52">
        <v>0</v>
      </c>
      <c r="C3" s="52">
        <v>0</v>
      </c>
      <c r="D3" s="52">
        <v>0</v>
      </c>
      <c r="E3" s="52">
        <v>0</v>
      </c>
      <c r="F3" s="52">
        <v>0</v>
      </c>
      <c r="G3" s="52">
        <v>0</v>
      </c>
      <c r="H3" s="52">
        <v>0</v>
      </c>
      <c r="I3" s="52">
        <v>0</v>
      </c>
      <c r="J3" s="52">
        <v>0</v>
      </c>
      <c r="K3" s="52">
        <v>0</v>
      </c>
      <c r="L3" s="52">
        <v>0</v>
      </c>
      <c r="M3" s="52">
        <v>0</v>
      </c>
      <c r="N3" s="52">
        <v>0</v>
      </c>
      <c r="O3" s="52">
        <v>0</v>
      </c>
      <c r="P3" s="52">
        <v>0</v>
      </c>
      <c r="Q3" s="52">
        <v>0</v>
      </c>
      <c r="R3" s="52">
        <v>0</v>
      </c>
      <c r="S3" s="52">
        <v>0</v>
      </c>
      <c r="T3" s="52">
        <v>0</v>
      </c>
      <c r="U3" s="52">
        <v>0</v>
      </c>
      <c r="V3" s="52">
        <v>0</v>
      </c>
      <c r="W3" s="52">
        <v>0</v>
      </c>
      <c r="X3" s="52">
        <v>0</v>
      </c>
      <c r="Y3" s="52">
        <v>0</v>
      </c>
      <c r="Z3" s="52">
        <v>0</v>
      </c>
      <c r="AA3" s="52">
        <v>0</v>
      </c>
      <c r="AB3" s="52">
        <v>0</v>
      </c>
      <c r="AC3" s="52">
        <v>0</v>
      </c>
      <c r="AD3" s="52">
        <v>0</v>
      </c>
      <c r="AE3" s="52">
        <v>0</v>
      </c>
      <c r="AF3" s="52">
        <v>0</v>
      </c>
      <c r="AG3" s="52">
        <v>0</v>
      </c>
      <c r="AH3" s="52">
        <v>0</v>
      </c>
      <c r="AI3" s="52">
        <v>0</v>
      </c>
      <c r="AJ3" s="52">
        <v>0</v>
      </c>
      <c r="AK3" s="52">
        <v>0</v>
      </c>
      <c r="AL3" s="52">
        <v>0</v>
      </c>
      <c r="AM3" s="52">
        <v>0</v>
      </c>
      <c r="AN3" s="52">
        <v>0</v>
      </c>
      <c r="AO3" s="52">
        <v>0</v>
      </c>
      <c r="AP3" s="52">
        <v>68980.364085721056</v>
      </c>
      <c r="AQ3" s="52">
        <v>83401.554127270196</v>
      </c>
      <c r="AR3" s="52">
        <v>111702.67319864212</v>
      </c>
      <c r="AS3" s="52">
        <v>216760.92660335195</v>
      </c>
      <c r="AT3" s="52">
        <v>697208.05298994563</v>
      </c>
      <c r="AU3" s="52">
        <v>1901550.8592583756</v>
      </c>
      <c r="AV3" s="52">
        <v>3681291.6218185239</v>
      </c>
      <c r="AW3" s="52">
        <v>4557838.0832964052</v>
      </c>
      <c r="AX3" s="52">
        <v>4777637.3089934224</v>
      </c>
      <c r="AY3" s="52">
        <v>4993103.772799449</v>
      </c>
      <c r="AZ3" s="52">
        <v>5204364.3377849916</v>
      </c>
      <c r="BA3" s="52">
        <v>5411540.9621653156</v>
      </c>
      <c r="BB3" s="52">
        <v>5614750.9340742351</v>
      </c>
      <c r="BC3" s="52">
        <v>5814107.0929806447</v>
      </c>
      <c r="BD3" s="52">
        <v>6009718.0386261465</v>
      </c>
      <c r="BE3" s="52">
        <v>6201688.3282965655</v>
      </c>
      <c r="BF3" s="52">
        <v>6390118.6631803587</v>
      </c>
      <c r="BG3" s="52">
        <v>6575106.0645117871</v>
      </c>
      <c r="BH3" s="52">
        <v>6756738.7310272641</v>
      </c>
      <c r="BI3" s="52">
        <v>6696117.9820526727</v>
      </c>
      <c r="BJ3" s="52">
        <v>6636575.3265003264</v>
      </c>
      <c r="BK3" s="52">
        <v>6578082.258255695</v>
      </c>
      <c r="BL3" s="52">
        <v>6520611.2674062252</v>
      </c>
      <c r="BM3" s="52">
        <v>6464135.7971004788</v>
      </c>
      <c r="BN3" s="52">
        <v>6408630.2026298679</v>
      </c>
      <c r="BO3" s="52">
        <v>6354069.7126005925</v>
      </c>
      <c r="BP3" s="52">
        <v>6300430.392072198</v>
      </c>
      <c r="BQ3" s="52">
        <v>6247689.1075475849</v>
      </c>
      <c r="BR3" s="52">
        <v>6195823.4937068122</v>
      </c>
      <c r="BS3" s="52">
        <v>6144811.9217842557</v>
      </c>
      <c r="BT3" s="52">
        <v>6094633.4694951372</v>
      </c>
      <c r="BU3" s="52">
        <v>6045267.8924236037</v>
      </c>
      <c r="BV3" s="52">
        <v>5996695.5967901489</v>
      </c>
      <c r="BW3" s="52">
        <v>5948897.6135214064</v>
      </c>
      <c r="BX3" s="52">
        <v>5901855.5735502476</v>
      </c>
      <c r="BY3" s="52">
        <v>5855551.6842785729</v>
      </c>
      <c r="BZ3" s="52">
        <v>5809968.7071394976</v>
      </c>
      <c r="CA3" s="52">
        <v>5765089.936199422</v>
      </c>
      <c r="CB3" s="52">
        <v>5720899.1777442601</v>
      </c>
      <c r="CC3" s="52">
        <v>5677380.7307973513</v>
      </c>
      <c r="CD3" s="52">
        <v>5634519.3685198668</v>
      </c>
      <c r="CE3" s="52">
        <v>5592300.3204474067</v>
      </c>
      <c r="CF3" s="52">
        <v>5550709.2555192579</v>
      </c>
      <c r="CG3" s="52">
        <v>5509732.2658593524</v>
      </c>
      <c r="CH3" s="52">
        <v>5469355.8512703497</v>
      </c>
      <c r="CI3" s="52">
        <v>5429566.9044045694</v>
      </c>
      <c r="CJ3" s="52">
        <v>5390352.6965774922</v>
      </c>
      <c r="CK3" s="52">
        <v>5351700.8641916532</v>
      </c>
      <c r="CL3" s="52">
        <v>5313599.3957404215</v>
      </c>
      <c r="CM3" s="52">
        <v>5276036.6193630518</v>
      </c>
    </row>
    <row r="4" spans="1:91" x14ac:dyDescent="0.25">
      <c r="A4" s="52" t="s">
        <v>89</v>
      </c>
      <c r="B4" s="52">
        <v>0</v>
      </c>
      <c r="C4" s="52">
        <v>0</v>
      </c>
      <c r="D4" s="52">
        <v>0</v>
      </c>
      <c r="E4" s="52">
        <v>0</v>
      </c>
      <c r="F4" s="52">
        <v>0</v>
      </c>
      <c r="G4" s="52">
        <v>0</v>
      </c>
      <c r="H4" s="52">
        <v>0</v>
      </c>
      <c r="I4" s="52">
        <v>0</v>
      </c>
      <c r="J4" s="52">
        <v>0</v>
      </c>
      <c r="K4" s="52">
        <v>0</v>
      </c>
      <c r="L4" s="52">
        <v>0</v>
      </c>
      <c r="M4" s="52">
        <v>0</v>
      </c>
      <c r="N4" s="52">
        <v>0</v>
      </c>
      <c r="O4" s="52">
        <v>0</v>
      </c>
      <c r="P4" s="52">
        <v>0</v>
      </c>
      <c r="Q4" s="52">
        <v>0</v>
      </c>
      <c r="R4" s="52">
        <v>0</v>
      </c>
      <c r="S4" s="52">
        <v>0</v>
      </c>
      <c r="T4" s="52">
        <v>0</v>
      </c>
      <c r="U4" s="52">
        <v>0</v>
      </c>
      <c r="V4" s="52">
        <v>0</v>
      </c>
      <c r="W4" s="52">
        <v>0</v>
      </c>
      <c r="X4" s="52">
        <v>0</v>
      </c>
      <c r="Y4" s="52">
        <v>0</v>
      </c>
      <c r="Z4" s="52">
        <v>0</v>
      </c>
      <c r="AA4" s="52">
        <v>0</v>
      </c>
      <c r="AB4" s="52">
        <v>0</v>
      </c>
      <c r="AC4" s="52">
        <v>0</v>
      </c>
      <c r="AD4" s="52">
        <v>0</v>
      </c>
      <c r="AE4" s="52">
        <v>0</v>
      </c>
      <c r="AF4" s="52">
        <v>270161.24955538806</v>
      </c>
      <c r="AG4" s="52">
        <v>534967.18121228588</v>
      </c>
      <c r="AH4" s="52">
        <v>794575.46729436051</v>
      </c>
      <c r="AI4" s="52">
        <v>1049137.6506541937</v>
      </c>
      <c r="AJ4" s="52">
        <v>1298799.4396584283</v>
      </c>
      <c r="AK4" s="52">
        <v>1543700.9862996873</v>
      </c>
      <c r="AL4" s="52">
        <v>1783977.1485506233</v>
      </c>
      <c r="AM4" s="52">
        <v>2019757.7379920268</v>
      </c>
      <c r="AN4" s="52">
        <v>2251167.7536703693</v>
      </c>
      <c r="AO4" s="52">
        <v>2478327.603069996</v>
      </c>
      <c r="AP4" s="52">
        <v>2621817.0316209975</v>
      </c>
      <c r="AQ4" s="52">
        <v>2913751.5380588663</v>
      </c>
      <c r="AR4" s="52">
        <v>3281340.6865054397</v>
      </c>
      <c r="AS4" s="52">
        <v>3066287.3244988308</v>
      </c>
      <c r="AT4" s="52">
        <v>3453257.3071962814</v>
      </c>
      <c r="AU4" s="52">
        <v>4019022.8433644911</v>
      </c>
      <c r="AV4" s="52">
        <v>4818734.9040552219</v>
      </c>
      <c r="AW4" s="52">
        <v>6331225.2625504266</v>
      </c>
      <c r="AX4" s="52">
        <v>7184411.7113961307</v>
      </c>
      <c r="AY4" s="52">
        <v>8025387.3916528122</v>
      </c>
      <c r="AZ4" s="52">
        <v>8854412.5807904359</v>
      </c>
      <c r="BA4" s="52">
        <v>9671740.2112404648</v>
      </c>
      <c r="BB4" s="52">
        <v>10477616.1276772</v>
      </c>
      <c r="BC4" s="52">
        <v>11272279.333560033</v>
      </c>
      <c r="BD4" s="52">
        <v>12055962.227455787</v>
      </c>
      <c r="BE4" s="52">
        <v>12828890.829632103</v>
      </c>
      <c r="BF4" s="52">
        <v>13591284.999385903</v>
      </c>
      <c r="BG4" s="52">
        <v>14343358.643545993</v>
      </c>
      <c r="BH4" s="52">
        <v>15085318.644881405</v>
      </c>
      <c r="BI4" s="52">
        <v>14984577.441109072</v>
      </c>
      <c r="BJ4" s="52">
        <v>14885172.830269817</v>
      </c>
      <c r="BK4" s="52">
        <v>14787078.387610566</v>
      </c>
      <c r="BL4" s="52">
        <v>14690268.380382566</v>
      </c>
      <c r="BM4" s="52">
        <v>14594717.745336197</v>
      </c>
      <c r="BN4" s="52">
        <v>14500402.067088399</v>
      </c>
      <c r="BO4" s="52">
        <v>14407297.557323486</v>
      </c>
      <c r="BP4" s="52">
        <v>14315381.03479014</v>
      </c>
      <c r="BQ4" s="52">
        <v>14224629.90605926</v>
      </c>
      <c r="BR4" s="52">
        <v>14135022.147009073</v>
      </c>
      <c r="BS4" s="52">
        <v>14046536.285005707</v>
      </c>
      <c r="BT4" s="52">
        <v>13959151.381748881</v>
      </c>
      <c r="BU4" s="52">
        <v>13872847.01675394</v>
      </c>
      <c r="BV4" s="52">
        <v>13787603.271442901</v>
      </c>
      <c r="BW4" s="52">
        <v>13703400.713818418</v>
      </c>
      <c r="BX4" s="52">
        <v>13620220.383695945</v>
      </c>
      <c r="BY4" s="52">
        <v>13538043.77847049</v>
      </c>
      <c r="BZ4" s="52">
        <v>13456852.839395542</v>
      </c>
      <c r="CA4" s="52">
        <v>13376629.938352767</v>
      </c>
      <c r="CB4" s="52">
        <v>13297357.865092173</v>
      </c>
      <c r="CC4" s="52">
        <v>13219019.814923245</v>
      </c>
      <c r="CD4" s="52">
        <v>13141599.376838677</v>
      </c>
      <c r="CE4" s="52">
        <v>13065080.522052968</v>
      </c>
      <c r="CF4" s="52">
        <v>12989447.592939148</v>
      </c>
      <c r="CG4" s="52">
        <v>12914685.292347528</v>
      </c>
      <c r="CH4" s="52">
        <v>12840778.673291234</v>
      </c>
      <c r="CI4" s="52">
        <v>12767713.128983853</v>
      </c>
      <c r="CJ4" s="52">
        <v>12695474.383215312</v>
      </c>
      <c r="CK4" s="52">
        <v>12624048.481052591</v>
      </c>
      <c r="CL4" s="52">
        <v>12553421.779852627</v>
      </c>
      <c r="CM4" s="52">
        <v>12483580.940575207</v>
      </c>
    </row>
    <row r="5" spans="1:91" x14ac:dyDescent="0.25">
      <c r="A5" s="52" t="s">
        <v>75</v>
      </c>
      <c r="B5" s="52">
        <v>0</v>
      </c>
      <c r="C5" s="52">
        <v>0</v>
      </c>
      <c r="D5" s="52">
        <v>0</v>
      </c>
      <c r="E5" s="52">
        <v>0</v>
      </c>
      <c r="F5" s="52">
        <v>0</v>
      </c>
      <c r="G5" s="52">
        <v>0</v>
      </c>
      <c r="H5" s="52">
        <v>0</v>
      </c>
      <c r="I5" s="52">
        <v>0</v>
      </c>
      <c r="J5" s="52">
        <v>0</v>
      </c>
      <c r="K5" s="52">
        <v>0</v>
      </c>
      <c r="L5" s="52">
        <v>0</v>
      </c>
      <c r="M5" s="52">
        <v>0</v>
      </c>
      <c r="N5" s="52">
        <v>0</v>
      </c>
      <c r="O5" s="52">
        <v>0</v>
      </c>
      <c r="P5" s="52">
        <v>0</v>
      </c>
      <c r="Q5" s="52">
        <v>0</v>
      </c>
      <c r="R5" s="52">
        <v>0</v>
      </c>
      <c r="S5" s="52">
        <v>0</v>
      </c>
      <c r="T5" s="52">
        <v>0</v>
      </c>
      <c r="U5" s="52">
        <v>0</v>
      </c>
      <c r="V5" s="52">
        <v>0</v>
      </c>
      <c r="W5" s="52">
        <v>0</v>
      </c>
      <c r="X5" s="52">
        <v>0</v>
      </c>
      <c r="Y5" s="52">
        <v>0</v>
      </c>
      <c r="Z5" s="52">
        <v>0</v>
      </c>
      <c r="AA5" s="52">
        <v>0</v>
      </c>
      <c r="AB5" s="52">
        <v>0</v>
      </c>
      <c r="AC5" s="52">
        <v>0</v>
      </c>
      <c r="AD5" s="52">
        <v>0</v>
      </c>
      <c r="AE5" s="52">
        <v>0</v>
      </c>
      <c r="AF5" s="52">
        <v>194049.07492341602</v>
      </c>
      <c r="AG5" s="52">
        <v>381255.24497308611</v>
      </c>
      <c r="AH5" s="52">
        <v>561974.19877558958</v>
      </c>
      <c r="AI5" s="52">
        <v>736537.39359258232</v>
      </c>
      <c r="AJ5" s="52">
        <v>905254.08422466356</v>
      </c>
      <c r="AK5" s="52">
        <v>1068413.1514155138</v>
      </c>
      <c r="AL5" s="52">
        <v>1226284.7524977517</v>
      </c>
      <c r="AM5" s="52">
        <v>1379121.8141210626</v>
      </c>
      <c r="AN5" s="52">
        <v>1527161.3844119962</v>
      </c>
      <c r="AO5" s="52">
        <v>1670625.8597701294</v>
      </c>
      <c r="AP5" s="52">
        <v>1756440.1693223289</v>
      </c>
      <c r="AQ5" s="52">
        <v>1940254.0818755243</v>
      </c>
      <c r="AR5" s="52">
        <v>2172174.8990216735</v>
      </c>
      <c r="AS5" s="52">
        <v>2018151.3242159788</v>
      </c>
      <c r="AT5" s="52">
        <v>2260086.9140459197</v>
      </c>
      <c r="AU5" s="52">
        <v>2615940.6269577206</v>
      </c>
      <c r="AV5" s="52">
        <v>3132063.5329496893</v>
      </c>
      <c r="AW5" s="52">
        <v>4109463.2979516694</v>
      </c>
      <c r="AX5" s="52">
        <v>4656909.8066009879</v>
      </c>
      <c r="AY5" s="52">
        <v>5195066.7732302053</v>
      </c>
      <c r="AZ5" s="52">
        <v>5724168.6579570202</v>
      </c>
      <c r="BA5" s="52">
        <v>6244442.0966272661</v>
      </c>
      <c r="BB5" s="52">
        <v>6756106.224498447</v>
      </c>
      <c r="BC5" s="52">
        <v>7259372.9839865956</v>
      </c>
      <c r="BD5" s="52">
        <v>7754447.4173842845</v>
      </c>
      <c r="BE5" s="52">
        <v>8241527.9453992406</v>
      </c>
      <c r="BF5" s="52">
        <v>8720806.6323083751</v>
      </c>
      <c r="BG5" s="52">
        <v>9192469.4384717569</v>
      </c>
      <c r="BH5" s="52">
        <v>9656695.6468499955</v>
      </c>
      <c r="BI5" s="52">
        <v>9581171.860664973</v>
      </c>
      <c r="BJ5" s="52">
        <v>9506820.2310099155</v>
      </c>
      <c r="BK5" s="52">
        <v>9433613.6795762256</v>
      </c>
      <c r="BL5" s="52">
        <v>9361525.9557396863</v>
      </c>
      <c r="BM5" s="52">
        <v>9290531.605176175</v>
      </c>
      <c r="BN5" s="52">
        <v>9220605.9398947004</v>
      </c>
      <c r="BO5" s="52">
        <v>9151725.0096136183</v>
      </c>
      <c r="BP5" s="52">
        <v>9083865.5744102951</v>
      </c>
      <c r="BQ5" s="52">
        <v>9017005.078578623</v>
      </c>
      <c r="BR5" s="52">
        <v>8951121.6256326288</v>
      </c>
      <c r="BS5" s="52">
        <v>8886193.9543979298</v>
      </c>
      <c r="BT5" s="52">
        <v>8822201.4161362629</v>
      </c>
      <c r="BU5" s="52">
        <v>8759123.952651307</v>
      </c>
      <c r="BV5" s="52">
        <v>8696942.0753271487</v>
      </c>
      <c r="BW5" s="52">
        <v>8635636.8450532295</v>
      </c>
      <c r="BX5" s="52">
        <v>8575189.8529924583</v>
      </c>
      <c r="BY5" s="52">
        <v>8515583.2021513972</v>
      </c>
      <c r="BZ5" s="52">
        <v>8456799.4897137899</v>
      </c>
      <c r="CA5" s="52">
        <v>8398821.7901007663</v>
      </c>
      <c r="CB5" s="52">
        <v>8341633.6387231695</v>
      </c>
      <c r="CC5" s="52">
        <v>8285219.0163931036</v>
      </c>
      <c r="CD5" s="52">
        <v>8229562.3343638591</v>
      </c>
      <c r="CE5" s="52">
        <v>8174648.4199687336</v>
      </c>
      <c r="CF5" s="52">
        <v>8120462.5028310474</v>
      </c>
      <c r="CG5" s="52">
        <v>8066990.2016189592</v>
      </c>
      <c r="CH5" s="52">
        <v>8014217.5113202166</v>
      </c>
      <c r="CI5" s="52">
        <v>7962130.7910130639</v>
      </c>
      <c r="CJ5" s="52">
        <v>7910716.7521110447</v>
      </c>
      <c r="CK5" s="52">
        <v>7859962.4470602227</v>
      </c>
      <c r="CL5" s="52">
        <v>7809855.2584688356</v>
      </c>
      <c r="CM5" s="52">
        <v>7760382.8886500224</v>
      </c>
    </row>
    <row r="6" spans="1:91" x14ac:dyDescent="0.25">
      <c r="A6" s="52" t="s">
        <v>76</v>
      </c>
      <c r="B6" s="52">
        <v>0</v>
      </c>
      <c r="C6" s="52">
        <v>0</v>
      </c>
      <c r="D6" s="52">
        <v>0</v>
      </c>
      <c r="E6" s="52">
        <v>0</v>
      </c>
      <c r="F6" s="52">
        <v>0</v>
      </c>
      <c r="G6" s="52">
        <v>0</v>
      </c>
      <c r="H6" s="52">
        <v>0</v>
      </c>
      <c r="I6" s="52">
        <v>0</v>
      </c>
      <c r="J6" s="52">
        <v>0</v>
      </c>
      <c r="K6" s="52">
        <v>0</v>
      </c>
      <c r="L6" s="52">
        <v>0</v>
      </c>
      <c r="M6" s="52">
        <v>0</v>
      </c>
      <c r="N6" s="52">
        <v>0</v>
      </c>
      <c r="O6" s="52">
        <v>0</v>
      </c>
      <c r="P6" s="52">
        <v>0</v>
      </c>
      <c r="Q6" s="52">
        <v>0</v>
      </c>
      <c r="R6" s="52">
        <v>0</v>
      </c>
      <c r="S6" s="52">
        <v>0</v>
      </c>
      <c r="T6" s="52">
        <v>0</v>
      </c>
      <c r="U6" s="52">
        <v>0</v>
      </c>
      <c r="V6" s="52">
        <v>0</v>
      </c>
      <c r="W6" s="52">
        <v>0</v>
      </c>
      <c r="X6" s="52">
        <v>0</v>
      </c>
      <c r="Y6" s="52">
        <v>0</v>
      </c>
      <c r="Z6" s="52">
        <v>0</v>
      </c>
      <c r="AA6" s="52">
        <v>0</v>
      </c>
      <c r="AB6" s="52">
        <v>0</v>
      </c>
      <c r="AC6" s="52">
        <v>0</v>
      </c>
      <c r="AD6" s="52">
        <v>0</v>
      </c>
      <c r="AE6" s="52">
        <v>0</v>
      </c>
      <c r="AF6" s="52">
        <v>340168.03052168625</v>
      </c>
      <c r="AG6" s="52">
        <v>669268.5683244575</v>
      </c>
      <c r="AH6" s="52">
        <v>987833.09489007608</v>
      </c>
      <c r="AI6" s="52">
        <v>1296359.5975515635</v>
      </c>
      <c r="AJ6" s="52">
        <v>1595315.1670841221</v>
      </c>
      <c r="AK6" s="52">
        <v>1885138.3572454581</v>
      </c>
      <c r="AL6" s="52">
        <v>2166241.3313341513</v>
      </c>
      <c r="AM6" s="52">
        <v>2439011.8178624194</v>
      </c>
      <c r="AN6" s="52">
        <v>2703814.8948579407</v>
      </c>
      <c r="AO6" s="52">
        <v>2960994.620062171</v>
      </c>
      <c r="AP6" s="52">
        <v>3116337.3174925712</v>
      </c>
      <c r="AQ6" s="52">
        <v>3445952.3433444318</v>
      </c>
      <c r="AR6" s="52">
        <v>3861645.979367699</v>
      </c>
      <c r="AS6" s="52">
        <v>3591256.0607808442</v>
      </c>
      <c r="AT6" s="52">
        <v>4025513.0527243656</v>
      </c>
      <c r="AU6" s="52">
        <v>4663547.2756360602</v>
      </c>
      <c r="AV6" s="52">
        <v>5585113.6709762039</v>
      </c>
      <c r="AW6" s="52">
        <v>7329892.2583465688</v>
      </c>
      <c r="AX6" s="52">
        <v>8308439.6686796052</v>
      </c>
      <c r="AY6" s="52">
        <v>9270861.8871248569</v>
      </c>
      <c r="AZ6" s="52">
        <v>10217554.239816897</v>
      </c>
      <c r="BA6" s="52">
        <v>11148899.235185772</v>
      </c>
      <c r="BB6" s="52">
        <v>12065267.079267308</v>
      </c>
      <c r="BC6" s="52">
        <v>12967016.166351406</v>
      </c>
      <c r="BD6" s="52">
        <v>13854493.546334287</v>
      </c>
      <c r="BE6" s="52">
        <v>14728035.370054984</v>
      </c>
      <c r="BF6" s="52">
        <v>15587967.31381667</v>
      </c>
      <c r="BG6" s="52">
        <v>16434604.984219169</v>
      </c>
      <c r="BH6" s="52">
        <v>17268252.848655928</v>
      </c>
      <c r="BI6" s="52">
        <v>17136804.164852947</v>
      </c>
      <c r="BJ6" s="52">
        <v>17007341.579080597</v>
      </c>
      <c r="BK6" s="52">
        <v>16879820.416009162</v>
      </c>
      <c r="BL6" s="52">
        <v>16754197.330240795</v>
      </c>
      <c r="BM6" s="52">
        <v>16630430.257186987</v>
      </c>
      <c r="BN6" s="52">
        <v>16508478.366107291</v>
      </c>
      <c r="BO6" s="52">
        <v>16388302.015199296</v>
      </c>
      <c r="BP6" s="52">
        <v>16269862.708635932</v>
      </c>
      <c r="BQ6" s="52">
        <v>16153123.05545246</v>
      </c>
      <c r="BR6" s="52">
        <v>16038046.73019072</v>
      </c>
      <c r="BS6" s="52">
        <v>15924598.435213812</v>
      </c>
      <c r="BT6" s="52">
        <v>15812743.864608934</v>
      </c>
      <c r="BU6" s="52">
        <v>15702449.669600913</v>
      </c>
      <c r="BV6" s="52">
        <v>15593683.425403144</v>
      </c>
      <c r="BW6" s="52">
        <v>15486413.599436769</v>
      </c>
      <c r="BX6" s="52">
        <v>15380609.520852553</v>
      </c>
      <c r="BY6" s="52">
        <v>15276241.351293752</v>
      </c>
      <c r="BZ6" s="52">
        <v>15173280.056841247</v>
      </c>
      <c r="CA6" s="52">
        <v>15071697.381085629</v>
      </c>
      <c r="CB6" s="52">
        <v>14971465.81927379</v>
      </c>
      <c r="CC6" s="52">
        <v>14872558.593480274</v>
      </c>
      <c r="CD6" s="52">
        <v>14774949.628756328</v>
      </c>
      <c r="CE6" s="52">
        <v>14678613.530212061</v>
      </c>
      <c r="CF6" s="52">
        <v>14583525.560989348</v>
      </c>
      <c r="CG6" s="52">
        <v>14489661.621085387</v>
      </c>
      <c r="CH6" s="52">
        <v>14396998.226988804</v>
      </c>
      <c r="CI6" s="52">
        <v>14305512.492092194</v>
      </c>
      <c r="CJ6" s="52">
        <v>14215182.1078467</v>
      </c>
      <c r="CK6" s="52">
        <v>14125985.325626187</v>
      </c>
      <c r="CL6" s="52">
        <v>14037900.939269852</v>
      </c>
      <c r="CM6" s="52">
        <v>13950908.268273998</v>
      </c>
    </row>
    <row r="7" spans="1:91" x14ac:dyDescent="0.25">
      <c r="A7" s="52" t="s">
        <v>77</v>
      </c>
      <c r="B7" s="52">
        <v>0</v>
      </c>
      <c r="C7" s="52">
        <v>0</v>
      </c>
      <c r="D7" s="52">
        <v>0</v>
      </c>
      <c r="E7" s="52">
        <v>0</v>
      </c>
      <c r="F7" s="52">
        <v>0</v>
      </c>
      <c r="G7" s="52">
        <v>0</v>
      </c>
      <c r="H7" s="52">
        <v>0</v>
      </c>
      <c r="I7" s="52">
        <v>0</v>
      </c>
      <c r="J7" s="52">
        <v>0</v>
      </c>
      <c r="K7" s="52">
        <v>0</v>
      </c>
      <c r="L7" s="52">
        <v>0</v>
      </c>
      <c r="M7" s="52">
        <v>0</v>
      </c>
      <c r="N7" s="52">
        <v>0</v>
      </c>
      <c r="O7" s="52">
        <v>0</v>
      </c>
      <c r="P7" s="52">
        <v>0</v>
      </c>
      <c r="Q7" s="52">
        <v>0</v>
      </c>
      <c r="R7" s="52">
        <v>0</v>
      </c>
      <c r="S7" s="52">
        <v>0</v>
      </c>
      <c r="T7" s="52">
        <v>0</v>
      </c>
      <c r="U7" s="52">
        <v>0</v>
      </c>
      <c r="V7" s="52">
        <v>0</v>
      </c>
      <c r="W7" s="52">
        <v>0</v>
      </c>
      <c r="X7" s="52">
        <v>0</v>
      </c>
      <c r="Y7" s="52">
        <v>0</v>
      </c>
      <c r="Z7" s="52">
        <v>0</v>
      </c>
      <c r="AA7" s="52">
        <v>0</v>
      </c>
      <c r="AB7" s="52">
        <v>0</v>
      </c>
      <c r="AC7" s="52">
        <v>0</v>
      </c>
      <c r="AD7" s="52">
        <v>0</v>
      </c>
      <c r="AE7" s="52">
        <v>0</v>
      </c>
      <c r="AF7" s="52">
        <v>25254.417684758395</v>
      </c>
      <c r="AG7" s="52">
        <v>50156.792863272909</v>
      </c>
      <c r="AH7" s="52">
        <v>74714.435707804325</v>
      </c>
      <c r="AI7" s="52">
        <v>98934.455387324124</v>
      </c>
      <c r="AJ7" s="52">
        <v>122823.76692892735</v>
      </c>
      <c r="AK7" s="52">
        <v>146389.09780008771</v>
      </c>
      <c r="AL7" s="52">
        <v>169636.99422491551</v>
      </c>
      <c r="AM7" s="52">
        <v>192573.827246876</v>
      </c>
      <c r="AN7" s="52">
        <v>215205.79854976168</v>
      </c>
      <c r="AO7" s="52">
        <v>237538.94604809227</v>
      </c>
      <c r="AP7" s="52">
        <v>254811.94858238936</v>
      </c>
      <c r="AQ7" s="52">
        <v>295993.59148636641</v>
      </c>
      <c r="AR7" s="52">
        <v>362040.28940787079</v>
      </c>
      <c r="AS7" s="52">
        <v>394983.1347717726</v>
      </c>
      <c r="AT7" s="52">
        <v>449369.3348682482</v>
      </c>
      <c r="AU7" s="52">
        <v>546283.92762449128</v>
      </c>
      <c r="AV7" s="52">
        <v>697057.22761212033</v>
      </c>
      <c r="AW7" s="52">
        <v>953706.97207503149</v>
      </c>
      <c r="AX7" s="52">
        <v>1040252.2137375728</v>
      </c>
      <c r="AY7" s="52">
        <v>1124810.4473007186</v>
      </c>
      <c r="AZ7" s="52">
        <v>1207449.3262558738</v>
      </c>
      <c r="BA7" s="52">
        <v>1288233.4672793671</v>
      </c>
      <c r="BB7" s="52">
        <v>1367224.6187363716</v>
      </c>
      <c r="BC7" s="52">
        <v>1444481.8180882216</v>
      </c>
      <c r="BD7" s="52">
        <v>1520061.5390464251</v>
      </c>
      <c r="BE7" s="52">
        <v>1594017.8292441901</v>
      </c>
      <c r="BF7" s="52">
        <v>1666402.4391307861</v>
      </c>
      <c r="BG7" s="52">
        <v>1737264.9427347202</v>
      </c>
      <c r="BH7" s="52">
        <v>1806652.828141141</v>
      </c>
      <c r="BI7" s="52">
        <v>1788048.8516499852</v>
      </c>
      <c r="BJ7" s="52">
        <v>1769824.1181677091</v>
      </c>
      <c r="BK7" s="52">
        <v>1751967.1483655686</v>
      </c>
      <c r="BL7" s="52">
        <v>1734466.9215783433</v>
      </c>
      <c r="BM7" s="52">
        <v>1717312.8531231727</v>
      </c>
      <c r="BN7" s="52">
        <v>1700494.7729511284</v>
      </c>
      <c r="BO7" s="52">
        <v>1684002.9055410421</v>
      </c>
      <c r="BP7" s="52">
        <v>1667827.8509520674</v>
      </c>
      <c r="BQ7" s="52">
        <v>1651960.566957809</v>
      </c>
      <c r="BR7" s="52">
        <v>1636392.3521906671</v>
      </c>
      <c r="BS7" s="52">
        <v>1621114.8302303809</v>
      </c>
      <c r="BT7" s="52">
        <v>1606119.9345756292</v>
      </c>
      <c r="BU7" s="52">
        <v>1591399.894442044</v>
      </c>
      <c r="BV7" s="52">
        <v>1576947.2213340942</v>
      </c>
      <c r="BW7" s="52">
        <v>1562754.6963420871</v>
      </c>
      <c r="BX7" s="52">
        <v>1548815.358119016</v>
      </c>
      <c r="BY7" s="52">
        <v>1535122.4914951741</v>
      </c>
      <c r="BZ7" s="52">
        <v>1521669.6166914189</v>
      </c>
      <c r="CA7" s="52">
        <v>1508450.4790946788</v>
      </c>
      <c r="CB7" s="52">
        <v>1495459.0395618058</v>
      </c>
      <c r="CC7" s="52">
        <v>1482689.4652201966</v>
      </c>
      <c r="CD7" s="52">
        <v>1470136.1207357359</v>
      </c>
      <c r="CE7" s="52">
        <v>1457793.5600206037</v>
      </c>
      <c r="CF7" s="52">
        <v>1445656.5183553074</v>
      </c>
      <c r="CG7" s="52">
        <v>1433719.9049009974</v>
      </c>
      <c r="CH7" s="52">
        <v>1421978.7955796972</v>
      </c>
      <c r="CI7" s="52">
        <v>1410428.4263015226</v>
      </c>
      <c r="CJ7" s="52">
        <v>1399064.1865193259</v>
      </c>
      <c r="CK7" s="52">
        <v>1387881.6130924399</v>
      </c>
      <c r="CL7" s="52">
        <v>1376876.3844423676</v>
      </c>
      <c r="CM7" s="52">
        <v>1366044.3149843419</v>
      </c>
    </row>
    <row r="8" spans="1:91" x14ac:dyDescent="0.25">
      <c r="A8" s="52" t="s">
        <v>78</v>
      </c>
      <c r="B8" s="52">
        <v>0</v>
      </c>
      <c r="C8" s="52">
        <v>0</v>
      </c>
      <c r="D8" s="52">
        <v>0</v>
      </c>
      <c r="E8" s="52">
        <v>0</v>
      </c>
      <c r="F8" s="52">
        <v>0</v>
      </c>
      <c r="G8" s="52">
        <v>0</v>
      </c>
      <c r="H8" s="52">
        <v>0</v>
      </c>
      <c r="I8" s="52">
        <v>0</v>
      </c>
      <c r="J8" s="52">
        <v>0</v>
      </c>
      <c r="K8" s="52">
        <v>0</v>
      </c>
      <c r="L8" s="52">
        <v>0</v>
      </c>
      <c r="M8" s="52">
        <v>0</v>
      </c>
      <c r="N8" s="52">
        <v>0</v>
      </c>
      <c r="O8" s="52">
        <v>0</v>
      </c>
      <c r="P8" s="52">
        <v>0</v>
      </c>
      <c r="Q8" s="52">
        <v>0</v>
      </c>
      <c r="R8" s="52">
        <v>0</v>
      </c>
      <c r="S8" s="52">
        <v>0</v>
      </c>
      <c r="T8" s="52">
        <v>0</v>
      </c>
      <c r="U8" s="52">
        <v>0</v>
      </c>
      <c r="V8" s="52">
        <v>0</v>
      </c>
      <c r="W8" s="52">
        <v>0</v>
      </c>
      <c r="X8" s="52">
        <v>0</v>
      </c>
      <c r="Y8" s="52">
        <v>0</v>
      </c>
      <c r="Z8" s="52">
        <v>0</v>
      </c>
      <c r="AA8" s="52">
        <v>0</v>
      </c>
      <c r="AB8" s="52">
        <v>0</v>
      </c>
      <c r="AC8" s="52">
        <v>0</v>
      </c>
      <c r="AD8" s="52">
        <v>0</v>
      </c>
      <c r="AE8" s="52">
        <v>0</v>
      </c>
      <c r="AF8" s="52">
        <v>3416.4412662625296</v>
      </c>
      <c r="AG8" s="52">
        <v>6832.8825325250591</v>
      </c>
      <c r="AH8" s="52">
        <v>10249.323798787587</v>
      </c>
      <c r="AI8" s="52">
        <v>13665.765065050118</v>
      </c>
      <c r="AJ8" s="52">
        <v>17082.206331312645</v>
      </c>
      <c r="AK8" s="52">
        <v>20498.647597575175</v>
      </c>
      <c r="AL8" s="52">
        <v>23915.088863837707</v>
      </c>
      <c r="AM8" s="52">
        <v>27331.530130100236</v>
      </c>
      <c r="AN8" s="52">
        <v>30747.971396362755</v>
      </c>
      <c r="AO8" s="52">
        <v>34164.412662625291</v>
      </c>
      <c r="AP8" s="52">
        <v>36890.677261253244</v>
      </c>
      <c r="AQ8" s="52">
        <v>43133.844875324197</v>
      </c>
      <c r="AR8" s="52">
        <v>53102.302593334723</v>
      </c>
      <c r="AS8" s="52">
        <v>58309.240873589188</v>
      </c>
      <c r="AT8" s="52">
        <v>66764.666817619684</v>
      </c>
      <c r="AU8" s="52">
        <v>81682.374948510493</v>
      </c>
      <c r="AV8" s="52">
        <v>105480.61411907786</v>
      </c>
      <c r="AW8" s="52">
        <v>146033.35492672073</v>
      </c>
      <c r="AX8" s="52">
        <v>161156.81907767055</v>
      </c>
      <c r="AY8" s="52">
        <v>176280.28322862033</v>
      </c>
      <c r="AZ8" s="52">
        <v>191403.74737957012</v>
      </c>
      <c r="BA8" s="52">
        <v>206527.21153051991</v>
      </c>
      <c r="BB8" s="52">
        <v>221650.67568146973</v>
      </c>
      <c r="BC8" s="52">
        <v>236774.13983241952</v>
      </c>
      <c r="BD8" s="52">
        <v>251897.60398336928</v>
      </c>
      <c r="BE8" s="52">
        <v>267021.06813431915</v>
      </c>
      <c r="BF8" s="52">
        <v>282144.53228526888</v>
      </c>
      <c r="BG8" s="52">
        <v>297267.99643621867</v>
      </c>
      <c r="BH8" s="52">
        <v>312391.45665398089</v>
      </c>
      <c r="BI8" s="52">
        <v>312391.45665398089</v>
      </c>
      <c r="BJ8" s="52">
        <v>312391.45665398089</v>
      </c>
      <c r="BK8" s="52">
        <v>312391.45665398089</v>
      </c>
      <c r="BL8" s="52">
        <v>312391.45665398089</v>
      </c>
      <c r="BM8" s="52">
        <v>312391.45665398089</v>
      </c>
      <c r="BN8" s="52">
        <v>312391.45665398089</v>
      </c>
      <c r="BO8" s="52">
        <v>312391.45665398089</v>
      </c>
      <c r="BP8" s="52">
        <v>312391.45665398089</v>
      </c>
      <c r="BQ8" s="52">
        <v>312391.45665398089</v>
      </c>
      <c r="BR8" s="52">
        <v>312391.45665398089</v>
      </c>
      <c r="BS8" s="52">
        <v>312391.45665398089</v>
      </c>
      <c r="BT8" s="52">
        <v>312391.45665398089</v>
      </c>
      <c r="BU8" s="52">
        <v>312391.45665398089</v>
      </c>
      <c r="BV8" s="52">
        <v>312391.45665398089</v>
      </c>
      <c r="BW8" s="52">
        <v>312391.45665398089</v>
      </c>
      <c r="BX8" s="52">
        <v>312391.45665398089</v>
      </c>
      <c r="BY8" s="52">
        <v>312391.45665398089</v>
      </c>
      <c r="BZ8" s="52">
        <v>312391.45665398089</v>
      </c>
      <c r="CA8" s="52">
        <v>312391.45665398089</v>
      </c>
      <c r="CB8" s="52">
        <v>312391.45665398089</v>
      </c>
      <c r="CC8" s="52">
        <v>312391.45665398089</v>
      </c>
      <c r="CD8" s="52">
        <v>312391.45665398089</v>
      </c>
      <c r="CE8" s="52">
        <v>312391.45665398089</v>
      </c>
      <c r="CF8" s="52">
        <v>312391.45665398089</v>
      </c>
      <c r="CG8" s="52">
        <v>312391.45665398089</v>
      </c>
      <c r="CH8" s="52">
        <v>312391.45665398089</v>
      </c>
      <c r="CI8" s="52">
        <v>312391.45665398089</v>
      </c>
      <c r="CJ8" s="52">
        <v>312391.45665398089</v>
      </c>
      <c r="CK8" s="52">
        <v>312391.45665398089</v>
      </c>
      <c r="CL8" s="52">
        <v>312391.45665398089</v>
      </c>
      <c r="CM8" s="52">
        <v>312391.45665398089</v>
      </c>
    </row>
    <row r="9" spans="1:91" x14ac:dyDescent="0.25">
      <c r="A9" s="52" t="s">
        <v>90</v>
      </c>
      <c r="B9" s="52">
        <v>0</v>
      </c>
      <c r="C9" s="52">
        <v>0</v>
      </c>
      <c r="D9" s="52">
        <v>0</v>
      </c>
      <c r="E9" s="52">
        <v>0</v>
      </c>
      <c r="F9" s="52">
        <v>0</v>
      </c>
      <c r="G9" s="52">
        <v>0</v>
      </c>
      <c r="H9" s="52">
        <v>0</v>
      </c>
      <c r="I9" s="52">
        <v>0</v>
      </c>
      <c r="J9" s="52">
        <v>0</v>
      </c>
      <c r="K9" s="52">
        <v>0</v>
      </c>
      <c r="L9" s="52">
        <v>0</v>
      </c>
      <c r="M9" s="52">
        <v>0</v>
      </c>
      <c r="N9" s="52">
        <v>0</v>
      </c>
      <c r="O9" s="52">
        <v>0</v>
      </c>
      <c r="P9" s="52">
        <v>0</v>
      </c>
      <c r="Q9" s="52">
        <v>0</v>
      </c>
      <c r="R9" s="52">
        <v>0</v>
      </c>
      <c r="S9" s="52">
        <v>0</v>
      </c>
      <c r="T9" s="52">
        <v>0</v>
      </c>
      <c r="U9" s="52">
        <v>0</v>
      </c>
      <c r="V9" s="52">
        <v>0</v>
      </c>
      <c r="W9" s="52">
        <v>0</v>
      </c>
      <c r="X9" s="52">
        <v>0</v>
      </c>
      <c r="Y9" s="52">
        <v>0</v>
      </c>
      <c r="Z9" s="52">
        <v>0</v>
      </c>
      <c r="AA9" s="52">
        <v>0</v>
      </c>
      <c r="AB9" s="52">
        <v>0</v>
      </c>
      <c r="AC9" s="52">
        <v>0</v>
      </c>
      <c r="AD9" s="52">
        <v>0</v>
      </c>
      <c r="AE9" s="52">
        <v>0</v>
      </c>
      <c r="AF9" s="52">
        <v>213230.09957228223</v>
      </c>
      <c r="AG9" s="52">
        <v>420704.17507313489</v>
      </c>
      <c r="AH9" s="52">
        <v>622652.19343575917</v>
      </c>
      <c r="AI9" s="52">
        <v>819292.03228668054</v>
      </c>
      <c r="AJ9" s="52">
        <v>1010830.2640555844</v>
      </c>
      <c r="AK9" s="52">
        <v>1197462.8798380368</v>
      </c>
      <c r="AL9" s="52">
        <v>1379375.9583434146</v>
      </c>
      <c r="AM9" s="52">
        <v>1556746.2847277294</v>
      </c>
      <c r="AN9" s="52">
        <v>1729741.9236374951</v>
      </c>
      <c r="AO9" s="52">
        <v>1898522.750369214</v>
      </c>
      <c r="AP9" s="52">
        <v>2350761.9603452343</v>
      </c>
      <c r="AQ9" s="52">
        <v>3026354.6395304766</v>
      </c>
      <c r="AR9" s="52">
        <v>3996955.4153171079</v>
      </c>
      <c r="AS9" s="52">
        <v>5002175.2293081218</v>
      </c>
      <c r="AT9" s="52">
        <v>7690715.7807354275</v>
      </c>
      <c r="AU9" s="52">
        <v>12604336.230533773</v>
      </c>
      <c r="AV9" s="52">
        <v>16922281.886250038</v>
      </c>
      <c r="AW9" s="52">
        <v>25257773.699198831</v>
      </c>
      <c r="AX9" s="52">
        <v>29340683.976885021</v>
      </c>
      <c r="AY9" s="52">
        <v>33343110.449410386</v>
      </c>
      <c r="AZ9" s="52">
        <v>37267409.678918391</v>
      </c>
      <c r="BA9" s="52">
        <v>41115847.116749823</v>
      </c>
      <c r="BB9" s="52">
        <v>44890601.464515015</v>
      </c>
      <c r="BC9" s="52">
        <v>48593768.787046976</v>
      </c>
      <c r="BD9" s="52">
        <v>52227366.393550143</v>
      </c>
      <c r="BE9" s="52">
        <v>55793336.50204441</v>
      </c>
      <c r="BF9" s="52">
        <v>59293549.701090828</v>
      </c>
      <c r="BG9" s="52">
        <v>62729808.221763119</v>
      </c>
      <c r="BH9" s="52">
        <v>66103840.183358125</v>
      </c>
      <c r="BI9" s="52">
        <v>65510763.484445624</v>
      </c>
      <c r="BJ9" s="52">
        <v>64928234.198734052</v>
      </c>
      <c r="BK9" s="52">
        <v>64355973.439660788</v>
      </c>
      <c r="BL9" s="52">
        <v>63793712.066900119</v>
      </c>
      <c r="BM9" s="52">
        <v>63241190.264299132</v>
      </c>
      <c r="BN9" s="52">
        <v>62698157.139558248</v>
      </c>
      <c r="BO9" s="52">
        <v>62164370.344360888</v>
      </c>
      <c r="BP9" s="52">
        <v>61639595.713743515</v>
      </c>
      <c r="BQ9" s="52">
        <v>61123606.92357906</v>
      </c>
      <c r="BR9" s="52">
        <v>60616185.165120609</v>
      </c>
      <c r="BS9" s="52">
        <v>60117118.835622638</v>
      </c>
      <c r="BT9" s="52">
        <v>59626203.244120426</v>
      </c>
      <c r="BU9" s="52">
        <v>59143240.331508331</v>
      </c>
      <c r="BV9" s="52">
        <v>58668038.404112719</v>
      </c>
      <c r="BW9" s="52">
        <v>58200411.880006559</v>
      </c>
      <c r="BX9" s="52">
        <v>57740181.047360487</v>
      </c>
      <c r="BY9" s="52">
        <v>57287171.83416906</v>
      </c>
      <c r="BZ9" s="52">
        <v>56841215.588732734</v>
      </c>
      <c r="CA9" s="52">
        <v>56402148.870313503</v>
      </c>
      <c r="CB9" s="52">
        <v>55969813.249418885</v>
      </c>
      <c r="CC9" s="52">
        <v>55544055.117200993</v>
      </c>
      <c r="CD9" s="52">
        <v>55124725.503489397</v>
      </c>
      <c r="CE9" s="52">
        <v>54711679.903004691</v>
      </c>
      <c r="CF9" s="52">
        <v>54304778.10932707</v>
      </c>
      <c r="CG9" s="52">
        <v>53903884.056219049</v>
      </c>
      <c r="CH9" s="52">
        <v>53508865.665924914</v>
      </c>
      <c r="CI9" s="52">
        <v>53119594.704092145</v>
      </c>
      <c r="CJ9" s="52">
        <v>52735946.640979312</v>
      </c>
      <c r="CK9" s="52">
        <v>52357800.518635608</v>
      </c>
      <c r="CL9" s="52">
        <v>51985038.823753767</v>
      </c>
      <c r="CM9" s="52">
        <v>51617547.365916185</v>
      </c>
    </row>
    <row r="11" spans="1:91" x14ac:dyDescent="0.25">
      <c r="A11" s="52" t="s">
        <v>86</v>
      </c>
    </row>
    <row r="12" spans="1:91" x14ac:dyDescent="0.25">
      <c r="B12" s="52">
        <v>1961</v>
      </c>
      <c r="C12" s="52">
        <v>1962</v>
      </c>
      <c r="D12" s="52">
        <v>1963</v>
      </c>
      <c r="E12" s="52">
        <v>1964</v>
      </c>
      <c r="F12" s="52">
        <v>1965</v>
      </c>
      <c r="G12" s="52">
        <v>1966</v>
      </c>
      <c r="H12" s="52">
        <v>1967</v>
      </c>
      <c r="I12" s="52">
        <v>1968</v>
      </c>
      <c r="J12" s="52">
        <v>1969</v>
      </c>
      <c r="K12" s="52">
        <v>1970</v>
      </c>
      <c r="L12" s="52">
        <v>1971</v>
      </c>
      <c r="M12" s="52">
        <v>1972</v>
      </c>
      <c r="N12" s="52">
        <v>1973</v>
      </c>
      <c r="O12" s="52">
        <v>1974</v>
      </c>
      <c r="P12" s="52">
        <v>1975</v>
      </c>
      <c r="Q12" s="52">
        <v>1976</v>
      </c>
      <c r="R12" s="52">
        <v>1977</v>
      </c>
      <c r="S12" s="52">
        <v>1978</v>
      </c>
      <c r="T12" s="52">
        <v>1979</v>
      </c>
      <c r="U12" s="52">
        <v>1980</v>
      </c>
      <c r="V12" s="52">
        <v>1981</v>
      </c>
      <c r="W12" s="52">
        <v>1982</v>
      </c>
      <c r="X12" s="52">
        <v>1983</v>
      </c>
      <c r="Y12" s="52">
        <v>1984</v>
      </c>
      <c r="Z12" s="52">
        <v>1985</v>
      </c>
      <c r="AA12" s="52">
        <v>1986</v>
      </c>
      <c r="AB12" s="52">
        <v>1987</v>
      </c>
      <c r="AC12" s="52">
        <v>1988</v>
      </c>
      <c r="AD12" s="52">
        <v>1989</v>
      </c>
      <c r="AE12" s="52">
        <v>1990</v>
      </c>
      <c r="AF12" s="52">
        <v>1991</v>
      </c>
      <c r="AG12" s="52">
        <v>1992</v>
      </c>
      <c r="AH12" s="52">
        <v>1993</v>
      </c>
      <c r="AI12" s="52">
        <v>1994</v>
      </c>
      <c r="AJ12" s="52">
        <v>1995</v>
      </c>
      <c r="AK12" s="52">
        <v>1996</v>
      </c>
      <c r="AL12" s="52">
        <v>1997</v>
      </c>
      <c r="AM12" s="52">
        <v>1998</v>
      </c>
      <c r="AN12" s="52">
        <v>1999</v>
      </c>
      <c r="AO12" s="52">
        <v>2000</v>
      </c>
      <c r="AP12" s="52">
        <v>2001</v>
      </c>
      <c r="AQ12" s="52">
        <v>2002</v>
      </c>
      <c r="AR12" s="52">
        <v>2003</v>
      </c>
      <c r="AS12" s="52">
        <v>2004</v>
      </c>
      <c r="AT12" s="52">
        <v>2005</v>
      </c>
      <c r="AU12" s="52">
        <v>2006</v>
      </c>
      <c r="AV12" s="52">
        <v>2007</v>
      </c>
      <c r="AW12" s="52">
        <v>2008</v>
      </c>
      <c r="AX12" s="52">
        <v>2009</v>
      </c>
      <c r="AY12" s="52">
        <v>2010</v>
      </c>
      <c r="AZ12" s="52">
        <v>2011</v>
      </c>
      <c r="BA12" s="52">
        <v>2012</v>
      </c>
      <c r="BB12" s="52">
        <v>2013</v>
      </c>
      <c r="BC12" s="52">
        <v>2014</v>
      </c>
      <c r="BD12" s="52">
        <v>2015</v>
      </c>
      <c r="BE12" s="52">
        <v>2016</v>
      </c>
      <c r="BF12" s="52">
        <v>2017</v>
      </c>
      <c r="BG12" s="52">
        <v>2018</v>
      </c>
      <c r="BH12" s="52">
        <v>2019</v>
      </c>
      <c r="BI12" s="52">
        <v>2020</v>
      </c>
      <c r="BJ12" s="52">
        <v>2021</v>
      </c>
      <c r="BK12" s="52">
        <v>2022</v>
      </c>
      <c r="BL12" s="52">
        <v>2023</v>
      </c>
      <c r="BM12" s="52">
        <v>2024</v>
      </c>
      <c r="BN12" s="52">
        <v>2025</v>
      </c>
      <c r="BO12" s="52">
        <v>2026</v>
      </c>
      <c r="BP12" s="52">
        <v>2027</v>
      </c>
      <c r="BQ12" s="52">
        <v>2028</v>
      </c>
      <c r="BR12" s="52">
        <v>2029</v>
      </c>
      <c r="BS12" s="52">
        <v>2030</v>
      </c>
      <c r="BT12" s="52">
        <v>2031</v>
      </c>
      <c r="BU12" s="52">
        <v>2032</v>
      </c>
      <c r="BV12" s="52">
        <v>2033</v>
      </c>
      <c r="BW12" s="52">
        <v>2034</v>
      </c>
      <c r="BX12" s="52">
        <v>2035</v>
      </c>
      <c r="BY12" s="52">
        <v>2036</v>
      </c>
      <c r="BZ12" s="52">
        <v>2037</v>
      </c>
      <c r="CA12" s="52">
        <v>2038</v>
      </c>
      <c r="CB12" s="52">
        <v>2039</v>
      </c>
      <c r="CC12" s="52">
        <v>2040</v>
      </c>
      <c r="CD12" s="52">
        <v>2041</v>
      </c>
      <c r="CE12" s="52">
        <v>2042</v>
      </c>
      <c r="CF12" s="52">
        <v>2043</v>
      </c>
      <c r="CG12" s="52">
        <v>2044</v>
      </c>
      <c r="CH12" s="52">
        <v>2045</v>
      </c>
      <c r="CI12" s="52">
        <v>2046</v>
      </c>
      <c r="CJ12" s="52">
        <v>2047</v>
      </c>
      <c r="CK12" s="52">
        <v>2048</v>
      </c>
      <c r="CL12" s="52">
        <v>2049</v>
      </c>
      <c r="CM12" s="52">
        <v>2050</v>
      </c>
    </row>
    <row r="13" spans="1:91" x14ac:dyDescent="0.25">
      <c r="A13" s="52" t="s">
        <v>88</v>
      </c>
      <c r="B13" s="52">
        <f>B2*0.73</f>
        <v>0</v>
      </c>
      <c r="C13" s="52">
        <f t="shared" ref="C13:BN13" si="0">C2*0.73</f>
        <v>0</v>
      </c>
      <c r="D13" s="52">
        <f t="shared" si="0"/>
        <v>0</v>
      </c>
      <c r="E13" s="52">
        <f t="shared" si="0"/>
        <v>0</v>
      </c>
      <c r="F13" s="52">
        <f t="shared" si="0"/>
        <v>0</v>
      </c>
      <c r="G13" s="52">
        <f t="shared" si="0"/>
        <v>0</v>
      </c>
      <c r="H13" s="52">
        <f t="shared" si="0"/>
        <v>0</v>
      </c>
      <c r="I13" s="52">
        <f t="shared" si="0"/>
        <v>0</v>
      </c>
      <c r="J13" s="52">
        <f t="shared" si="0"/>
        <v>0</v>
      </c>
      <c r="K13" s="52">
        <f t="shared" si="0"/>
        <v>0</v>
      </c>
      <c r="L13" s="52">
        <f t="shared" si="0"/>
        <v>0</v>
      </c>
      <c r="M13" s="52">
        <f t="shared" si="0"/>
        <v>0</v>
      </c>
      <c r="N13" s="52">
        <f t="shared" si="0"/>
        <v>0</v>
      </c>
      <c r="O13" s="52">
        <f t="shared" si="0"/>
        <v>0</v>
      </c>
      <c r="P13" s="52">
        <f t="shared" si="0"/>
        <v>0</v>
      </c>
      <c r="Q13" s="52">
        <f t="shared" si="0"/>
        <v>0</v>
      </c>
      <c r="R13" s="52">
        <f t="shared" si="0"/>
        <v>0</v>
      </c>
      <c r="S13" s="52">
        <f t="shared" si="0"/>
        <v>0</v>
      </c>
      <c r="T13" s="52">
        <f t="shared" si="0"/>
        <v>0</v>
      </c>
      <c r="U13" s="52">
        <f t="shared" si="0"/>
        <v>0</v>
      </c>
      <c r="V13" s="52">
        <f t="shared" si="0"/>
        <v>0</v>
      </c>
      <c r="W13" s="52">
        <f t="shared" si="0"/>
        <v>0</v>
      </c>
      <c r="X13" s="52">
        <f t="shared" si="0"/>
        <v>0</v>
      </c>
      <c r="Y13" s="52">
        <f t="shared" si="0"/>
        <v>0</v>
      </c>
      <c r="Z13" s="52">
        <f t="shared" si="0"/>
        <v>0</v>
      </c>
      <c r="AA13" s="52">
        <f t="shared" si="0"/>
        <v>0</v>
      </c>
      <c r="AB13" s="52">
        <f t="shared" si="0"/>
        <v>0</v>
      </c>
      <c r="AC13" s="52">
        <f t="shared" si="0"/>
        <v>0</v>
      </c>
      <c r="AD13" s="52">
        <f t="shared" si="0"/>
        <v>0</v>
      </c>
      <c r="AE13" s="52">
        <f t="shared" si="0"/>
        <v>0</v>
      </c>
      <c r="AF13" s="52">
        <f t="shared" si="0"/>
        <v>264298.13384870189</v>
      </c>
      <c r="AG13" s="52">
        <f t="shared" si="0"/>
        <v>520633.93324715138</v>
      </c>
      <c r="AH13" s="52">
        <f t="shared" si="0"/>
        <v>769361.87263473251</v>
      </c>
      <c r="AI13" s="52">
        <f t="shared" si="0"/>
        <v>1010815.693040224</v>
      </c>
      <c r="AJ13" s="52">
        <f t="shared" si="0"/>
        <v>1245309.8961211501</v>
      </c>
      <c r="AK13" s="52">
        <f t="shared" si="0"/>
        <v>1473141.1108468894</v>
      </c>
      <c r="AL13" s="52">
        <f t="shared" si="0"/>
        <v>1694589.3453137057</v>
      </c>
      <c r="AM13" s="52">
        <f t="shared" si="0"/>
        <v>1909919.13479971</v>
      </c>
      <c r="AN13" s="52">
        <f t="shared" si="0"/>
        <v>2119380.5959568662</v>
      </c>
      <c r="AO13" s="52">
        <f t="shared" si="0"/>
        <v>2323210.3959727613</v>
      </c>
      <c r="AP13" s="52">
        <f t="shared" si="0"/>
        <v>2501128.3875601627</v>
      </c>
      <c r="AQ13" s="52">
        <f t="shared" si="0"/>
        <v>2992716.5447963728</v>
      </c>
      <c r="AR13" s="52">
        <f t="shared" si="0"/>
        <v>3870875.3137433636</v>
      </c>
      <c r="AS13" s="52">
        <f t="shared" si="0"/>
        <v>4626359.6083531128</v>
      </c>
      <c r="AT13" s="52">
        <f t="shared" si="0"/>
        <v>5253285.8776954524</v>
      </c>
      <c r="AU13" s="52">
        <f t="shared" si="0"/>
        <v>6490042.973514053</v>
      </c>
      <c r="AV13" s="52">
        <f t="shared" si="0"/>
        <v>8626704.6787839495</v>
      </c>
      <c r="AW13" s="52">
        <f t="shared" si="0"/>
        <v>12139091.505161144</v>
      </c>
      <c r="AX13" s="52">
        <f t="shared" si="0"/>
        <v>13126471.001578134</v>
      </c>
      <c r="AY13" s="52">
        <f t="shared" si="0"/>
        <v>14105284.902994657</v>
      </c>
      <c r="AZ13" s="52">
        <f t="shared" si="0"/>
        <v>15075644.188851245</v>
      </c>
      <c r="BA13" s="52">
        <f t="shared" si="0"/>
        <v>16037657.929637915</v>
      </c>
      <c r="BB13" s="52">
        <f t="shared" si="0"/>
        <v>16991433.327763122</v>
      </c>
      <c r="BC13" s="52">
        <f t="shared" si="0"/>
        <v>17937075.757377177</v>
      </c>
      <c r="BD13" s="52">
        <f t="shared" si="0"/>
        <v>18874688.803181317</v>
      </c>
      <c r="BE13" s="52">
        <f t="shared" si="0"/>
        <v>19804374.298252288</v>
      </c>
      <c r="BF13" s="52">
        <f t="shared" si="0"/>
        <v>20726232.360911638</v>
      </c>
      <c r="BG13" s="52">
        <f t="shared" si="0"/>
        <v>21640361.430667602</v>
      </c>
      <c r="BH13" s="52">
        <f t="shared" si="0"/>
        <v>22546858.967190493</v>
      </c>
      <c r="BI13" s="52">
        <f t="shared" si="0"/>
        <v>22453126.749261886</v>
      </c>
      <c r="BJ13" s="52">
        <f t="shared" si="0"/>
        <v>22360170.635508824</v>
      </c>
      <c r="BK13" s="52">
        <f t="shared" si="0"/>
        <v>22267981.026441887</v>
      </c>
      <c r="BL13" s="52">
        <f t="shared" si="0"/>
        <v>22176548.480234023</v>
      </c>
      <c r="BM13" s="52">
        <f t="shared" si="0"/>
        <v>22085863.709497008</v>
      </c>
      <c r="BN13" s="52">
        <f t="shared" si="0"/>
        <v>21995917.578136601</v>
      </c>
      <c r="BO13" s="52">
        <f t="shared" ref="BO13:CM13" si="1">BO2*0.73</f>
        <v>21906701.098284278</v>
      </c>
      <c r="BP13" s="52">
        <f t="shared" si="1"/>
        <v>21818205.427303322</v>
      </c>
      <c r="BQ13" s="52">
        <f t="shared" si="1"/>
        <v>21730421.86486721</v>
      </c>
      <c r="BR13" s="52">
        <f t="shared" si="1"/>
        <v>21643341.85010818</v>
      </c>
      <c r="BS13" s="52">
        <f t="shared" si="1"/>
        <v>21556956.95883416</v>
      </c>
      <c r="BT13" s="52">
        <f t="shared" si="1"/>
        <v>21471258.900812052</v>
      </c>
      <c r="BU13" s="52">
        <f t="shared" si="1"/>
        <v>21386239.517115533</v>
      </c>
      <c r="BV13" s="52">
        <f t="shared" si="1"/>
        <v>21301890.777535658</v>
      </c>
      <c r="BW13" s="52">
        <f t="shared" si="1"/>
        <v>21218204.778052483</v>
      </c>
      <c r="BX13" s="52">
        <f t="shared" si="1"/>
        <v>21135173.738366045</v>
      </c>
      <c r="BY13" s="52">
        <f t="shared" si="1"/>
        <v>21052789.999485102</v>
      </c>
      <c r="BZ13" s="52">
        <f t="shared" si="1"/>
        <v>20971046.021372028</v>
      </c>
      <c r="CA13" s="52">
        <f t="shared" si="1"/>
        <v>20889934.380642388</v>
      </c>
      <c r="CB13" s="52">
        <f t="shared" si="1"/>
        <v>20809447.768317673</v>
      </c>
      <c r="CC13" s="52">
        <f t="shared" si="1"/>
        <v>20729578.987629782</v>
      </c>
      <c r="CD13" s="52">
        <f t="shared" si="1"/>
        <v>20650320.951875895</v>
      </c>
      <c r="CE13" s="52">
        <f t="shared" si="1"/>
        <v>20571666.682322353</v>
      </c>
      <c r="CF13" s="52">
        <f t="shared" si="1"/>
        <v>20493609.306156244</v>
      </c>
      <c r="CG13" s="52">
        <f t="shared" si="1"/>
        <v>20416142.054483488</v>
      </c>
      <c r="CH13" s="52">
        <f t="shared" si="1"/>
        <v>20339258.260372117</v>
      </c>
      <c r="CI13" s="52">
        <f t="shared" si="1"/>
        <v>20262951.356939618</v>
      </c>
      <c r="CJ13" s="52">
        <f t="shared" si="1"/>
        <v>20187214.875483166</v>
      </c>
      <c r="CK13" s="52">
        <f t="shared" si="1"/>
        <v>20112042.443651643</v>
      </c>
      <c r="CL13" s="52">
        <f t="shared" si="1"/>
        <v>20037427.783658333</v>
      </c>
      <c r="CM13" s="52">
        <f t="shared" si="1"/>
        <v>19963364.71053325</v>
      </c>
    </row>
    <row r="14" spans="1:91" x14ac:dyDescent="0.25">
      <c r="A14" s="52" t="s">
        <v>84</v>
      </c>
      <c r="B14" s="52">
        <f>B3*0.39</f>
        <v>0</v>
      </c>
      <c r="C14" s="52">
        <f t="shared" ref="C14:BN14" si="2">C3*0.39</f>
        <v>0</v>
      </c>
      <c r="D14" s="52">
        <f t="shared" si="2"/>
        <v>0</v>
      </c>
      <c r="E14" s="52">
        <f t="shared" si="2"/>
        <v>0</v>
      </c>
      <c r="F14" s="52">
        <f t="shared" si="2"/>
        <v>0</v>
      </c>
      <c r="G14" s="52">
        <f t="shared" si="2"/>
        <v>0</v>
      </c>
      <c r="H14" s="52">
        <f t="shared" si="2"/>
        <v>0</v>
      </c>
      <c r="I14" s="52">
        <f t="shared" si="2"/>
        <v>0</v>
      </c>
      <c r="J14" s="52">
        <f t="shared" si="2"/>
        <v>0</v>
      </c>
      <c r="K14" s="52">
        <f t="shared" si="2"/>
        <v>0</v>
      </c>
      <c r="L14" s="52">
        <f t="shared" si="2"/>
        <v>0</v>
      </c>
      <c r="M14" s="52">
        <f t="shared" si="2"/>
        <v>0</v>
      </c>
      <c r="N14" s="52">
        <f t="shared" si="2"/>
        <v>0</v>
      </c>
      <c r="O14" s="52">
        <f t="shared" si="2"/>
        <v>0</v>
      </c>
      <c r="P14" s="52">
        <f t="shared" si="2"/>
        <v>0</v>
      </c>
      <c r="Q14" s="52">
        <f t="shared" si="2"/>
        <v>0</v>
      </c>
      <c r="R14" s="52">
        <f t="shared" si="2"/>
        <v>0</v>
      </c>
      <c r="S14" s="52">
        <f t="shared" si="2"/>
        <v>0</v>
      </c>
      <c r="T14" s="52">
        <f t="shared" si="2"/>
        <v>0</v>
      </c>
      <c r="U14" s="52">
        <f t="shared" si="2"/>
        <v>0</v>
      </c>
      <c r="V14" s="52">
        <f t="shared" si="2"/>
        <v>0</v>
      </c>
      <c r="W14" s="52">
        <f t="shared" si="2"/>
        <v>0</v>
      </c>
      <c r="X14" s="52">
        <f t="shared" si="2"/>
        <v>0</v>
      </c>
      <c r="Y14" s="52">
        <f t="shared" si="2"/>
        <v>0</v>
      </c>
      <c r="Z14" s="52">
        <f t="shared" si="2"/>
        <v>0</v>
      </c>
      <c r="AA14" s="52">
        <f t="shared" si="2"/>
        <v>0</v>
      </c>
      <c r="AB14" s="52">
        <f t="shared" si="2"/>
        <v>0</v>
      </c>
      <c r="AC14" s="52">
        <f t="shared" si="2"/>
        <v>0</v>
      </c>
      <c r="AD14" s="52">
        <f t="shared" si="2"/>
        <v>0</v>
      </c>
      <c r="AE14" s="52">
        <f t="shared" si="2"/>
        <v>0</v>
      </c>
      <c r="AF14" s="52">
        <f t="shared" si="2"/>
        <v>0</v>
      </c>
      <c r="AG14" s="52">
        <f t="shared" si="2"/>
        <v>0</v>
      </c>
      <c r="AH14" s="52">
        <f t="shared" si="2"/>
        <v>0</v>
      </c>
      <c r="AI14" s="52">
        <f t="shared" si="2"/>
        <v>0</v>
      </c>
      <c r="AJ14" s="52">
        <f t="shared" si="2"/>
        <v>0</v>
      </c>
      <c r="AK14" s="52">
        <f t="shared" si="2"/>
        <v>0</v>
      </c>
      <c r="AL14" s="52">
        <f t="shared" si="2"/>
        <v>0</v>
      </c>
      <c r="AM14" s="52">
        <f t="shared" si="2"/>
        <v>0</v>
      </c>
      <c r="AN14" s="52">
        <f t="shared" si="2"/>
        <v>0</v>
      </c>
      <c r="AO14" s="52">
        <f t="shared" si="2"/>
        <v>0</v>
      </c>
      <c r="AP14" s="52">
        <f t="shared" si="2"/>
        <v>26902.341993431211</v>
      </c>
      <c r="AQ14" s="52">
        <f t="shared" si="2"/>
        <v>32526.606109635377</v>
      </c>
      <c r="AR14" s="52">
        <f t="shared" si="2"/>
        <v>43564.042547470432</v>
      </c>
      <c r="AS14" s="52">
        <f t="shared" si="2"/>
        <v>84536.761375307266</v>
      </c>
      <c r="AT14" s="52">
        <f t="shared" si="2"/>
        <v>271911.14066607878</v>
      </c>
      <c r="AU14" s="52">
        <f t="shared" si="2"/>
        <v>741604.83511076646</v>
      </c>
      <c r="AV14" s="52">
        <f t="shared" si="2"/>
        <v>1435703.7325092244</v>
      </c>
      <c r="AW14" s="52">
        <f t="shared" si="2"/>
        <v>1777556.8524855981</v>
      </c>
      <c r="AX14" s="52">
        <f t="shared" si="2"/>
        <v>1863278.5505074349</v>
      </c>
      <c r="AY14" s="52">
        <f t="shared" si="2"/>
        <v>1947310.4713917852</v>
      </c>
      <c r="AZ14" s="52">
        <f t="shared" si="2"/>
        <v>2029702.0917361467</v>
      </c>
      <c r="BA14" s="52">
        <f t="shared" si="2"/>
        <v>2110500.9752444732</v>
      </c>
      <c r="BB14" s="52">
        <f t="shared" si="2"/>
        <v>2189752.8642889517</v>
      </c>
      <c r="BC14" s="52">
        <f t="shared" si="2"/>
        <v>2267501.7662624517</v>
      </c>
      <c r="BD14" s="52">
        <f t="shared" si="2"/>
        <v>2343790.0350641971</v>
      </c>
      <c r="BE14" s="52">
        <f t="shared" si="2"/>
        <v>2418658.4480356607</v>
      </c>
      <c r="BF14" s="52">
        <f t="shared" si="2"/>
        <v>2492146.2786403401</v>
      </c>
      <c r="BG14" s="52">
        <f t="shared" si="2"/>
        <v>2564291.3651595972</v>
      </c>
      <c r="BH14" s="52">
        <f t="shared" si="2"/>
        <v>2635128.1051006331</v>
      </c>
      <c r="BI14" s="52">
        <f t="shared" si="2"/>
        <v>2611486.0130005423</v>
      </c>
      <c r="BJ14" s="52">
        <f t="shared" si="2"/>
        <v>2588264.3773351274</v>
      </c>
      <c r="BK14" s="52">
        <f t="shared" si="2"/>
        <v>2565452.080719721</v>
      </c>
      <c r="BL14" s="52">
        <f t="shared" si="2"/>
        <v>2543038.3942884281</v>
      </c>
      <c r="BM14" s="52">
        <f t="shared" si="2"/>
        <v>2521012.960869187</v>
      </c>
      <c r="BN14" s="52">
        <f t="shared" si="2"/>
        <v>2499365.7790256487</v>
      </c>
      <c r="BO14" s="52">
        <f t="shared" ref="BO14:CM14" si="3">BO3*0.39</f>
        <v>2478087.1879142313</v>
      </c>
      <c r="BP14" s="52">
        <f t="shared" si="3"/>
        <v>2457167.8529081573</v>
      </c>
      <c r="BQ14" s="52">
        <f t="shared" si="3"/>
        <v>2436598.751943558</v>
      </c>
      <c r="BR14" s="52">
        <f t="shared" si="3"/>
        <v>2416371.1625456568</v>
      </c>
      <c r="BS14" s="52">
        <f t="shared" si="3"/>
        <v>2396476.6494958596</v>
      </c>
      <c r="BT14" s="52">
        <f t="shared" si="3"/>
        <v>2376907.0531031038</v>
      </c>
      <c r="BU14" s="52">
        <f t="shared" si="3"/>
        <v>2357654.4780452056</v>
      </c>
      <c r="BV14" s="52">
        <f t="shared" si="3"/>
        <v>2338711.2827481581</v>
      </c>
      <c r="BW14" s="52">
        <f t="shared" si="3"/>
        <v>2320070.0692733484</v>
      </c>
      <c r="BX14" s="52">
        <f t="shared" si="3"/>
        <v>2301723.6736845965</v>
      </c>
      <c r="BY14" s="52">
        <f t="shared" si="3"/>
        <v>2283665.1568686436</v>
      </c>
      <c r="BZ14" s="52">
        <f t="shared" si="3"/>
        <v>2265887.795784404</v>
      </c>
      <c r="CA14" s="52">
        <f t="shared" si="3"/>
        <v>2248385.0751177748</v>
      </c>
      <c r="CB14" s="52">
        <f t="shared" si="3"/>
        <v>2231150.6793202613</v>
      </c>
      <c r="CC14" s="52">
        <f t="shared" si="3"/>
        <v>2214178.4850109671</v>
      </c>
      <c r="CD14" s="52">
        <f t="shared" si="3"/>
        <v>2197462.5537227481</v>
      </c>
      <c r="CE14" s="52">
        <f t="shared" si="3"/>
        <v>2180997.1249744887</v>
      </c>
      <c r="CF14" s="52">
        <f t="shared" si="3"/>
        <v>2164776.6096525108</v>
      </c>
      <c r="CG14" s="52">
        <f t="shared" si="3"/>
        <v>2148795.5836851476</v>
      </c>
      <c r="CH14" s="52">
        <f t="shared" si="3"/>
        <v>2133048.7819954366</v>
      </c>
      <c r="CI14" s="52">
        <f t="shared" si="3"/>
        <v>2117531.0927177821</v>
      </c>
      <c r="CJ14" s="52">
        <f t="shared" si="3"/>
        <v>2102237.5516652218</v>
      </c>
      <c r="CK14" s="52">
        <f t="shared" si="3"/>
        <v>2087163.3370347449</v>
      </c>
      <c r="CL14" s="52">
        <f t="shared" si="3"/>
        <v>2072303.7643387644</v>
      </c>
      <c r="CM14" s="52">
        <f t="shared" si="3"/>
        <v>2057654.2815515902</v>
      </c>
    </row>
    <row r="15" spans="1:91" x14ac:dyDescent="0.25">
      <c r="A15" s="52" t="s">
        <v>74</v>
      </c>
      <c r="B15" s="52">
        <f>B4*0.77</f>
        <v>0</v>
      </c>
      <c r="C15" s="52">
        <f t="shared" ref="C15:BN15" si="4">C4*0.77</f>
        <v>0</v>
      </c>
      <c r="D15" s="52">
        <f t="shared" si="4"/>
        <v>0</v>
      </c>
      <c r="E15" s="52">
        <f t="shared" si="4"/>
        <v>0</v>
      </c>
      <c r="F15" s="52">
        <f t="shared" si="4"/>
        <v>0</v>
      </c>
      <c r="G15" s="52">
        <f t="shared" si="4"/>
        <v>0</v>
      </c>
      <c r="H15" s="52">
        <f t="shared" si="4"/>
        <v>0</v>
      </c>
      <c r="I15" s="52">
        <f t="shared" si="4"/>
        <v>0</v>
      </c>
      <c r="J15" s="52">
        <f t="shared" si="4"/>
        <v>0</v>
      </c>
      <c r="K15" s="52">
        <f t="shared" si="4"/>
        <v>0</v>
      </c>
      <c r="L15" s="52">
        <f t="shared" si="4"/>
        <v>0</v>
      </c>
      <c r="M15" s="52">
        <f t="shared" si="4"/>
        <v>0</v>
      </c>
      <c r="N15" s="52">
        <f t="shared" si="4"/>
        <v>0</v>
      </c>
      <c r="O15" s="52">
        <f t="shared" si="4"/>
        <v>0</v>
      </c>
      <c r="P15" s="52">
        <f t="shared" si="4"/>
        <v>0</v>
      </c>
      <c r="Q15" s="52">
        <f t="shared" si="4"/>
        <v>0</v>
      </c>
      <c r="R15" s="52">
        <f t="shared" si="4"/>
        <v>0</v>
      </c>
      <c r="S15" s="52">
        <f t="shared" si="4"/>
        <v>0</v>
      </c>
      <c r="T15" s="52">
        <f t="shared" si="4"/>
        <v>0</v>
      </c>
      <c r="U15" s="52">
        <f t="shared" si="4"/>
        <v>0</v>
      </c>
      <c r="V15" s="52">
        <f t="shared" si="4"/>
        <v>0</v>
      </c>
      <c r="W15" s="52">
        <f t="shared" si="4"/>
        <v>0</v>
      </c>
      <c r="X15" s="52">
        <f t="shared" si="4"/>
        <v>0</v>
      </c>
      <c r="Y15" s="52">
        <f t="shared" si="4"/>
        <v>0</v>
      </c>
      <c r="Z15" s="52">
        <f t="shared" si="4"/>
        <v>0</v>
      </c>
      <c r="AA15" s="52">
        <f t="shared" si="4"/>
        <v>0</v>
      </c>
      <c r="AB15" s="52">
        <f t="shared" si="4"/>
        <v>0</v>
      </c>
      <c r="AC15" s="52">
        <f t="shared" si="4"/>
        <v>0</v>
      </c>
      <c r="AD15" s="52">
        <f t="shared" si="4"/>
        <v>0</v>
      </c>
      <c r="AE15" s="52">
        <f t="shared" si="4"/>
        <v>0</v>
      </c>
      <c r="AF15" s="52">
        <f t="shared" si="4"/>
        <v>208024.1621576488</v>
      </c>
      <c r="AG15" s="52">
        <f t="shared" si="4"/>
        <v>411924.72953346017</v>
      </c>
      <c r="AH15" s="52">
        <f t="shared" si="4"/>
        <v>611823.10981665761</v>
      </c>
      <c r="AI15" s="52">
        <f t="shared" si="4"/>
        <v>807835.99100372917</v>
      </c>
      <c r="AJ15" s="52">
        <f t="shared" si="4"/>
        <v>1000075.5685369899</v>
      </c>
      <c r="AK15" s="52">
        <f t="shared" si="4"/>
        <v>1188649.7594507593</v>
      </c>
      <c r="AL15" s="52">
        <f t="shared" si="4"/>
        <v>1373662.40438398</v>
      </c>
      <c r="AM15" s="52">
        <f t="shared" si="4"/>
        <v>1555213.4582538607</v>
      </c>
      <c r="AN15" s="52">
        <f t="shared" si="4"/>
        <v>1733399.1703261845</v>
      </c>
      <c r="AO15" s="52">
        <f t="shared" si="4"/>
        <v>1908312.254363897</v>
      </c>
      <c r="AP15" s="52">
        <f t="shared" si="4"/>
        <v>2018799.114348168</v>
      </c>
      <c r="AQ15" s="52">
        <f t="shared" si="4"/>
        <v>2243588.684305327</v>
      </c>
      <c r="AR15" s="52">
        <f t="shared" si="4"/>
        <v>2526632.3286091886</v>
      </c>
      <c r="AS15" s="52">
        <f t="shared" si="4"/>
        <v>2361041.2398640998</v>
      </c>
      <c r="AT15" s="52">
        <f t="shared" si="4"/>
        <v>2659008.1265411368</v>
      </c>
      <c r="AU15" s="52">
        <f t="shared" si="4"/>
        <v>3094647.5893906583</v>
      </c>
      <c r="AV15" s="52">
        <f t="shared" si="4"/>
        <v>3710425.8761225208</v>
      </c>
      <c r="AW15" s="52">
        <f t="shared" si="4"/>
        <v>4875043.4521638285</v>
      </c>
      <c r="AX15" s="52">
        <f t="shared" si="4"/>
        <v>5531997.0177750206</v>
      </c>
      <c r="AY15" s="52">
        <f t="shared" si="4"/>
        <v>6179548.2915726658</v>
      </c>
      <c r="AZ15" s="52">
        <f t="shared" si="4"/>
        <v>6817897.6872086357</v>
      </c>
      <c r="BA15" s="52">
        <f t="shared" si="4"/>
        <v>7447239.9626551578</v>
      </c>
      <c r="BB15" s="52">
        <f t="shared" si="4"/>
        <v>8067764.4183114441</v>
      </c>
      <c r="BC15" s="52">
        <f t="shared" si="4"/>
        <v>8679655.0868412256</v>
      </c>
      <c r="BD15" s="52">
        <f t="shared" si="4"/>
        <v>9283090.9151409566</v>
      </c>
      <c r="BE15" s="52">
        <f t="shared" si="4"/>
        <v>9878245.9388167206</v>
      </c>
      <c r="BF15" s="52">
        <f t="shared" si="4"/>
        <v>10465289.449527144</v>
      </c>
      <c r="BG15" s="52">
        <f t="shared" si="4"/>
        <v>11044386.155530415</v>
      </c>
      <c r="BH15" s="52">
        <f t="shared" si="4"/>
        <v>11615695.356558682</v>
      </c>
      <c r="BI15" s="52">
        <f t="shared" si="4"/>
        <v>11538124.629653987</v>
      </c>
      <c r="BJ15" s="52">
        <f t="shared" si="4"/>
        <v>11461583.079307759</v>
      </c>
      <c r="BK15" s="52">
        <f t="shared" si="4"/>
        <v>11386050.358460136</v>
      </c>
      <c r="BL15" s="52">
        <f t="shared" si="4"/>
        <v>11311506.652894575</v>
      </c>
      <c r="BM15" s="52">
        <f t="shared" si="4"/>
        <v>11237932.663908873</v>
      </c>
      <c r="BN15" s="52">
        <f t="shared" si="4"/>
        <v>11165309.591658067</v>
      </c>
      <c r="BO15" s="52">
        <f t="shared" ref="BO15:CM15" si="5">BO4*0.77</f>
        <v>11093619.119139085</v>
      </c>
      <c r="BP15" s="52">
        <f t="shared" si="5"/>
        <v>11022843.396788407</v>
      </c>
      <c r="BQ15" s="52">
        <f t="shared" si="5"/>
        <v>10952965.02766563</v>
      </c>
      <c r="BR15" s="52">
        <f t="shared" si="5"/>
        <v>10883967.053196987</v>
      </c>
      <c r="BS15" s="52">
        <f t="shared" si="5"/>
        <v>10815832.939454395</v>
      </c>
      <c r="BT15" s="52">
        <f t="shared" si="5"/>
        <v>10748546.563946638</v>
      </c>
      <c r="BU15" s="52">
        <f t="shared" si="5"/>
        <v>10682092.202900534</v>
      </c>
      <c r="BV15" s="52">
        <f t="shared" si="5"/>
        <v>10616454.519011034</v>
      </c>
      <c r="BW15" s="52">
        <f t="shared" si="5"/>
        <v>10551618.549640182</v>
      </c>
      <c r="BX15" s="52">
        <f t="shared" si="5"/>
        <v>10487569.695445878</v>
      </c>
      <c r="BY15" s="52">
        <f t="shared" si="5"/>
        <v>10424293.709422277</v>
      </c>
      <c r="BZ15" s="52">
        <f t="shared" si="5"/>
        <v>10361776.686334567</v>
      </c>
      <c r="CA15" s="52">
        <f t="shared" si="5"/>
        <v>10300005.052531632</v>
      </c>
      <c r="CB15" s="52">
        <f t="shared" si="5"/>
        <v>10238965.556120973</v>
      </c>
      <c r="CC15" s="52">
        <f t="shared" si="5"/>
        <v>10178645.257490899</v>
      </c>
      <c r="CD15" s="52">
        <f t="shared" si="5"/>
        <v>10119031.520165781</v>
      </c>
      <c r="CE15" s="52">
        <f t="shared" si="5"/>
        <v>10060112.001980785</v>
      </c>
      <c r="CF15" s="52">
        <f t="shared" si="5"/>
        <v>10001874.646563144</v>
      </c>
      <c r="CG15" s="52">
        <f t="shared" si="5"/>
        <v>9944307.6751075964</v>
      </c>
      <c r="CH15" s="52">
        <f t="shared" si="5"/>
        <v>9887399.5784342512</v>
      </c>
      <c r="CI15" s="52">
        <f t="shared" si="5"/>
        <v>9831139.1093175672</v>
      </c>
      <c r="CJ15" s="52">
        <f t="shared" si="5"/>
        <v>9775515.2750757895</v>
      </c>
      <c r="CK15" s="52">
        <f t="shared" si="5"/>
        <v>9720517.3304104954</v>
      </c>
      <c r="CL15" s="52">
        <f t="shared" si="5"/>
        <v>9666134.7704865225</v>
      </c>
      <c r="CM15" s="52">
        <f t="shared" si="5"/>
        <v>9612357.3242429085</v>
      </c>
    </row>
    <row r="16" spans="1:91" x14ac:dyDescent="0.25">
      <c r="A16" s="52" t="s">
        <v>75</v>
      </c>
      <c r="B16" s="52">
        <f>B5*0.73</f>
        <v>0</v>
      </c>
      <c r="C16" s="52">
        <f t="shared" ref="C16:BN16" si="6">C5*0.73</f>
        <v>0</v>
      </c>
      <c r="D16" s="52">
        <f t="shared" si="6"/>
        <v>0</v>
      </c>
      <c r="E16" s="52">
        <f t="shared" si="6"/>
        <v>0</v>
      </c>
      <c r="F16" s="52">
        <f t="shared" si="6"/>
        <v>0</v>
      </c>
      <c r="G16" s="52">
        <f t="shared" si="6"/>
        <v>0</v>
      </c>
      <c r="H16" s="52">
        <f t="shared" si="6"/>
        <v>0</v>
      </c>
      <c r="I16" s="52">
        <f t="shared" si="6"/>
        <v>0</v>
      </c>
      <c r="J16" s="52">
        <f t="shared" si="6"/>
        <v>0</v>
      </c>
      <c r="K16" s="52">
        <f t="shared" si="6"/>
        <v>0</v>
      </c>
      <c r="L16" s="52">
        <f t="shared" si="6"/>
        <v>0</v>
      </c>
      <c r="M16" s="52">
        <f t="shared" si="6"/>
        <v>0</v>
      </c>
      <c r="N16" s="52">
        <f t="shared" si="6"/>
        <v>0</v>
      </c>
      <c r="O16" s="52">
        <f t="shared" si="6"/>
        <v>0</v>
      </c>
      <c r="P16" s="52">
        <f t="shared" si="6"/>
        <v>0</v>
      </c>
      <c r="Q16" s="52">
        <f t="shared" si="6"/>
        <v>0</v>
      </c>
      <c r="R16" s="52">
        <f t="shared" si="6"/>
        <v>0</v>
      </c>
      <c r="S16" s="52">
        <f t="shared" si="6"/>
        <v>0</v>
      </c>
      <c r="T16" s="52">
        <f t="shared" si="6"/>
        <v>0</v>
      </c>
      <c r="U16" s="52">
        <f t="shared" si="6"/>
        <v>0</v>
      </c>
      <c r="V16" s="52">
        <f t="shared" si="6"/>
        <v>0</v>
      </c>
      <c r="W16" s="52">
        <f t="shared" si="6"/>
        <v>0</v>
      </c>
      <c r="X16" s="52">
        <f t="shared" si="6"/>
        <v>0</v>
      </c>
      <c r="Y16" s="52">
        <f t="shared" si="6"/>
        <v>0</v>
      </c>
      <c r="Z16" s="52">
        <f t="shared" si="6"/>
        <v>0</v>
      </c>
      <c r="AA16" s="52">
        <f t="shared" si="6"/>
        <v>0</v>
      </c>
      <c r="AB16" s="52">
        <f t="shared" si="6"/>
        <v>0</v>
      </c>
      <c r="AC16" s="52">
        <f t="shared" si="6"/>
        <v>0</v>
      </c>
      <c r="AD16" s="52">
        <f t="shared" si="6"/>
        <v>0</v>
      </c>
      <c r="AE16" s="52">
        <f t="shared" si="6"/>
        <v>0</v>
      </c>
      <c r="AF16" s="52">
        <f t="shared" si="6"/>
        <v>141655.8246940937</v>
      </c>
      <c r="AG16" s="52">
        <f t="shared" si="6"/>
        <v>278316.32883035287</v>
      </c>
      <c r="AH16" s="52">
        <f t="shared" si="6"/>
        <v>410241.16510618036</v>
      </c>
      <c r="AI16" s="52">
        <f t="shared" si="6"/>
        <v>537672.29732258513</v>
      </c>
      <c r="AJ16" s="52">
        <f t="shared" si="6"/>
        <v>660835.48148400441</v>
      </c>
      <c r="AK16" s="52">
        <f t="shared" si="6"/>
        <v>779941.60053332511</v>
      </c>
      <c r="AL16" s="52">
        <f t="shared" si="6"/>
        <v>895187.86932335875</v>
      </c>
      <c r="AM16" s="52">
        <f t="shared" si="6"/>
        <v>1006758.9243083757</v>
      </c>
      <c r="AN16" s="52">
        <f t="shared" si="6"/>
        <v>1114827.8106207573</v>
      </c>
      <c r="AO16" s="52">
        <f t="shared" si="6"/>
        <v>1219556.8776321944</v>
      </c>
      <c r="AP16" s="52">
        <f t="shared" si="6"/>
        <v>1282201.3236053002</v>
      </c>
      <c r="AQ16" s="52">
        <f t="shared" si="6"/>
        <v>1416385.4797691326</v>
      </c>
      <c r="AR16" s="52">
        <f t="shared" si="6"/>
        <v>1585687.6762858217</v>
      </c>
      <c r="AS16" s="52">
        <f t="shared" si="6"/>
        <v>1473250.4666776645</v>
      </c>
      <c r="AT16" s="52">
        <f t="shared" si="6"/>
        <v>1649863.4472535213</v>
      </c>
      <c r="AU16" s="52">
        <f t="shared" si="6"/>
        <v>1909636.6576791359</v>
      </c>
      <c r="AV16" s="52">
        <f t="shared" si="6"/>
        <v>2286406.3790532732</v>
      </c>
      <c r="AW16" s="52">
        <f t="shared" si="6"/>
        <v>2999908.2075047186</v>
      </c>
      <c r="AX16" s="52">
        <f t="shared" si="6"/>
        <v>3399544.1588187213</v>
      </c>
      <c r="AY16" s="52">
        <f t="shared" si="6"/>
        <v>3792398.74445805</v>
      </c>
      <c r="AZ16" s="52">
        <f t="shared" si="6"/>
        <v>4178643.1203086246</v>
      </c>
      <c r="BA16" s="52">
        <f t="shared" si="6"/>
        <v>4558442.7305379044</v>
      </c>
      <c r="BB16" s="52">
        <f t="shared" si="6"/>
        <v>4931957.5438838666</v>
      </c>
      <c r="BC16" s="52">
        <f t="shared" si="6"/>
        <v>5299342.2783102151</v>
      </c>
      <c r="BD16" s="52">
        <f t="shared" si="6"/>
        <v>5660746.6146905273</v>
      </c>
      <c r="BE16" s="52">
        <f t="shared" si="6"/>
        <v>6016315.4001414459</v>
      </c>
      <c r="BF16" s="52">
        <f t="shared" si="6"/>
        <v>6366188.8415851137</v>
      </c>
      <c r="BG16" s="52">
        <f t="shared" si="6"/>
        <v>6710502.690084382</v>
      </c>
      <c r="BH16" s="52">
        <f t="shared" si="6"/>
        <v>7049387.8222004967</v>
      </c>
      <c r="BI16" s="52">
        <f t="shared" si="6"/>
        <v>6994255.4582854304</v>
      </c>
      <c r="BJ16" s="52">
        <f t="shared" si="6"/>
        <v>6939978.7686372381</v>
      </c>
      <c r="BK16" s="52">
        <f t="shared" si="6"/>
        <v>6886537.9860906443</v>
      </c>
      <c r="BL16" s="52">
        <f t="shared" si="6"/>
        <v>6833913.947689971</v>
      </c>
      <c r="BM16" s="52">
        <f t="shared" si="6"/>
        <v>6782088.0717786076</v>
      </c>
      <c r="BN16" s="52">
        <f t="shared" si="6"/>
        <v>6731042.3361231312</v>
      </c>
      <c r="BO16" s="52">
        <f t="shared" ref="BO16:CM16" si="7">BO5*0.73</f>
        <v>6680759.2570179412</v>
      </c>
      <c r="BP16" s="52">
        <f t="shared" si="7"/>
        <v>6631221.8693195153</v>
      </c>
      <c r="BQ16" s="52">
        <f t="shared" si="7"/>
        <v>6582413.7073623948</v>
      </c>
      <c r="BR16" s="52">
        <f t="shared" si="7"/>
        <v>6534318.7867118185</v>
      </c>
      <c r="BS16" s="52">
        <f t="shared" si="7"/>
        <v>6486921.5867104884</v>
      </c>
      <c r="BT16" s="52">
        <f t="shared" si="7"/>
        <v>6440207.0337794721</v>
      </c>
      <c r="BU16" s="52">
        <f t="shared" si="7"/>
        <v>6394160.4854354542</v>
      </c>
      <c r="BV16" s="52">
        <f t="shared" si="7"/>
        <v>6348767.7149888184</v>
      </c>
      <c r="BW16" s="52">
        <f t="shared" si="7"/>
        <v>6304014.8968888577</v>
      </c>
      <c r="BX16" s="52">
        <f t="shared" si="7"/>
        <v>6259888.5926844943</v>
      </c>
      <c r="BY16" s="52">
        <f t="shared" si="7"/>
        <v>6216375.7375705196</v>
      </c>
      <c r="BZ16" s="52">
        <f t="shared" si="7"/>
        <v>6173463.6274910662</v>
      </c>
      <c r="CA16" s="52">
        <f t="shared" si="7"/>
        <v>6131139.9067735597</v>
      </c>
      <c r="CB16" s="52">
        <f t="shared" si="7"/>
        <v>6089392.5562679134</v>
      </c>
      <c r="CC16" s="52">
        <f t="shared" si="7"/>
        <v>6048209.8819669653</v>
      </c>
      <c r="CD16" s="52">
        <f t="shared" si="7"/>
        <v>6007580.5040856171</v>
      </c>
      <c r="CE16" s="52">
        <f t="shared" si="7"/>
        <v>5967493.346577175</v>
      </c>
      <c r="CF16" s="52">
        <f t="shared" si="7"/>
        <v>5927937.6270666644</v>
      </c>
      <c r="CG16" s="52">
        <f t="shared" si="7"/>
        <v>5888902.8471818399</v>
      </c>
      <c r="CH16" s="52">
        <f t="shared" si="7"/>
        <v>5850378.7832637578</v>
      </c>
      <c r="CI16" s="52">
        <f t="shared" si="7"/>
        <v>5812355.4774395367</v>
      </c>
      <c r="CJ16" s="52">
        <f t="shared" si="7"/>
        <v>5774823.2290410623</v>
      </c>
      <c r="CK16" s="52">
        <f t="shared" si="7"/>
        <v>5737772.5863539623</v>
      </c>
      <c r="CL16" s="52">
        <f t="shared" si="7"/>
        <v>5701194.3386822501</v>
      </c>
      <c r="CM16" s="52">
        <f t="shared" si="7"/>
        <v>5665079.5087145166</v>
      </c>
    </row>
    <row r="17" spans="1:91" x14ac:dyDescent="0.25">
      <c r="A17" s="52" t="s">
        <v>76</v>
      </c>
      <c r="B17" s="52">
        <f>B6*0.77</f>
        <v>0</v>
      </c>
      <c r="C17" s="52">
        <f t="shared" ref="C17:BN17" si="8">C6*0.77</f>
        <v>0</v>
      </c>
      <c r="D17" s="52">
        <f t="shared" si="8"/>
        <v>0</v>
      </c>
      <c r="E17" s="52">
        <f t="shared" si="8"/>
        <v>0</v>
      </c>
      <c r="F17" s="52">
        <f t="shared" si="8"/>
        <v>0</v>
      </c>
      <c r="G17" s="52">
        <f t="shared" si="8"/>
        <v>0</v>
      </c>
      <c r="H17" s="52">
        <f t="shared" si="8"/>
        <v>0</v>
      </c>
      <c r="I17" s="52">
        <f t="shared" si="8"/>
        <v>0</v>
      </c>
      <c r="J17" s="52">
        <f t="shared" si="8"/>
        <v>0</v>
      </c>
      <c r="K17" s="52">
        <f t="shared" si="8"/>
        <v>0</v>
      </c>
      <c r="L17" s="52">
        <f t="shared" si="8"/>
        <v>0</v>
      </c>
      <c r="M17" s="52">
        <f t="shared" si="8"/>
        <v>0</v>
      </c>
      <c r="N17" s="52">
        <f t="shared" si="8"/>
        <v>0</v>
      </c>
      <c r="O17" s="52">
        <f t="shared" si="8"/>
        <v>0</v>
      </c>
      <c r="P17" s="52">
        <f t="shared" si="8"/>
        <v>0</v>
      </c>
      <c r="Q17" s="52">
        <f t="shared" si="8"/>
        <v>0</v>
      </c>
      <c r="R17" s="52">
        <f t="shared" si="8"/>
        <v>0</v>
      </c>
      <c r="S17" s="52">
        <f t="shared" si="8"/>
        <v>0</v>
      </c>
      <c r="T17" s="52">
        <f t="shared" si="8"/>
        <v>0</v>
      </c>
      <c r="U17" s="52">
        <f t="shared" si="8"/>
        <v>0</v>
      </c>
      <c r="V17" s="52">
        <f t="shared" si="8"/>
        <v>0</v>
      </c>
      <c r="W17" s="52">
        <f t="shared" si="8"/>
        <v>0</v>
      </c>
      <c r="X17" s="52">
        <f t="shared" si="8"/>
        <v>0</v>
      </c>
      <c r="Y17" s="52">
        <f t="shared" si="8"/>
        <v>0</v>
      </c>
      <c r="Z17" s="52">
        <f t="shared" si="8"/>
        <v>0</v>
      </c>
      <c r="AA17" s="52">
        <f t="shared" si="8"/>
        <v>0</v>
      </c>
      <c r="AB17" s="52">
        <f t="shared" si="8"/>
        <v>0</v>
      </c>
      <c r="AC17" s="52">
        <f t="shared" si="8"/>
        <v>0</v>
      </c>
      <c r="AD17" s="52">
        <f t="shared" si="8"/>
        <v>0</v>
      </c>
      <c r="AE17" s="52">
        <f t="shared" si="8"/>
        <v>0</v>
      </c>
      <c r="AF17" s="52">
        <f t="shared" si="8"/>
        <v>261929.38350169841</v>
      </c>
      <c r="AG17" s="52">
        <f t="shared" si="8"/>
        <v>515336.79760983231</v>
      </c>
      <c r="AH17" s="52">
        <f t="shared" si="8"/>
        <v>760631.4830653586</v>
      </c>
      <c r="AI17" s="52">
        <f t="shared" si="8"/>
        <v>998196.89011470391</v>
      </c>
      <c r="AJ17" s="52">
        <f t="shared" si="8"/>
        <v>1228392.6786547741</v>
      </c>
      <c r="AK17" s="52">
        <f t="shared" si="8"/>
        <v>1451556.5350790028</v>
      </c>
      <c r="AL17" s="52">
        <f t="shared" si="8"/>
        <v>1668005.8251272966</v>
      </c>
      <c r="AM17" s="52">
        <f t="shared" si="8"/>
        <v>1878039.0997540629</v>
      </c>
      <c r="AN17" s="52">
        <f t="shared" si="8"/>
        <v>2081937.4690406143</v>
      </c>
      <c r="AO17" s="52">
        <f t="shared" si="8"/>
        <v>2279965.8574478719</v>
      </c>
      <c r="AP17" s="52">
        <f t="shared" si="8"/>
        <v>2399579.7344692796</v>
      </c>
      <c r="AQ17" s="52">
        <f t="shared" si="8"/>
        <v>2653383.3043752126</v>
      </c>
      <c r="AR17" s="52">
        <f t="shared" si="8"/>
        <v>2973467.4041131283</v>
      </c>
      <c r="AS17" s="52">
        <f t="shared" si="8"/>
        <v>2765267.1668012501</v>
      </c>
      <c r="AT17" s="52">
        <f t="shared" si="8"/>
        <v>3099645.0505977618</v>
      </c>
      <c r="AU17" s="52">
        <f t="shared" si="8"/>
        <v>3590931.4022397664</v>
      </c>
      <c r="AV17" s="52">
        <f t="shared" si="8"/>
        <v>4300537.5266516767</v>
      </c>
      <c r="AW17" s="52">
        <f t="shared" si="8"/>
        <v>5644017.0389268585</v>
      </c>
      <c r="AX17" s="52">
        <f t="shared" si="8"/>
        <v>6397498.5448832959</v>
      </c>
      <c r="AY17" s="52">
        <f t="shared" si="8"/>
        <v>7138563.6530861398</v>
      </c>
      <c r="AZ17" s="52">
        <f t="shared" si="8"/>
        <v>7867516.7646590108</v>
      </c>
      <c r="BA17" s="52">
        <f t="shared" si="8"/>
        <v>8584652.411093045</v>
      </c>
      <c r="BB17" s="52">
        <f t="shared" si="8"/>
        <v>9290255.6510358267</v>
      </c>
      <c r="BC17" s="52">
        <f t="shared" si="8"/>
        <v>9984602.4480905831</v>
      </c>
      <c r="BD17" s="52">
        <f t="shared" si="8"/>
        <v>10667960.030677401</v>
      </c>
      <c r="BE17" s="52">
        <f t="shared" si="8"/>
        <v>11340587.234942337</v>
      </c>
      <c r="BF17" s="52">
        <f t="shared" si="8"/>
        <v>12002734.831638837</v>
      </c>
      <c r="BG17" s="52">
        <f t="shared" si="8"/>
        <v>12654645.83784876</v>
      </c>
      <c r="BH17" s="52">
        <f t="shared" si="8"/>
        <v>13296554.693465065</v>
      </c>
      <c r="BI17" s="52">
        <f t="shared" si="8"/>
        <v>13195339.206936769</v>
      </c>
      <c r="BJ17" s="52">
        <f t="shared" si="8"/>
        <v>13095653.01589206</v>
      </c>
      <c r="BK17" s="52">
        <f t="shared" si="8"/>
        <v>12997461.720327055</v>
      </c>
      <c r="BL17" s="52">
        <f t="shared" si="8"/>
        <v>12900731.944285413</v>
      </c>
      <c r="BM17" s="52">
        <f t="shared" si="8"/>
        <v>12805431.298033981</v>
      </c>
      <c r="BN17" s="52">
        <f t="shared" si="8"/>
        <v>12711528.341902614</v>
      </c>
      <c r="BO17" s="52">
        <f t="shared" ref="BO17:CM17" si="9">BO6*0.77</f>
        <v>12618992.551703459</v>
      </c>
      <c r="BP17" s="52">
        <f t="shared" si="9"/>
        <v>12527794.285649668</v>
      </c>
      <c r="BQ17" s="52">
        <f t="shared" si="9"/>
        <v>12437904.752698395</v>
      </c>
      <c r="BR17" s="52">
        <f t="shared" si="9"/>
        <v>12349295.982246855</v>
      </c>
      <c r="BS17" s="52">
        <f t="shared" si="9"/>
        <v>12261940.795114635</v>
      </c>
      <c r="BT17" s="52">
        <f t="shared" si="9"/>
        <v>12175812.775748879</v>
      </c>
      <c r="BU17" s="52">
        <f t="shared" si="9"/>
        <v>12090886.245592704</v>
      </c>
      <c r="BV17" s="52">
        <f t="shared" si="9"/>
        <v>12007136.237560421</v>
      </c>
      <c r="BW17" s="52">
        <f t="shared" si="9"/>
        <v>11924538.471566312</v>
      </c>
      <c r="BX17" s="52">
        <f t="shared" si="9"/>
        <v>11843069.331056466</v>
      </c>
      <c r="BY17" s="52">
        <f t="shared" si="9"/>
        <v>11762705.84049619</v>
      </c>
      <c r="BZ17" s="52">
        <f t="shared" si="9"/>
        <v>11683425.643767761</v>
      </c>
      <c r="CA17" s="52">
        <f t="shared" si="9"/>
        <v>11605206.983435934</v>
      </c>
      <c r="CB17" s="52">
        <f t="shared" si="9"/>
        <v>11528028.680840818</v>
      </c>
      <c r="CC17" s="52">
        <f t="shared" si="9"/>
        <v>11451870.116979811</v>
      </c>
      <c r="CD17" s="52">
        <f t="shared" si="9"/>
        <v>11376711.214142373</v>
      </c>
      <c r="CE17" s="52">
        <f t="shared" si="9"/>
        <v>11302532.418263288</v>
      </c>
      <c r="CF17" s="52">
        <f t="shared" si="9"/>
        <v>11229314.681961799</v>
      </c>
      <c r="CG17" s="52">
        <f t="shared" si="9"/>
        <v>11157039.448235748</v>
      </c>
      <c r="CH17" s="52">
        <f t="shared" si="9"/>
        <v>11085688.634781379</v>
      </c>
      <c r="CI17" s="52">
        <f t="shared" si="9"/>
        <v>11015244.618910989</v>
      </c>
      <c r="CJ17" s="52">
        <f t="shared" si="9"/>
        <v>10945690.223041959</v>
      </c>
      <c r="CK17" s="52">
        <f t="shared" si="9"/>
        <v>10877008.700732164</v>
      </c>
      <c r="CL17" s="52">
        <f t="shared" si="9"/>
        <v>10809183.723237786</v>
      </c>
      <c r="CM17" s="52">
        <f t="shared" si="9"/>
        <v>10742199.366570979</v>
      </c>
    </row>
    <row r="18" spans="1:91" x14ac:dyDescent="0.25">
      <c r="A18" s="52" t="s">
        <v>77</v>
      </c>
      <c r="B18" s="52">
        <f>B7*0.98</f>
        <v>0</v>
      </c>
      <c r="C18" s="52">
        <f t="shared" ref="C18:BN18" si="10">C7*0.98</f>
        <v>0</v>
      </c>
      <c r="D18" s="52">
        <f t="shared" si="10"/>
        <v>0</v>
      </c>
      <c r="E18" s="52">
        <f t="shared" si="10"/>
        <v>0</v>
      </c>
      <c r="F18" s="52">
        <f t="shared" si="10"/>
        <v>0</v>
      </c>
      <c r="G18" s="52">
        <f t="shared" si="10"/>
        <v>0</v>
      </c>
      <c r="H18" s="52">
        <f t="shared" si="10"/>
        <v>0</v>
      </c>
      <c r="I18" s="52">
        <f t="shared" si="10"/>
        <v>0</v>
      </c>
      <c r="J18" s="52">
        <f t="shared" si="10"/>
        <v>0</v>
      </c>
      <c r="K18" s="52">
        <f t="shared" si="10"/>
        <v>0</v>
      </c>
      <c r="L18" s="52">
        <f t="shared" si="10"/>
        <v>0</v>
      </c>
      <c r="M18" s="52">
        <f t="shared" si="10"/>
        <v>0</v>
      </c>
      <c r="N18" s="52">
        <f t="shared" si="10"/>
        <v>0</v>
      </c>
      <c r="O18" s="52">
        <f t="shared" si="10"/>
        <v>0</v>
      </c>
      <c r="P18" s="52">
        <f t="shared" si="10"/>
        <v>0</v>
      </c>
      <c r="Q18" s="52">
        <f t="shared" si="10"/>
        <v>0</v>
      </c>
      <c r="R18" s="52">
        <f t="shared" si="10"/>
        <v>0</v>
      </c>
      <c r="S18" s="52">
        <f t="shared" si="10"/>
        <v>0</v>
      </c>
      <c r="T18" s="52">
        <f t="shared" si="10"/>
        <v>0</v>
      </c>
      <c r="U18" s="52">
        <f t="shared" si="10"/>
        <v>0</v>
      </c>
      <c r="V18" s="52">
        <f t="shared" si="10"/>
        <v>0</v>
      </c>
      <c r="W18" s="52">
        <f t="shared" si="10"/>
        <v>0</v>
      </c>
      <c r="X18" s="52">
        <f t="shared" si="10"/>
        <v>0</v>
      </c>
      <c r="Y18" s="52">
        <f t="shared" si="10"/>
        <v>0</v>
      </c>
      <c r="Z18" s="52">
        <f t="shared" si="10"/>
        <v>0</v>
      </c>
      <c r="AA18" s="52">
        <f t="shared" si="10"/>
        <v>0</v>
      </c>
      <c r="AB18" s="52">
        <f t="shared" si="10"/>
        <v>0</v>
      </c>
      <c r="AC18" s="52">
        <f t="shared" si="10"/>
        <v>0</v>
      </c>
      <c r="AD18" s="52">
        <f t="shared" si="10"/>
        <v>0</v>
      </c>
      <c r="AE18" s="52">
        <f t="shared" si="10"/>
        <v>0</v>
      </c>
      <c r="AF18" s="52">
        <f t="shared" si="10"/>
        <v>24749.329331063225</v>
      </c>
      <c r="AG18" s="52">
        <f t="shared" si="10"/>
        <v>49153.657006007452</v>
      </c>
      <c r="AH18" s="52">
        <f t="shared" si="10"/>
        <v>73220.146993648232</v>
      </c>
      <c r="AI18" s="52">
        <f t="shared" si="10"/>
        <v>96955.766279577641</v>
      </c>
      <c r="AJ18" s="52">
        <f t="shared" si="10"/>
        <v>120367.2915903488</v>
      </c>
      <c r="AK18" s="52">
        <f t="shared" si="10"/>
        <v>143461.31584408594</v>
      </c>
      <c r="AL18" s="52">
        <f t="shared" si="10"/>
        <v>166244.25434041719</v>
      </c>
      <c r="AM18" s="52">
        <f t="shared" si="10"/>
        <v>188722.35070193847</v>
      </c>
      <c r="AN18" s="52">
        <f t="shared" si="10"/>
        <v>210901.68257876643</v>
      </c>
      <c r="AO18" s="52">
        <f t="shared" si="10"/>
        <v>232788.16712713041</v>
      </c>
      <c r="AP18" s="52">
        <f t="shared" si="10"/>
        <v>249715.70961074159</v>
      </c>
      <c r="AQ18" s="52">
        <f t="shared" si="10"/>
        <v>290073.71965663909</v>
      </c>
      <c r="AR18" s="52">
        <f t="shared" si="10"/>
        <v>354799.48361971334</v>
      </c>
      <c r="AS18" s="52">
        <f t="shared" si="10"/>
        <v>387083.47207633714</v>
      </c>
      <c r="AT18" s="52">
        <f t="shared" si="10"/>
        <v>440381.94817088323</v>
      </c>
      <c r="AU18" s="52">
        <f t="shared" si="10"/>
        <v>535358.24907200143</v>
      </c>
      <c r="AV18" s="52">
        <f t="shared" si="10"/>
        <v>683116.08305987786</v>
      </c>
      <c r="AW18" s="52">
        <f t="shared" si="10"/>
        <v>934632.83263353084</v>
      </c>
      <c r="AX18" s="52">
        <f t="shared" si="10"/>
        <v>1019447.1694628213</v>
      </c>
      <c r="AY18" s="52">
        <f t="shared" si="10"/>
        <v>1102314.2383547043</v>
      </c>
      <c r="AZ18" s="52">
        <f t="shared" si="10"/>
        <v>1183300.3397307564</v>
      </c>
      <c r="BA18" s="52">
        <f t="shared" si="10"/>
        <v>1262468.7979337799</v>
      </c>
      <c r="BB18" s="52">
        <f t="shared" si="10"/>
        <v>1339880.1263616441</v>
      </c>
      <c r="BC18" s="52">
        <f t="shared" si="10"/>
        <v>1415592.1817264571</v>
      </c>
      <c r="BD18" s="52">
        <f t="shared" si="10"/>
        <v>1489660.3082654965</v>
      </c>
      <c r="BE18" s="52">
        <f t="shared" si="10"/>
        <v>1562137.4726593064</v>
      </c>
      <c r="BF18" s="52">
        <f t="shared" si="10"/>
        <v>1633074.3903481704</v>
      </c>
      <c r="BG18" s="52">
        <f t="shared" si="10"/>
        <v>1702519.6438800257</v>
      </c>
      <c r="BH18" s="52">
        <f t="shared" si="10"/>
        <v>1770519.7715783182</v>
      </c>
      <c r="BI18" s="52">
        <f t="shared" si="10"/>
        <v>1752287.8746169854</v>
      </c>
      <c r="BJ18" s="52">
        <f t="shared" si="10"/>
        <v>1734427.6358043549</v>
      </c>
      <c r="BK18" s="52">
        <f t="shared" si="10"/>
        <v>1716927.8053982572</v>
      </c>
      <c r="BL18" s="52">
        <f t="shared" si="10"/>
        <v>1699777.5831467763</v>
      </c>
      <c r="BM18" s="52">
        <f t="shared" si="10"/>
        <v>1682966.5960607091</v>
      </c>
      <c r="BN18" s="52">
        <f t="shared" si="10"/>
        <v>1666484.8774921058</v>
      </c>
      <c r="BO18" s="52">
        <f t="shared" ref="BO18:CM18" si="11">BO7*0.98</f>
        <v>1650322.8474302213</v>
      </c>
      <c r="BP18" s="52">
        <f t="shared" si="11"/>
        <v>1634471.293933026</v>
      </c>
      <c r="BQ18" s="52">
        <f t="shared" si="11"/>
        <v>1618921.3556186529</v>
      </c>
      <c r="BR18" s="52">
        <f t="shared" si="11"/>
        <v>1603664.5051468536</v>
      </c>
      <c r="BS18" s="52">
        <f t="shared" si="11"/>
        <v>1588692.5336257732</v>
      </c>
      <c r="BT18" s="52">
        <f t="shared" si="11"/>
        <v>1573997.5358841165</v>
      </c>
      <c r="BU18" s="52">
        <f t="shared" si="11"/>
        <v>1559571.896553203</v>
      </c>
      <c r="BV18" s="52">
        <f t="shared" si="11"/>
        <v>1545408.2769074123</v>
      </c>
      <c r="BW18" s="52">
        <f t="shared" si="11"/>
        <v>1531499.6024152453</v>
      </c>
      <c r="BX18" s="52">
        <f t="shared" si="11"/>
        <v>1517839.0509566357</v>
      </c>
      <c r="BY18" s="52">
        <f t="shared" si="11"/>
        <v>1504420.0416652707</v>
      </c>
      <c r="BZ18" s="52">
        <f t="shared" si="11"/>
        <v>1491236.2243575905</v>
      </c>
      <c r="CA18" s="52">
        <f t="shared" si="11"/>
        <v>1478281.4695127851</v>
      </c>
      <c r="CB18" s="52">
        <f t="shared" si="11"/>
        <v>1465549.8587705696</v>
      </c>
      <c r="CC18" s="52">
        <f t="shared" si="11"/>
        <v>1453035.6759157926</v>
      </c>
      <c r="CD18" s="52">
        <f t="shared" si="11"/>
        <v>1440733.3983210211</v>
      </c>
      <c r="CE18" s="52">
        <f t="shared" si="11"/>
        <v>1428637.6888201917</v>
      </c>
      <c r="CF18" s="52">
        <f t="shared" si="11"/>
        <v>1416743.3879882013</v>
      </c>
      <c r="CG18" s="52">
        <f t="shared" si="11"/>
        <v>1405045.5068029775</v>
      </c>
      <c r="CH18" s="52">
        <f t="shared" si="11"/>
        <v>1393539.2196681034</v>
      </c>
      <c r="CI18" s="52">
        <f t="shared" si="11"/>
        <v>1382219.8577754921</v>
      </c>
      <c r="CJ18" s="52">
        <f t="shared" si="11"/>
        <v>1371082.9027889394</v>
      </c>
      <c r="CK18" s="52">
        <f t="shared" si="11"/>
        <v>1360123.9808305912</v>
      </c>
      <c r="CL18" s="52">
        <f t="shared" si="11"/>
        <v>1349338.8567535202</v>
      </c>
      <c r="CM18" s="52">
        <f t="shared" si="11"/>
        <v>1338723.4286846549</v>
      </c>
    </row>
    <row r="19" spans="1:91" x14ac:dyDescent="0.25">
      <c r="A19" s="52" t="s">
        <v>78</v>
      </c>
      <c r="B19" s="52">
        <f>B8*0.82</f>
        <v>0</v>
      </c>
      <c r="C19" s="52">
        <f t="shared" ref="C19:BN19" si="12">C8*0.82</f>
        <v>0</v>
      </c>
      <c r="D19" s="52">
        <f t="shared" si="12"/>
        <v>0</v>
      </c>
      <c r="E19" s="52">
        <f t="shared" si="12"/>
        <v>0</v>
      </c>
      <c r="F19" s="52">
        <f t="shared" si="12"/>
        <v>0</v>
      </c>
      <c r="G19" s="52">
        <f t="shared" si="12"/>
        <v>0</v>
      </c>
      <c r="H19" s="52">
        <f t="shared" si="12"/>
        <v>0</v>
      </c>
      <c r="I19" s="52">
        <f t="shared" si="12"/>
        <v>0</v>
      </c>
      <c r="J19" s="52">
        <f t="shared" si="12"/>
        <v>0</v>
      </c>
      <c r="K19" s="52">
        <f t="shared" si="12"/>
        <v>0</v>
      </c>
      <c r="L19" s="52">
        <f t="shared" si="12"/>
        <v>0</v>
      </c>
      <c r="M19" s="52">
        <f t="shared" si="12"/>
        <v>0</v>
      </c>
      <c r="N19" s="52">
        <f t="shared" si="12"/>
        <v>0</v>
      </c>
      <c r="O19" s="52">
        <f t="shared" si="12"/>
        <v>0</v>
      </c>
      <c r="P19" s="52">
        <f t="shared" si="12"/>
        <v>0</v>
      </c>
      <c r="Q19" s="52">
        <f t="shared" si="12"/>
        <v>0</v>
      </c>
      <c r="R19" s="52">
        <f t="shared" si="12"/>
        <v>0</v>
      </c>
      <c r="S19" s="52">
        <f t="shared" si="12"/>
        <v>0</v>
      </c>
      <c r="T19" s="52">
        <f t="shared" si="12"/>
        <v>0</v>
      </c>
      <c r="U19" s="52">
        <f t="shared" si="12"/>
        <v>0</v>
      </c>
      <c r="V19" s="52">
        <f t="shared" si="12"/>
        <v>0</v>
      </c>
      <c r="W19" s="52">
        <f t="shared" si="12"/>
        <v>0</v>
      </c>
      <c r="X19" s="52">
        <f t="shared" si="12"/>
        <v>0</v>
      </c>
      <c r="Y19" s="52">
        <f t="shared" si="12"/>
        <v>0</v>
      </c>
      <c r="Z19" s="52">
        <f t="shared" si="12"/>
        <v>0</v>
      </c>
      <c r="AA19" s="52">
        <f t="shared" si="12"/>
        <v>0</v>
      </c>
      <c r="AB19" s="52">
        <f t="shared" si="12"/>
        <v>0</v>
      </c>
      <c r="AC19" s="52">
        <f t="shared" si="12"/>
        <v>0</v>
      </c>
      <c r="AD19" s="52">
        <f t="shared" si="12"/>
        <v>0</v>
      </c>
      <c r="AE19" s="52">
        <f t="shared" si="12"/>
        <v>0</v>
      </c>
      <c r="AF19" s="52">
        <f t="shared" si="12"/>
        <v>2801.481838335274</v>
      </c>
      <c r="AG19" s="52">
        <f t="shared" si="12"/>
        <v>5602.963676670548</v>
      </c>
      <c r="AH19" s="52">
        <f t="shared" si="12"/>
        <v>8404.4455150058202</v>
      </c>
      <c r="AI19" s="52">
        <f t="shared" si="12"/>
        <v>11205.927353341096</v>
      </c>
      <c r="AJ19" s="52">
        <f t="shared" si="12"/>
        <v>14007.409191676368</v>
      </c>
      <c r="AK19" s="52">
        <f t="shared" si="12"/>
        <v>16808.89103001164</v>
      </c>
      <c r="AL19" s="52">
        <f t="shared" si="12"/>
        <v>19610.37286834692</v>
      </c>
      <c r="AM19" s="52">
        <f t="shared" si="12"/>
        <v>22411.854706682192</v>
      </c>
      <c r="AN19" s="52">
        <f t="shared" si="12"/>
        <v>25213.336545017457</v>
      </c>
      <c r="AO19" s="52">
        <f t="shared" si="12"/>
        <v>28014.818383352736</v>
      </c>
      <c r="AP19" s="52">
        <f t="shared" si="12"/>
        <v>30250.355354227657</v>
      </c>
      <c r="AQ19" s="52">
        <f t="shared" si="12"/>
        <v>35369.752797765839</v>
      </c>
      <c r="AR19" s="52">
        <f t="shared" si="12"/>
        <v>43543.888126534468</v>
      </c>
      <c r="AS19" s="52">
        <f t="shared" si="12"/>
        <v>47813.577516343132</v>
      </c>
      <c r="AT19" s="52">
        <f t="shared" si="12"/>
        <v>54747.026790448137</v>
      </c>
      <c r="AU19" s="52">
        <f t="shared" si="12"/>
        <v>66979.547457778594</v>
      </c>
      <c r="AV19" s="52">
        <f t="shared" si="12"/>
        <v>86494.103577643837</v>
      </c>
      <c r="AW19" s="52">
        <f t="shared" si="12"/>
        <v>119747.35103991099</v>
      </c>
      <c r="AX19" s="52">
        <f t="shared" si="12"/>
        <v>132148.59164368984</v>
      </c>
      <c r="AY19" s="52">
        <f t="shared" si="12"/>
        <v>144549.83224746867</v>
      </c>
      <c r="AZ19" s="52">
        <f t="shared" si="12"/>
        <v>156951.0728512475</v>
      </c>
      <c r="BA19" s="52">
        <f t="shared" si="12"/>
        <v>169352.31345502631</v>
      </c>
      <c r="BB19" s="52">
        <f t="shared" si="12"/>
        <v>181753.55405880517</v>
      </c>
      <c r="BC19" s="52">
        <f t="shared" si="12"/>
        <v>194154.794662584</v>
      </c>
      <c r="BD19" s="52">
        <f t="shared" si="12"/>
        <v>206556.0352663628</v>
      </c>
      <c r="BE19" s="52">
        <f t="shared" si="12"/>
        <v>218957.27587014169</v>
      </c>
      <c r="BF19" s="52">
        <f t="shared" si="12"/>
        <v>231358.51647392046</v>
      </c>
      <c r="BG19" s="52">
        <f t="shared" si="12"/>
        <v>243759.75707769929</v>
      </c>
      <c r="BH19" s="52">
        <f t="shared" si="12"/>
        <v>256160.99445626431</v>
      </c>
      <c r="BI19" s="52">
        <f t="shared" si="12"/>
        <v>256160.99445626431</v>
      </c>
      <c r="BJ19" s="52">
        <f t="shared" si="12"/>
        <v>256160.99445626431</v>
      </c>
      <c r="BK19" s="52">
        <f t="shared" si="12"/>
        <v>256160.99445626431</v>
      </c>
      <c r="BL19" s="52">
        <f t="shared" si="12"/>
        <v>256160.99445626431</v>
      </c>
      <c r="BM19" s="52">
        <f t="shared" si="12"/>
        <v>256160.99445626431</v>
      </c>
      <c r="BN19" s="52">
        <f t="shared" si="12"/>
        <v>256160.99445626431</v>
      </c>
      <c r="BO19" s="52">
        <f t="shared" ref="BO19:CM19" si="13">BO8*0.82</f>
        <v>256160.99445626431</v>
      </c>
      <c r="BP19" s="52">
        <f t="shared" si="13"/>
        <v>256160.99445626431</v>
      </c>
      <c r="BQ19" s="52">
        <f t="shared" si="13"/>
        <v>256160.99445626431</v>
      </c>
      <c r="BR19" s="52">
        <f t="shared" si="13"/>
        <v>256160.99445626431</v>
      </c>
      <c r="BS19" s="52">
        <f t="shared" si="13"/>
        <v>256160.99445626431</v>
      </c>
      <c r="BT19" s="52">
        <f t="shared" si="13"/>
        <v>256160.99445626431</v>
      </c>
      <c r="BU19" s="52">
        <f t="shared" si="13"/>
        <v>256160.99445626431</v>
      </c>
      <c r="BV19" s="52">
        <f t="shared" si="13"/>
        <v>256160.99445626431</v>
      </c>
      <c r="BW19" s="52">
        <f t="shared" si="13"/>
        <v>256160.99445626431</v>
      </c>
      <c r="BX19" s="52">
        <f t="shared" si="13"/>
        <v>256160.99445626431</v>
      </c>
      <c r="BY19" s="52">
        <f t="shared" si="13"/>
        <v>256160.99445626431</v>
      </c>
      <c r="BZ19" s="52">
        <f t="shared" si="13"/>
        <v>256160.99445626431</v>
      </c>
      <c r="CA19" s="52">
        <f t="shared" si="13"/>
        <v>256160.99445626431</v>
      </c>
      <c r="CB19" s="52">
        <f t="shared" si="13"/>
        <v>256160.99445626431</v>
      </c>
      <c r="CC19" s="52">
        <f t="shared" si="13"/>
        <v>256160.99445626431</v>
      </c>
      <c r="CD19" s="52">
        <f t="shared" si="13"/>
        <v>256160.99445626431</v>
      </c>
      <c r="CE19" s="52">
        <f t="shared" si="13"/>
        <v>256160.99445626431</v>
      </c>
      <c r="CF19" s="52">
        <f t="shared" si="13"/>
        <v>256160.99445626431</v>
      </c>
      <c r="CG19" s="52">
        <f t="shared" si="13"/>
        <v>256160.99445626431</v>
      </c>
      <c r="CH19" s="52">
        <f t="shared" si="13"/>
        <v>256160.99445626431</v>
      </c>
      <c r="CI19" s="52">
        <f t="shared" si="13"/>
        <v>256160.99445626431</v>
      </c>
      <c r="CJ19" s="52">
        <f t="shared" si="13"/>
        <v>256160.99445626431</v>
      </c>
      <c r="CK19" s="52">
        <f t="shared" si="13"/>
        <v>256160.99445626431</v>
      </c>
      <c r="CL19" s="52">
        <f t="shared" si="13"/>
        <v>256160.99445626431</v>
      </c>
      <c r="CM19" s="52">
        <f t="shared" si="13"/>
        <v>256160.99445626431</v>
      </c>
    </row>
    <row r="20" spans="1:91" x14ac:dyDescent="0.25">
      <c r="A20" s="52" t="s">
        <v>90</v>
      </c>
      <c r="B20" s="52">
        <f>B9*0.65</f>
        <v>0</v>
      </c>
      <c r="C20" s="52">
        <f t="shared" ref="C20:BN20" si="14">C9*0.65</f>
        <v>0</v>
      </c>
      <c r="D20" s="52">
        <f t="shared" si="14"/>
        <v>0</v>
      </c>
      <c r="E20" s="52">
        <f t="shared" si="14"/>
        <v>0</v>
      </c>
      <c r="F20" s="52">
        <f t="shared" si="14"/>
        <v>0</v>
      </c>
      <c r="G20" s="52">
        <f t="shared" si="14"/>
        <v>0</v>
      </c>
      <c r="H20" s="52">
        <f t="shared" si="14"/>
        <v>0</v>
      </c>
      <c r="I20" s="52">
        <f t="shared" si="14"/>
        <v>0</v>
      </c>
      <c r="J20" s="52">
        <f t="shared" si="14"/>
        <v>0</v>
      </c>
      <c r="K20" s="52">
        <f t="shared" si="14"/>
        <v>0</v>
      </c>
      <c r="L20" s="52">
        <f t="shared" si="14"/>
        <v>0</v>
      </c>
      <c r="M20" s="52">
        <f t="shared" si="14"/>
        <v>0</v>
      </c>
      <c r="N20" s="52">
        <f t="shared" si="14"/>
        <v>0</v>
      </c>
      <c r="O20" s="52">
        <f t="shared" si="14"/>
        <v>0</v>
      </c>
      <c r="P20" s="52">
        <f t="shared" si="14"/>
        <v>0</v>
      </c>
      <c r="Q20" s="52">
        <f t="shared" si="14"/>
        <v>0</v>
      </c>
      <c r="R20" s="52">
        <f t="shared" si="14"/>
        <v>0</v>
      </c>
      <c r="S20" s="52">
        <f t="shared" si="14"/>
        <v>0</v>
      </c>
      <c r="T20" s="52">
        <f t="shared" si="14"/>
        <v>0</v>
      </c>
      <c r="U20" s="52">
        <f t="shared" si="14"/>
        <v>0</v>
      </c>
      <c r="V20" s="52">
        <f t="shared" si="14"/>
        <v>0</v>
      </c>
      <c r="W20" s="52">
        <f t="shared" si="14"/>
        <v>0</v>
      </c>
      <c r="X20" s="52">
        <f t="shared" si="14"/>
        <v>0</v>
      </c>
      <c r="Y20" s="52">
        <f t="shared" si="14"/>
        <v>0</v>
      </c>
      <c r="Z20" s="52">
        <f t="shared" si="14"/>
        <v>0</v>
      </c>
      <c r="AA20" s="52">
        <f t="shared" si="14"/>
        <v>0</v>
      </c>
      <c r="AB20" s="52">
        <f t="shared" si="14"/>
        <v>0</v>
      </c>
      <c r="AC20" s="52">
        <f t="shared" si="14"/>
        <v>0</v>
      </c>
      <c r="AD20" s="52">
        <f t="shared" si="14"/>
        <v>0</v>
      </c>
      <c r="AE20" s="52">
        <f t="shared" si="14"/>
        <v>0</v>
      </c>
      <c r="AF20" s="52">
        <f t="shared" si="14"/>
        <v>138599.56472198345</v>
      </c>
      <c r="AG20" s="52">
        <f t="shared" si="14"/>
        <v>273457.71379753767</v>
      </c>
      <c r="AH20" s="52">
        <f t="shared" si="14"/>
        <v>404723.92573324346</v>
      </c>
      <c r="AI20" s="52">
        <f t="shared" si="14"/>
        <v>532539.82098634238</v>
      </c>
      <c r="AJ20" s="52">
        <f t="shared" si="14"/>
        <v>657039.67163612996</v>
      </c>
      <c r="AK20" s="52">
        <f t="shared" si="14"/>
        <v>778350.87189472397</v>
      </c>
      <c r="AL20" s="52">
        <f t="shared" si="14"/>
        <v>896594.37292321946</v>
      </c>
      <c r="AM20" s="52">
        <f t="shared" si="14"/>
        <v>1011885.0850730242</v>
      </c>
      <c r="AN20" s="52">
        <f t="shared" si="14"/>
        <v>1124332.2503643718</v>
      </c>
      <c r="AO20" s="52">
        <f t="shared" si="14"/>
        <v>1234039.7877399891</v>
      </c>
      <c r="AP20" s="52">
        <f t="shared" si="14"/>
        <v>1527995.2742244024</v>
      </c>
      <c r="AQ20" s="52">
        <f t="shared" si="14"/>
        <v>1967130.5156948098</v>
      </c>
      <c r="AR20" s="52">
        <f t="shared" si="14"/>
        <v>2598021.0199561203</v>
      </c>
      <c r="AS20" s="52">
        <f t="shared" si="14"/>
        <v>3251413.8990502795</v>
      </c>
      <c r="AT20" s="52">
        <f t="shared" si="14"/>
        <v>4998965.2574780276</v>
      </c>
      <c r="AU20" s="52">
        <f t="shared" si="14"/>
        <v>8192818.5498469528</v>
      </c>
      <c r="AV20" s="52">
        <f t="shared" si="14"/>
        <v>10999483.226062525</v>
      </c>
      <c r="AW20" s="52">
        <f t="shared" si="14"/>
        <v>16417552.904479241</v>
      </c>
      <c r="AX20" s="52">
        <f t="shared" si="14"/>
        <v>19071444.584975265</v>
      </c>
      <c r="AY20" s="52">
        <f t="shared" si="14"/>
        <v>21673021.79211675</v>
      </c>
      <c r="AZ20" s="52">
        <f t="shared" si="14"/>
        <v>24223816.291296955</v>
      </c>
      <c r="BA20" s="52">
        <f t="shared" si="14"/>
        <v>26725300.625887387</v>
      </c>
      <c r="BB20" s="52">
        <f t="shared" si="14"/>
        <v>29178890.951934762</v>
      </c>
      <c r="BC20" s="52">
        <f t="shared" si="14"/>
        <v>31585949.711580537</v>
      </c>
      <c r="BD20" s="52">
        <f t="shared" si="14"/>
        <v>33947788.155807592</v>
      </c>
      <c r="BE20" s="52">
        <f t="shared" si="14"/>
        <v>36265668.726328865</v>
      </c>
      <c r="BF20" s="52">
        <f t="shared" si="14"/>
        <v>38540807.305709042</v>
      </c>
      <c r="BG20" s="52">
        <f t="shared" si="14"/>
        <v>40774375.344146028</v>
      </c>
      <c r="BH20" s="52">
        <f t="shared" si="14"/>
        <v>42967496.11918278</v>
      </c>
      <c r="BI20" s="52">
        <f t="shared" si="14"/>
        <v>42581996.264889657</v>
      </c>
      <c r="BJ20" s="52">
        <f t="shared" si="14"/>
        <v>42203352.229177132</v>
      </c>
      <c r="BK20" s="52">
        <f t="shared" si="14"/>
        <v>41831382.735779516</v>
      </c>
      <c r="BL20" s="52">
        <f t="shared" si="14"/>
        <v>41465912.84348508</v>
      </c>
      <c r="BM20" s="52">
        <f t="shared" si="14"/>
        <v>41106773.671794437</v>
      </c>
      <c r="BN20" s="52">
        <f t="shared" si="14"/>
        <v>40753802.140712865</v>
      </c>
      <c r="BO20" s="52">
        <f t="shared" ref="BO20:CM20" si="15">BO9*0.65</f>
        <v>40406840.723834582</v>
      </c>
      <c r="BP20" s="52">
        <f t="shared" si="15"/>
        <v>40065737.213933289</v>
      </c>
      <c r="BQ20" s="52">
        <f t="shared" si="15"/>
        <v>39730344.500326388</v>
      </c>
      <c r="BR20" s="52">
        <f t="shared" si="15"/>
        <v>39400520.3573284</v>
      </c>
      <c r="BS20" s="52">
        <f t="shared" si="15"/>
        <v>39076127.243154719</v>
      </c>
      <c r="BT20" s="52">
        <f t="shared" si="15"/>
        <v>38757032.108678281</v>
      </c>
      <c r="BU20" s="52">
        <f t="shared" si="15"/>
        <v>38443106.215480417</v>
      </c>
      <c r="BV20" s="52">
        <f t="shared" si="15"/>
        <v>38134224.962673269</v>
      </c>
      <c r="BW20" s="52">
        <f t="shared" si="15"/>
        <v>37830267.722004265</v>
      </c>
      <c r="BX20" s="52">
        <f t="shared" si="15"/>
        <v>37531117.680784315</v>
      </c>
      <c r="BY20" s="52">
        <f t="shared" si="15"/>
        <v>37236661.692209892</v>
      </c>
      <c r="BZ20" s="52">
        <f t="shared" si="15"/>
        <v>36946790.132676281</v>
      </c>
      <c r="CA20" s="52">
        <f t="shared" si="15"/>
        <v>36661396.765703775</v>
      </c>
      <c r="CB20" s="52">
        <f t="shared" si="15"/>
        <v>36380378.612122275</v>
      </c>
      <c r="CC20" s="52">
        <f t="shared" si="15"/>
        <v>36103635.826180644</v>
      </c>
      <c r="CD20" s="52">
        <f t="shared" si="15"/>
        <v>35831071.577268109</v>
      </c>
      <c r="CE20" s="52">
        <f t="shared" si="15"/>
        <v>35562591.936953053</v>
      </c>
      <c r="CF20" s="52">
        <f t="shared" si="15"/>
        <v>35298105.771062598</v>
      </c>
      <c r="CG20" s="52">
        <f t="shared" si="15"/>
        <v>35037524.63654238</v>
      </c>
      <c r="CH20" s="52">
        <f t="shared" si="15"/>
        <v>34780762.682851195</v>
      </c>
      <c r="CI20" s="52">
        <f t="shared" si="15"/>
        <v>34527736.557659894</v>
      </c>
      <c r="CJ20" s="52">
        <f t="shared" si="15"/>
        <v>34278365.316636555</v>
      </c>
      <c r="CK20" s="52">
        <f t="shared" si="15"/>
        <v>34032570.337113149</v>
      </c>
      <c r="CL20" s="52">
        <f t="shared" si="15"/>
        <v>33790275.235439949</v>
      </c>
      <c r="CM20" s="52">
        <f t="shared" si="15"/>
        <v>33551405.787845522</v>
      </c>
    </row>
    <row r="22" spans="1:91" x14ac:dyDescent="0.25">
      <c r="B22" s="52">
        <v>1961</v>
      </c>
      <c r="C22" s="52">
        <v>1962</v>
      </c>
      <c r="D22" s="52">
        <v>1963</v>
      </c>
      <c r="E22" s="52">
        <v>1964</v>
      </c>
      <c r="F22" s="52">
        <v>1965</v>
      </c>
      <c r="G22" s="52">
        <v>1966</v>
      </c>
      <c r="H22" s="52">
        <v>1967</v>
      </c>
      <c r="I22" s="52">
        <v>1968</v>
      </c>
      <c r="J22" s="52">
        <v>1969</v>
      </c>
      <c r="K22" s="52">
        <v>1970</v>
      </c>
      <c r="L22" s="52">
        <v>1971</v>
      </c>
      <c r="M22" s="52">
        <v>1972</v>
      </c>
      <c r="N22" s="52">
        <v>1973</v>
      </c>
      <c r="O22" s="52">
        <v>1974</v>
      </c>
      <c r="P22" s="52">
        <v>1975</v>
      </c>
      <c r="Q22" s="52">
        <v>1976</v>
      </c>
      <c r="R22" s="52">
        <v>1977</v>
      </c>
      <c r="S22" s="52">
        <v>1978</v>
      </c>
      <c r="T22" s="52">
        <v>1979</v>
      </c>
      <c r="U22" s="52">
        <v>1980</v>
      </c>
      <c r="V22" s="52">
        <v>1981</v>
      </c>
      <c r="W22" s="52">
        <v>1982</v>
      </c>
      <c r="X22" s="52">
        <v>1983</v>
      </c>
      <c r="Y22" s="52">
        <v>1984</v>
      </c>
      <c r="Z22" s="52">
        <v>1985</v>
      </c>
      <c r="AA22" s="52">
        <v>1986</v>
      </c>
      <c r="AB22" s="52">
        <v>1987</v>
      </c>
      <c r="AC22" s="52">
        <v>1988</v>
      </c>
      <c r="AD22" s="52">
        <v>1989</v>
      </c>
      <c r="AE22" s="52">
        <v>1990</v>
      </c>
      <c r="AF22" s="52">
        <v>1991</v>
      </c>
      <c r="AG22" s="52">
        <v>1992</v>
      </c>
      <c r="AH22" s="52">
        <v>1993</v>
      </c>
      <c r="AI22" s="52">
        <v>1994</v>
      </c>
      <c r="AJ22" s="52">
        <v>1995</v>
      </c>
      <c r="AK22" s="52">
        <v>1996</v>
      </c>
      <c r="AL22" s="52">
        <v>1997</v>
      </c>
      <c r="AM22" s="52">
        <v>1998</v>
      </c>
      <c r="AN22" s="52">
        <v>1999</v>
      </c>
      <c r="AO22" s="52">
        <v>2000</v>
      </c>
      <c r="AP22" s="52">
        <v>2001</v>
      </c>
      <c r="AQ22" s="52">
        <v>2002</v>
      </c>
      <c r="AR22" s="52">
        <v>2003</v>
      </c>
      <c r="AS22" s="52">
        <v>2004</v>
      </c>
      <c r="AT22" s="52">
        <v>2005</v>
      </c>
      <c r="AU22" s="52">
        <v>2006</v>
      </c>
      <c r="AV22" s="52">
        <v>2007</v>
      </c>
      <c r="AW22" s="52">
        <v>2008</v>
      </c>
      <c r="AX22" s="52">
        <v>2009</v>
      </c>
      <c r="AY22" s="52">
        <v>2010</v>
      </c>
      <c r="AZ22" s="52">
        <v>2011</v>
      </c>
      <c r="BA22" s="52">
        <v>2012</v>
      </c>
      <c r="BB22" s="52">
        <v>2013</v>
      </c>
      <c r="BC22" s="52">
        <v>2014</v>
      </c>
      <c r="BD22" s="52">
        <v>2015</v>
      </c>
      <c r="BE22" s="52">
        <v>2016</v>
      </c>
      <c r="BF22" s="52">
        <v>2017</v>
      </c>
      <c r="BG22" s="52">
        <v>2018</v>
      </c>
      <c r="BH22" s="52">
        <v>2019</v>
      </c>
      <c r="BI22" s="52">
        <v>2020</v>
      </c>
      <c r="BJ22" s="52">
        <v>2021</v>
      </c>
      <c r="BK22" s="52">
        <v>2022</v>
      </c>
      <c r="BL22" s="52">
        <v>2023</v>
      </c>
      <c r="BM22" s="52">
        <v>2024</v>
      </c>
      <c r="BN22" s="52">
        <v>2025</v>
      </c>
      <c r="BO22" s="52">
        <v>2026</v>
      </c>
      <c r="BP22" s="52">
        <v>2027</v>
      </c>
      <c r="BQ22" s="52">
        <v>2028</v>
      </c>
      <c r="BR22" s="52">
        <v>2029</v>
      </c>
      <c r="BS22" s="52">
        <v>2030</v>
      </c>
      <c r="BT22" s="52">
        <v>2031</v>
      </c>
      <c r="BU22" s="52">
        <v>2032</v>
      </c>
      <c r="BV22" s="52">
        <v>2033</v>
      </c>
      <c r="BW22" s="52">
        <v>2034</v>
      </c>
      <c r="BX22" s="52">
        <v>2035</v>
      </c>
      <c r="BY22" s="52">
        <v>2036</v>
      </c>
      <c r="BZ22" s="52">
        <v>2037</v>
      </c>
      <c r="CA22" s="52">
        <v>2038</v>
      </c>
      <c r="CB22" s="52">
        <v>2039</v>
      </c>
      <c r="CC22" s="52">
        <v>2040</v>
      </c>
      <c r="CD22" s="52">
        <v>2041</v>
      </c>
      <c r="CE22" s="52">
        <v>2042</v>
      </c>
      <c r="CF22" s="52">
        <v>2043</v>
      </c>
      <c r="CG22" s="52">
        <v>2044</v>
      </c>
      <c r="CH22" s="52">
        <v>2045</v>
      </c>
      <c r="CI22" s="52">
        <v>2046</v>
      </c>
      <c r="CJ22" s="52">
        <v>2047</v>
      </c>
      <c r="CK22" s="52">
        <v>2048</v>
      </c>
      <c r="CL22" s="52">
        <v>2049</v>
      </c>
      <c r="CM22" s="52">
        <v>2050</v>
      </c>
    </row>
    <row r="23" spans="1:91" x14ac:dyDescent="0.25">
      <c r="A23" s="52" t="s">
        <v>91</v>
      </c>
      <c r="B23" s="52">
        <f>SUM(B13:B14)</f>
        <v>0</v>
      </c>
      <c r="C23" s="52">
        <f t="shared" ref="C23:BN23" si="16">SUM(C13:C14)</f>
        <v>0</v>
      </c>
      <c r="D23" s="52">
        <f t="shared" si="16"/>
        <v>0</v>
      </c>
      <c r="E23" s="52">
        <f t="shared" si="16"/>
        <v>0</v>
      </c>
      <c r="F23" s="52">
        <f t="shared" si="16"/>
        <v>0</v>
      </c>
      <c r="G23" s="52">
        <f t="shared" si="16"/>
        <v>0</v>
      </c>
      <c r="H23" s="52">
        <f t="shared" si="16"/>
        <v>0</v>
      </c>
      <c r="I23" s="52">
        <f t="shared" si="16"/>
        <v>0</v>
      </c>
      <c r="J23" s="52">
        <f t="shared" si="16"/>
        <v>0</v>
      </c>
      <c r="K23" s="52">
        <f t="shared" si="16"/>
        <v>0</v>
      </c>
      <c r="L23" s="52">
        <f t="shared" si="16"/>
        <v>0</v>
      </c>
      <c r="M23" s="52">
        <f t="shared" si="16"/>
        <v>0</v>
      </c>
      <c r="N23" s="52">
        <f t="shared" si="16"/>
        <v>0</v>
      </c>
      <c r="O23" s="52">
        <f t="shared" si="16"/>
        <v>0</v>
      </c>
      <c r="P23" s="52">
        <f t="shared" si="16"/>
        <v>0</v>
      </c>
      <c r="Q23" s="52">
        <f t="shared" si="16"/>
        <v>0</v>
      </c>
      <c r="R23" s="52">
        <f t="shared" si="16"/>
        <v>0</v>
      </c>
      <c r="S23" s="52">
        <f t="shared" si="16"/>
        <v>0</v>
      </c>
      <c r="T23" s="52">
        <f t="shared" si="16"/>
        <v>0</v>
      </c>
      <c r="U23" s="52">
        <f t="shared" si="16"/>
        <v>0</v>
      </c>
      <c r="V23" s="52">
        <f t="shared" si="16"/>
        <v>0</v>
      </c>
      <c r="W23" s="52">
        <f t="shared" si="16"/>
        <v>0</v>
      </c>
      <c r="X23" s="52">
        <f t="shared" si="16"/>
        <v>0</v>
      </c>
      <c r="Y23" s="52">
        <f t="shared" si="16"/>
        <v>0</v>
      </c>
      <c r="Z23" s="52">
        <f t="shared" si="16"/>
        <v>0</v>
      </c>
      <c r="AA23" s="52">
        <f t="shared" si="16"/>
        <v>0</v>
      </c>
      <c r="AB23" s="52">
        <f t="shared" si="16"/>
        <v>0</v>
      </c>
      <c r="AC23" s="52">
        <f t="shared" si="16"/>
        <v>0</v>
      </c>
      <c r="AD23" s="52">
        <f t="shared" si="16"/>
        <v>0</v>
      </c>
      <c r="AE23" s="52">
        <f t="shared" si="16"/>
        <v>0</v>
      </c>
      <c r="AF23" s="52">
        <f t="shared" si="16"/>
        <v>264298.13384870189</v>
      </c>
      <c r="AG23" s="52">
        <f t="shared" si="16"/>
        <v>520633.93324715138</v>
      </c>
      <c r="AH23" s="52">
        <f t="shared" si="16"/>
        <v>769361.87263473251</v>
      </c>
      <c r="AI23" s="52">
        <f t="shared" si="16"/>
        <v>1010815.693040224</v>
      </c>
      <c r="AJ23" s="52">
        <f t="shared" si="16"/>
        <v>1245309.8961211501</v>
      </c>
      <c r="AK23" s="52">
        <f t="shared" si="16"/>
        <v>1473141.1108468894</v>
      </c>
      <c r="AL23" s="52">
        <f t="shared" si="16"/>
        <v>1694589.3453137057</v>
      </c>
      <c r="AM23" s="52">
        <f t="shared" si="16"/>
        <v>1909919.13479971</v>
      </c>
      <c r="AN23" s="52">
        <f t="shared" si="16"/>
        <v>2119380.5959568662</v>
      </c>
      <c r="AO23" s="52">
        <f t="shared" si="16"/>
        <v>2323210.3959727613</v>
      </c>
      <c r="AP23" s="52">
        <f t="shared" si="16"/>
        <v>2528030.7295535938</v>
      </c>
      <c r="AQ23" s="52">
        <f t="shared" si="16"/>
        <v>3025243.1509060082</v>
      </c>
      <c r="AR23" s="52">
        <f t="shared" si="16"/>
        <v>3914439.356290834</v>
      </c>
      <c r="AS23" s="52">
        <f t="shared" si="16"/>
        <v>4710896.3697284199</v>
      </c>
      <c r="AT23" s="52">
        <f t="shared" si="16"/>
        <v>5525197.0183615312</v>
      </c>
      <c r="AU23" s="52">
        <f t="shared" si="16"/>
        <v>7231647.8086248199</v>
      </c>
      <c r="AV23" s="52">
        <f t="shared" si="16"/>
        <v>10062408.411293173</v>
      </c>
      <c r="AW23" s="52">
        <f t="shared" si="16"/>
        <v>13916648.357646741</v>
      </c>
      <c r="AX23" s="52">
        <f t="shared" si="16"/>
        <v>14989749.552085569</v>
      </c>
      <c r="AY23" s="52">
        <f t="shared" si="16"/>
        <v>16052595.374386443</v>
      </c>
      <c r="AZ23" s="52">
        <f t="shared" si="16"/>
        <v>17105346.28058739</v>
      </c>
      <c r="BA23" s="52">
        <f t="shared" si="16"/>
        <v>18148158.904882386</v>
      </c>
      <c r="BB23" s="52">
        <f t="shared" si="16"/>
        <v>19181186.192052074</v>
      </c>
      <c r="BC23" s="52">
        <f t="shared" si="16"/>
        <v>20204577.523639631</v>
      </c>
      <c r="BD23" s="52">
        <f t="shared" si="16"/>
        <v>21218478.838245515</v>
      </c>
      <c r="BE23" s="52">
        <f t="shared" si="16"/>
        <v>22223032.746287949</v>
      </c>
      <c r="BF23" s="52">
        <f t="shared" si="16"/>
        <v>23218378.639551979</v>
      </c>
      <c r="BG23" s="52">
        <f t="shared" si="16"/>
        <v>24204652.795827199</v>
      </c>
      <c r="BH23" s="52">
        <f t="shared" si="16"/>
        <v>25181987.072291125</v>
      </c>
      <c r="BI23" s="52">
        <f t="shared" si="16"/>
        <v>25064612.762262426</v>
      </c>
      <c r="BJ23" s="52">
        <f t="shared" si="16"/>
        <v>24948435.012843952</v>
      </c>
      <c r="BK23" s="52">
        <f t="shared" si="16"/>
        <v>24833433.107161608</v>
      </c>
      <c r="BL23" s="52">
        <f t="shared" si="16"/>
        <v>24719586.874522451</v>
      </c>
      <c r="BM23" s="52">
        <f t="shared" si="16"/>
        <v>24606876.670366194</v>
      </c>
      <c r="BN23" s="52">
        <f t="shared" si="16"/>
        <v>24495283.357162248</v>
      </c>
      <c r="BO23" s="52">
        <f t="shared" ref="BO23:CM23" si="17">SUM(BO13:BO14)</f>
        <v>24384788.286198508</v>
      </c>
      <c r="BP23" s="52">
        <f t="shared" si="17"/>
        <v>24275373.280211478</v>
      </c>
      <c r="BQ23" s="52">
        <f t="shared" si="17"/>
        <v>24167020.616810769</v>
      </c>
      <c r="BR23" s="52">
        <f t="shared" si="17"/>
        <v>24059713.012653835</v>
      </c>
      <c r="BS23" s="52">
        <f t="shared" si="17"/>
        <v>23953433.608330019</v>
      </c>
      <c r="BT23" s="52">
        <f t="shared" si="17"/>
        <v>23848165.953915156</v>
      </c>
      <c r="BU23" s="52">
        <f t="shared" si="17"/>
        <v>23743893.99516074</v>
      </c>
      <c r="BV23" s="52">
        <f t="shared" si="17"/>
        <v>23640602.060283817</v>
      </c>
      <c r="BW23" s="52">
        <f t="shared" si="17"/>
        <v>23538274.847325832</v>
      </c>
      <c r="BX23" s="52">
        <f t="shared" si="17"/>
        <v>23436897.412050642</v>
      </c>
      <c r="BY23" s="52">
        <f t="shared" si="17"/>
        <v>23336455.156353746</v>
      </c>
      <c r="BZ23" s="52">
        <f t="shared" si="17"/>
        <v>23236933.81715643</v>
      </c>
      <c r="CA23" s="52">
        <f t="shared" si="17"/>
        <v>23138319.455760162</v>
      </c>
      <c r="CB23" s="52">
        <f t="shared" si="17"/>
        <v>23040598.447637934</v>
      </c>
      <c r="CC23" s="52">
        <f t="shared" si="17"/>
        <v>22943757.472640749</v>
      </c>
      <c r="CD23" s="52">
        <f t="shared" si="17"/>
        <v>22847783.505598642</v>
      </c>
      <c r="CE23" s="52">
        <f t="shared" si="17"/>
        <v>22752663.807296842</v>
      </c>
      <c r="CF23" s="52">
        <f t="shared" si="17"/>
        <v>22658385.915808756</v>
      </c>
      <c r="CG23" s="52">
        <f t="shared" si="17"/>
        <v>22564937.638168637</v>
      </c>
      <c r="CH23" s="52">
        <f t="shared" si="17"/>
        <v>22472307.042367555</v>
      </c>
      <c r="CI23" s="52">
        <f t="shared" si="17"/>
        <v>22380482.449657399</v>
      </c>
      <c r="CJ23" s="52">
        <f t="shared" si="17"/>
        <v>22289452.427148387</v>
      </c>
      <c r="CK23" s="52">
        <f t="shared" si="17"/>
        <v>22199205.780686386</v>
      </c>
      <c r="CL23" s="52">
        <f t="shared" si="17"/>
        <v>22109731.547997098</v>
      </c>
      <c r="CM23" s="52">
        <f t="shared" si="17"/>
        <v>22021018.992084838</v>
      </c>
    </row>
    <row r="24" spans="1:91" x14ac:dyDescent="0.25">
      <c r="A24" s="52" t="s">
        <v>22</v>
      </c>
      <c r="B24" s="52">
        <f>SUM(B15:B20)</f>
        <v>0</v>
      </c>
      <c r="C24" s="52">
        <f t="shared" ref="C24:BN24" si="18">SUM(C15:C20)</f>
        <v>0</v>
      </c>
      <c r="D24" s="52">
        <f t="shared" si="18"/>
        <v>0</v>
      </c>
      <c r="E24" s="52">
        <f t="shared" si="18"/>
        <v>0</v>
      </c>
      <c r="F24" s="52">
        <f t="shared" si="18"/>
        <v>0</v>
      </c>
      <c r="G24" s="52">
        <f t="shared" si="18"/>
        <v>0</v>
      </c>
      <c r="H24" s="52">
        <f t="shared" si="18"/>
        <v>0</v>
      </c>
      <c r="I24" s="52">
        <f t="shared" si="18"/>
        <v>0</v>
      </c>
      <c r="J24" s="52">
        <f t="shared" si="18"/>
        <v>0</v>
      </c>
      <c r="K24" s="52">
        <f t="shared" si="18"/>
        <v>0</v>
      </c>
      <c r="L24" s="52">
        <f t="shared" si="18"/>
        <v>0</v>
      </c>
      <c r="M24" s="52">
        <f t="shared" si="18"/>
        <v>0</v>
      </c>
      <c r="N24" s="52">
        <f t="shared" si="18"/>
        <v>0</v>
      </c>
      <c r="O24" s="52">
        <f t="shared" si="18"/>
        <v>0</v>
      </c>
      <c r="P24" s="52">
        <f t="shared" si="18"/>
        <v>0</v>
      </c>
      <c r="Q24" s="52">
        <f t="shared" si="18"/>
        <v>0</v>
      </c>
      <c r="R24" s="52">
        <f t="shared" si="18"/>
        <v>0</v>
      </c>
      <c r="S24" s="52">
        <f t="shared" si="18"/>
        <v>0</v>
      </c>
      <c r="T24" s="52">
        <f t="shared" si="18"/>
        <v>0</v>
      </c>
      <c r="U24" s="52">
        <f t="shared" si="18"/>
        <v>0</v>
      </c>
      <c r="V24" s="52">
        <f t="shared" si="18"/>
        <v>0</v>
      </c>
      <c r="W24" s="52">
        <f t="shared" si="18"/>
        <v>0</v>
      </c>
      <c r="X24" s="52">
        <f t="shared" si="18"/>
        <v>0</v>
      </c>
      <c r="Y24" s="52">
        <f t="shared" si="18"/>
        <v>0</v>
      </c>
      <c r="Z24" s="52">
        <f t="shared" si="18"/>
        <v>0</v>
      </c>
      <c r="AA24" s="52">
        <f t="shared" si="18"/>
        <v>0</v>
      </c>
      <c r="AB24" s="52">
        <f t="shared" si="18"/>
        <v>0</v>
      </c>
      <c r="AC24" s="52">
        <f t="shared" si="18"/>
        <v>0</v>
      </c>
      <c r="AD24" s="52">
        <f t="shared" si="18"/>
        <v>0</v>
      </c>
      <c r="AE24" s="52">
        <f t="shared" si="18"/>
        <v>0</v>
      </c>
      <c r="AF24" s="52">
        <f t="shared" si="18"/>
        <v>777759.74624482286</v>
      </c>
      <c r="AG24" s="52">
        <f t="shared" si="18"/>
        <v>1533792.1904538609</v>
      </c>
      <c r="AH24" s="52">
        <f t="shared" si="18"/>
        <v>2269044.276230094</v>
      </c>
      <c r="AI24" s="52">
        <f t="shared" si="18"/>
        <v>2984406.6930602789</v>
      </c>
      <c r="AJ24" s="52">
        <f t="shared" si="18"/>
        <v>3680718.1010939237</v>
      </c>
      <c r="AK24" s="52">
        <f t="shared" si="18"/>
        <v>4358768.9738319088</v>
      </c>
      <c r="AL24" s="52">
        <f t="shared" si="18"/>
        <v>5019305.098966619</v>
      </c>
      <c r="AM24" s="52">
        <f t="shared" si="18"/>
        <v>5663030.772797944</v>
      </c>
      <c r="AN24" s="52">
        <f t="shared" si="18"/>
        <v>6290611.7194757117</v>
      </c>
      <c r="AO24" s="52">
        <f t="shared" si="18"/>
        <v>6902677.7626944361</v>
      </c>
      <c r="AP24" s="52">
        <f t="shared" si="18"/>
        <v>7508541.5116121201</v>
      </c>
      <c r="AQ24" s="52">
        <f t="shared" si="18"/>
        <v>8605931.4565988872</v>
      </c>
      <c r="AR24" s="52">
        <f t="shared" si="18"/>
        <v>10082151.800710507</v>
      </c>
      <c r="AS24" s="52">
        <f t="shared" si="18"/>
        <v>10285869.821985975</v>
      </c>
      <c r="AT24" s="52">
        <f t="shared" si="18"/>
        <v>12902610.85683178</v>
      </c>
      <c r="AU24" s="52">
        <f t="shared" si="18"/>
        <v>17390371.995686293</v>
      </c>
      <c r="AV24" s="52">
        <f t="shared" si="18"/>
        <v>22066463.194527514</v>
      </c>
      <c r="AW24" s="52">
        <f t="shared" si="18"/>
        <v>30990901.786748089</v>
      </c>
      <c r="AX24" s="52">
        <f t="shared" si="18"/>
        <v>35552080.06755881</v>
      </c>
      <c r="AY24" s="52">
        <f t="shared" si="18"/>
        <v>40030396.551835775</v>
      </c>
      <c r="AZ24" s="52">
        <f t="shared" si="18"/>
        <v>44428125.276055232</v>
      </c>
      <c r="BA24" s="52">
        <f t="shared" si="18"/>
        <v>48747456.841562301</v>
      </c>
      <c r="BB24" s="52">
        <f t="shared" si="18"/>
        <v>52990502.245586351</v>
      </c>
      <c r="BC24" s="52">
        <f t="shared" si="18"/>
        <v>57159296.501211599</v>
      </c>
      <c r="BD24" s="52">
        <f t="shared" si="18"/>
        <v>61255802.059848338</v>
      </c>
      <c r="BE24" s="52">
        <f t="shared" si="18"/>
        <v>65281912.04875882</v>
      </c>
      <c r="BF24" s="52">
        <f t="shared" si="18"/>
        <v>69239453.335282221</v>
      </c>
      <c r="BG24" s="52">
        <f t="shared" si="18"/>
        <v>73130189.428567305</v>
      </c>
      <c r="BH24" s="52">
        <f t="shared" si="18"/>
        <v>76955814.75744161</v>
      </c>
      <c r="BI24" s="52">
        <f t="shared" si="18"/>
        <v>76318164.428839087</v>
      </c>
      <c r="BJ24" s="52">
        <f t="shared" si="18"/>
        <v>75691155.723274812</v>
      </c>
      <c r="BK24" s="52">
        <f t="shared" si="18"/>
        <v>75074521.600511879</v>
      </c>
      <c r="BL24" s="52">
        <f t="shared" si="18"/>
        <v>74468003.965958089</v>
      </c>
      <c r="BM24" s="52">
        <f t="shared" si="18"/>
        <v>73871353.296032876</v>
      </c>
      <c r="BN24" s="52">
        <f t="shared" si="18"/>
        <v>73284328.282345057</v>
      </c>
      <c r="BO24" s="52">
        <f t="shared" ref="BO24:CM24" si="19">SUM(BO15:BO20)</f>
        <v>72706695.493581548</v>
      </c>
      <c r="BP24" s="52">
        <f t="shared" si="19"/>
        <v>72138229.054080173</v>
      </c>
      <c r="BQ24" s="52">
        <f t="shared" si="19"/>
        <v>71578710.338127732</v>
      </c>
      <c r="BR24" s="52">
        <f t="shared" si="19"/>
        <v>71027927.679087177</v>
      </c>
      <c r="BS24" s="52">
        <f t="shared" si="19"/>
        <v>70485676.092516273</v>
      </c>
      <c r="BT24" s="52">
        <f t="shared" si="19"/>
        <v>69951757.012493655</v>
      </c>
      <c r="BU24" s="52">
        <f t="shared" si="19"/>
        <v>69425978.04041858</v>
      </c>
      <c r="BV24" s="52">
        <f t="shared" si="19"/>
        <v>68908152.705597222</v>
      </c>
      <c r="BW24" s="52">
        <f t="shared" si="19"/>
        <v>68398100.236971125</v>
      </c>
      <c r="BX24" s="52">
        <f t="shared" si="19"/>
        <v>67895645.345384061</v>
      </c>
      <c r="BY24" s="52">
        <f t="shared" si="19"/>
        <v>67400618.015820414</v>
      </c>
      <c r="BZ24" s="52">
        <f t="shared" si="19"/>
        <v>66912853.309083536</v>
      </c>
      <c r="CA24" s="52">
        <f t="shared" si="19"/>
        <v>66432191.172413953</v>
      </c>
      <c r="CB24" s="52">
        <f t="shared" si="19"/>
        <v>65958476.258578815</v>
      </c>
      <c r="CC24" s="52">
        <f t="shared" si="19"/>
        <v>65491557.75299038</v>
      </c>
      <c r="CD24" s="52">
        <f t="shared" si="19"/>
        <v>65031289.208439164</v>
      </c>
      <c r="CE24" s="52">
        <f t="shared" si="19"/>
        <v>64577528.387050763</v>
      </c>
      <c r="CF24" s="52">
        <f t="shared" si="19"/>
        <v>64130137.109098673</v>
      </c>
      <c r="CG24" s="52">
        <f t="shared" si="19"/>
        <v>63688981.108326808</v>
      </c>
      <c r="CH24" s="52">
        <f t="shared" si="19"/>
        <v>63253929.893454954</v>
      </c>
      <c r="CI24" s="52">
        <f t="shared" si="19"/>
        <v>62824856.615559742</v>
      </c>
      <c r="CJ24" s="52">
        <f t="shared" si="19"/>
        <v>62401637.941040576</v>
      </c>
      <c r="CK24" s="52">
        <f t="shared" si="19"/>
        <v>61984153.929896623</v>
      </c>
      <c r="CL24" s="52">
        <f t="shared" si="19"/>
        <v>61572287.919056296</v>
      </c>
      <c r="CM24" s="52">
        <f t="shared" si="19"/>
        <v>61165926.410514846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8"/>
  <sheetViews>
    <sheetView topLeftCell="BQ1" workbookViewId="0">
      <selection activeCell="B2" sqref="B2:CM11"/>
    </sheetView>
  </sheetViews>
  <sheetFormatPr defaultRowHeight="15" x14ac:dyDescent="0.25"/>
  <cols>
    <col min="1" max="1" width="12.42578125" style="52" bestFit="1" customWidth="1"/>
    <col min="2" max="90" width="9.140625" style="52"/>
    <col min="91" max="92" width="10" style="52" bestFit="1" customWidth="1"/>
    <col min="93" max="93" width="9.7109375" style="52" bestFit="1" customWidth="1"/>
    <col min="94" max="16384" width="9.140625" style="52"/>
  </cols>
  <sheetData>
    <row r="1" spans="1:91" x14ac:dyDescent="0.25">
      <c r="B1" s="52">
        <v>1961</v>
      </c>
      <c r="C1" s="52">
        <v>1962</v>
      </c>
      <c r="D1" s="52">
        <v>1963</v>
      </c>
      <c r="E1" s="52">
        <v>1964</v>
      </c>
      <c r="F1" s="52">
        <v>1965</v>
      </c>
      <c r="G1" s="52">
        <v>1966</v>
      </c>
      <c r="H1" s="52">
        <v>1967</v>
      </c>
      <c r="I1" s="52">
        <v>1968</v>
      </c>
      <c r="J1" s="52">
        <v>1969</v>
      </c>
      <c r="K1" s="52">
        <v>1970</v>
      </c>
      <c r="L1" s="52">
        <v>1971</v>
      </c>
      <c r="M1" s="52">
        <v>1972</v>
      </c>
      <c r="N1" s="52">
        <v>1973</v>
      </c>
      <c r="O1" s="52">
        <v>1974</v>
      </c>
      <c r="P1" s="52">
        <v>1975</v>
      </c>
      <c r="Q1" s="52">
        <v>1976</v>
      </c>
      <c r="R1" s="52">
        <v>1977</v>
      </c>
      <c r="S1" s="52">
        <v>1978</v>
      </c>
      <c r="T1" s="52">
        <v>1979</v>
      </c>
      <c r="U1" s="52">
        <v>1980</v>
      </c>
      <c r="V1" s="52">
        <v>1981</v>
      </c>
      <c r="W1" s="52">
        <v>1982</v>
      </c>
      <c r="X1" s="52">
        <v>1983</v>
      </c>
      <c r="Y1" s="52">
        <v>1984</v>
      </c>
      <c r="Z1" s="52">
        <v>1985</v>
      </c>
      <c r="AA1" s="52">
        <v>1986</v>
      </c>
      <c r="AB1" s="52">
        <v>1987</v>
      </c>
      <c r="AC1" s="52">
        <v>1988</v>
      </c>
      <c r="AD1" s="52">
        <v>1989</v>
      </c>
      <c r="AE1" s="52">
        <v>1990</v>
      </c>
      <c r="AF1" s="52">
        <v>1991</v>
      </c>
      <c r="AG1" s="52">
        <v>1992</v>
      </c>
      <c r="AH1" s="52">
        <v>1993</v>
      </c>
      <c r="AI1" s="52">
        <v>1994</v>
      </c>
      <c r="AJ1" s="52">
        <v>1995</v>
      </c>
      <c r="AK1" s="52">
        <v>1996</v>
      </c>
      <c r="AL1" s="52">
        <v>1997</v>
      </c>
      <c r="AM1" s="52">
        <v>1998</v>
      </c>
      <c r="AN1" s="52">
        <v>1999</v>
      </c>
      <c r="AO1" s="52">
        <v>2000</v>
      </c>
      <c r="AP1" s="52">
        <v>2001</v>
      </c>
      <c r="AQ1" s="52">
        <v>2002</v>
      </c>
      <c r="AR1" s="52">
        <v>2003</v>
      </c>
      <c r="AS1" s="52">
        <v>2004</v>
      </c>
      <c r="AT1" s="52">
        <v>2005</v>
      </c>
      <c r="AU1" s="52">
        <v>2006</v>
      </c>
      <c r="AV1" s="52">
        <v>2007</v>
      </c>
      <c r="AW1" s="52">
        <v>2008</v>
      </c>
      <c r="AX1" s="52">
        <v>2009</v>
      </c>
      <c r="AY1" s="52">
        <v>2010</v>
      </c>
      <c r="AZ1" s="52">
        <v>2011</v>
      </c>
      <c r="BA1" s="52">
        <v>2012</v>
      </c>
      <c r="BB1" s="52">
        <v>2013</v>
      </c>
      <c r="BC1" s="52">
        <v>2014</v>
      </c>
      <c r="BD1" s="52">
        <v>2015</v>
      </c>
      <c r="BE1" s="52">
        <v>2016</v>
      </c>
      <c r="BF1" s="52">
        <v>2017</v>
      </c>
      <c r="BG1" s="52">
        <v>2018</v>
      </c>
      <c r="BH1" s="52">
        <v>2019</v>
      </c>
      <c r="BI1" s="52">
        <v>2020</v>
      </c>
      <c r="BJ1" s="52">
        <v>2021</v>
      </c>
      <c r="BK1" s="52">
        <v>2022</v>
      </c>
      <c r="BL1" s="52">
        <v>2023</v>
      </c>
      <c r="BM1" s="52">
        <v>2024</v>
      </c>
      <c r="BN1" s="52">
        <v>2025</v>
      </c>
      <c r="BO1" s="52">
        <v>2026</v>
      </c>
      <c r="BP1" s="52">
        <v>2027</v>
      </c>
      <c r="BQ1" s="52">
        <v>2028</v>
      </c>
      <c r="BR1" s="52">
        <v>2029</v>
      </c>
      <c r="BS1" s="52">
        <v>2030</v>
      </c>
      <c r="BT1" s="52">
        <v>2031</v>
      </c>
      <c r="BU1" s="52">
        <v>2032</v>
      </c>
      <c r="BV1" s="52">
        <v>2033</v>
      </c>
      <c r="BW1" s="52">
        <v>2034</v>
      </c>
      <c r="BX1" s="52">
        <v>2035</v>
      </c>
      <c r="BY1" s="52">
        <v>2036</v>
      </c>
      <c r="BZ1" s="52">
        <v>2037</v>
      </c>
      <c r="CA1" s="52">
        <v>2038</v>
      </c>
      <c r="CB1" s="52">
        <v>2039</v>
      </c>
      <c r="CC1" s="52">
        <v>2040</v>
      </c>
      <c r="CD1" s="52">
        <v>2041</v>
      </c>
      <c r="CE1" s="52">
        <v>2042</v>
      </c>
      <c r="CF1" s="52">
        <v>2043</v>
      </c>
      <c r="CG1" s="52">
        <v>2044</v>
      </c>
      <c r="CH1" s="52">
        <v>2045</v>
      </c>
      <c r="CI1" s="52">
        <v>2046</v>
      </c>
      <c r="CJ1" s="52">
        <v>2047</v>
      </c>
      <c r="CK1" s="52">
        <v>2048</v>
      </c>
      <c r="CL1" s="52">
        <v>2049</v>
      </c>
      <c r="CM1" s="52">
        <v>2050</v>
      </c>
    </row>
    <row r="2" spans="1:91" x14ac:dyDescent="0.25">
      <c r="A2" s="52" t="s">
        <v>79</v>
      </c>
      <c r="B2" s="52">
        <v>0</v>
      </c>
      <c r="C2" s="52">
        <v>0</v>
      </c>
      <c r="D2" s="52">
        <v>0</v>
      </c>
      <c r="E2" s="52">
        <v>0</v>
      </c>
      <c r="F2" s="52">
        <v>0</v>
      </c>
      <c r="G2" s="52">
        <v>0</v>
      </c>
      <c r="H2" s="52">
        <v>0</v>
      </c>
      <c r="I2" s="52">
        <v>0</v>
      </c>
      <c r="J2" s="52">
        <v>0</v>
      </c>
      <c r="K2" s="52">
        <v>0</v>
      </c>
      <c r="L2" s="52">
        <v>0</v>
      </c>
      <c r="M2" s="52">
        <v>0</v>
      </c>
      <c r="N2" s="52">
        <v>0</v>
      </c>
      <c r="O2" s="52">
        <v>0</v>
      </c>
      <c r="P2" s="52">
        <v>0</v>
      </c>
      <c r="Q2" s="52">
        <v>0</v>
      </c>
      <c r="R2" s="52">
        <v>0</v>
      </c>
      <c r="S2" s="52">
        <v>0</v>
      </c>
      <c r="T2" s="52">
        <v>0</v>
      </c>
      <c r="U2" s="52">
        <v>0</v>
      </c>
      <c r="V2" s="52">
        <v>0</v>
      </c>
      <c r="W2" s="52">
        <v>0</v>
      </c>
      <c r="X2" s="52">
        <v>0</v>
      </c>
      <c r="Y2" s="52">
        <v>0</v>
      </c>
      <c r="Z2" s="52">
        <v>0</v>
      </c>
      <c r="AA2" s="52">
        <v>0</v>
      </c>
      <c r="AB2" s="52">
        <v>0</v>
      </c>
      <c r="AC2" s="52">
        <v>0</v>
      </c>
      <c r="AD2" s="52">
        <v>0</v>
      </c>
      <c r="AE2" s="52">
        <v>0</v>
      </c>
      <c r="AF2" s="52">
        <v>362052.23814890668</v>
      </c>
      <c r="AG2" s="52">
        <v>713197.1688317142</v>
      </c>
      <c r="AH2" s="52">
        <v>1053920.3734722363</v>
      </c>
      <c r="AI2" s="52">
        <v>1384679.0315619507</v>
      </c>
      <c r="AJ2" s="52">
        <v>1705903.9672892469</v>
      </c>
      <c r="AK2" s="52">
        <v>2018001.5217080677</v>
      </c>
      <c r="AL2" s="52">
        <v>2321355.2675530217</v>
      </c>
      <c r="AM2" s="52">
        <v>2616327.5819174112</v>
      </c>
      <c r="AN2" s="52">
        <v>2903261.0903518712</v>
      </c>
      <c r="AO2" s="52">
        <v>3182479.9944832348</v>
      </c>
      <c r="AP2" s="52">
        <v>3426203.2706303596</v>
      </c>
      <c r="AQ2" s="52">
        <v>4099611.705200511</v>
      </c>
      <c r="AR2" s="52">
        <v>5302568.9229361145</v>
      </c>
      <c r="AS2" s="52">
        <v>6337478.9155522091</v>
      </c>
      <c r="AT2" s="52">
        <v>7196282.0242403457</v>
      </c>
      <c r="AU2" s="52">
        <v>8890469.8267315794</v>
      </c>
      <c r="AV2" s="52">
        <v>11817403.669567054</v>
      </c>
      <c r="AW2" s="52">
        <v>16749587.094767973</v>
      </c>
      <c r="AX2" s="52">
        <v>17981467.125449497</v>
      </c>
      <c r="AY2" s="52">
        <v>19322308.086294051</v>
      </c>
      <c r="AZ2" s="52">
        <v>20651567.381988008</v>
      </c>
      <c r="BA2" s="52">
        <v>21969394.424161527</v>
      </c>
      <c r="BB2" s="52">
        <v>23275936.065428935</v>
      </c>
      <c r="BC2" s="52">
        <v>24571336.653941341</v>
      </c>
      <c r="BD2" s="52">
        <v>25855738.086549751</v>
      </c>
      <c r="BE2" s="52">
        <v>27129279.860619571</v>
      </c>
      <c r="BF2" s="52">
        <v>28392099.124536492</v>
      </c>
      <c r="BG2" s="52">
        <v>29644330.726941921</v>
      </c>
      <c r="BH2" s="52">
        <v>30886108.174233552</v>
      </c>
      <c r="BI2" s="52">
        <v>30757707.875701215</v>
      </c>
      <c r="BJ2" s="52">
        <v>30630370.733573735</v>
      </c>
      <c r="BK2" s="52">
        <v>30504083.5978656</v>
      </c>
      <c r="BL2" s="52">
        <v>30378833.534567155</v>
      </c>
      <c r="BM2" s="52">
        <v>30254607.82122878</v>
      </c>
      <c r="BN2" s="52">
        <v>30131393.942652877</v>
      </c>
      <c r="BO2" s="52">
        <v>30009179.586690791</v>
      </c>
      <c r="BP2" s="52">
        <v>29887952.640141539</v>
      </c>
      <c r="BQ2" s="52">
        <v>29767701.184749603</v>
      </c>
      <c r="BR2" s="52">
        <v>29648413.493298877</v>
      </c>
      <c r="BS2" s="52">
        <v>29530078.025800221</v>
      </c>
      <c r="BT2" s="52">
        <v>29412683.425769936</v>
      </c>
      <c r="BU2" s="52">
        <v>29296218.516596623</v>
      </c>
      <c r="BV2" s="52">
        <v>29180672.297994055</v>
      </c>
      <c r="BW2" s="52">
        <v>29066033.942537647</v>
      </c>
      <c r="BX2" s="52">
        <v>28952292.792282254</v>
      </c>
      <c r="BY2" s="52">
        <v>28839438.355459042</v>
      </c>
      <c r="BZ2" s="52">
        <v>28727460.303249352</v>
      </c>
      <c r="CA2" s="52">
        <v>28616348.466633409</v>
      </c>
      <c r="CB2" s="52">
        <v>28506092.833311882</v>
      </c>
      <c r="CC2" s="52">
        <v>28396683.544698332</v>
      </c>
      <c r="CD2" s="52">
        <v>28288110.89298068</v>
      </c>
      <c r="CE2" s="52">
        <v>28180365.318249799</v>
      </c>
      <c r="CF2" s="52">
        <v>28073437.405693486</v>
      </c>
      <c r="CG2" s="52">
        <v>27967317.882854093</v>
      </c>
      <c r="CH2" s="52">
        <v>27861997.616948105</v>
      </c>
      <c r="CI2" s="52">
        <v>27757467.612246051</v>
      </c>
      <c r="CJ2" s="52">
        <v>27653719.007511187</v>
      </c>
      <c r="CK2" s="52">
        <v>27550743.073495403</v>
      </c>
      <c r="CL2" s="52">
        <v>27448531.210490867</v>
      </c>
      <c r="CM2" s="52">
        <v>27347074.945935961</v>
      </c>
    </row>
    <row r="3" spans="1:91" x14ac:dyDescent="0.25">
      <c r="A3" s="52" t="s">
        <v>80</v>
      </c>
      <c r="B3" s="52">
        <v>0</v>
      </c>
      <c r="C3" s="52">
        <v>0</v>
      </c>
      <c r="D3" s="52">
        <v>0</v>
      </c>
      <c r="E3" s="52">
        <v>0</v>
      </c>
      <c r="F3" s="52">
        <v>0</v>
      </c>
      <c r="G3" s="52">
        <v>0</v>
      </c>
      <c r="H3" s="52">
        <v>0</v>
      </c>
      <c r="I3" s="52">
        <v>0</v>
      </c>
      <c r="J3" s="52">
        <v>0</v>
      </c>
      <c r="K3" s="52">
        <v>0</v>
      </c>
      <c r="L3" s="52">
        <v>0</v>
      </c>
      <c r="M3" s="52">
        <v>0</v>
      </c>
      <c r="N3" s="52">
        <v>0</v>
      </c>
      <c r="O3" s="52">
        <v>0</v>
      </c>
      <c r="P3" s="52">
        <v>0</v>
      </c>
      <c r="Q3" s="52">
        <v>0</v>
      </c>
      <c r="R3" s="52">
        <v>0</v>
      </c>
      <c r="S3" s="52">
        <v>0</v>
      </c>
      <c r="T3" s="52">
        <v>0</v>
      </c>
      <c r="U3" s="52">
        <v>0</v>
      </c>
      <c r="V3" s="52">
        <v>0</v>
      </c>
      <c r="W3" s="52">
        <v>0</v>
      </c>
      <c r="X3" s="52">
        <v>0</v>
      </c>
      <c r="Y3" s="52">
        <v>0</v>
      </c>
      <c r="Z3" s="52">
        <v>0</v>
      </c>
      <c r="AA3" s="52">
        <v>0</v>
      </c>
      <c r="AB3" s="52">
        <v>0</v>
      </c>
      <c r="AC3" s="52">
        <v>0</v>
      </c>
      <c r="AD3" s="52">
        <v>0</v>
      </c>
      <c r="AE3" s="52">
        <v>0</v>
      </c>
      <c r="AF3" s="52">
        <v>0</v>
      </c>
      <c r="AG3" s="52">
        <v>0</v>
      </c>
      <c r="AH3" s="52">
        <v>0</v>
      </c>
      <c r="AI3" s="52">
        <v>0</v>
      </c>
      <c r="AJ3" s="52">
        <v>0</v>
      </c>
      <c r="AK3" s="52">
        <v>0</v>
      </c>
      <c r="AL3" s="52">
        <v>0</v>
      </c>
      <c r="AM3" s="52">
        <v>0</v>
      </c>
      <c r="AN3" s="52">
        <v>0</v>
      </c>
      <c r="AO3" s="52">
        <v>0</v>
      </c>
      <c r="AP3" s="52">
        <v>0</v>
      </c>
      <c r="AQ3" s="52">
        <v>0</v>
      </c>
      <c r="AR3" s="52">
        <v>0</v>
      </c>
      <c r="AS3" s="52">
        <v>0</v>
      </c>
      <c r="AT3" s="52">
        <v>0</v>
      </c>
      <c r="AU3" s="52">
        <v>0</v>
      </c>
      <c r="AV3" s="52">
        <v>0</v>
      </c>
      <c r="AW3" s="52">
        <v>0</v>
      </c>
      <c r="AX3" s="52">
        <v>0</v>
      </c>
      <c r="AY3" s="52">
        <v>0</v>
      </c>
      <c r="AZ3" s="52">
        <v>0</v>
      </c>
      <c r="BA3" s="52">
        <v>0</v>
      </c>
      <c r="BB3" s="52">
        <v>0</v>
      </c>
      <c r="BC3" s="52">
        <v>0</v>
      </c>
      <c r="BD3" s="52">
        <v>0</v>
      </c>
      <c r="BE3" s="52">
        <v>0</v>
      </c>
      <c r="BF3" s="52">
        <v>0</v>
      </c>
      <c r="BG3" s="52">
        <v>0</v>
      </c>
      <c r="BH3" s="52">
        <v>0</v>
      </c>
      <c r="BI3" s="52">
        <v>1889155.9418674442</v>
      </c>
      <c r="BJ3" s="52">
        <v>3740902.8551830556</v>
      </c>
      <c r="BK3" s="52">
        <v>5555796.3195787976</v>
      </c>
      <c r="BL3" s="52">
        <v>7334384.580302042</v>
      </c>
      <c r="BM3" s="52">
        <v>9077208.638987679</v>
      </c>
      <c r="BN3" s="52">
        <v>10784802.343351694</v>
      </c>
      <c r="BO3" s="52">
        <v>12457692.475818787</v>
      </c>
      <c r="BP3" s="52">
        <v>14096398.841096224</v>
      </c>
      <c r="BQ3" s="52">
        <v>15701434.352706194</v>
      </c>
      <c r="BR3" s="52">
        <v>17273305.118488658</v>
      </c>
      <c r="BS3" s="52">
        <v>18812510.525086656</v>
      </c>
      <c r="BT3" s="52">
        <v>20319543.321425725</v>
      </c>
      <c r="BU3" s="52">
        <v>21794889.701199207</v>
      </c>
      <c r="BV3" s="52">
        <v>23239029.38437083</v>
      </c>
      <c r="BW3" s="52">
        <v>24652435.697705973</v>
      </c>
      <c r="BX3" s="52">
        <v>26035575.654342938</v>
      </c>
      <c r="BY3" s="52">
        <v>27388910.032415215</v>
      </c>
      <c r="BZ3" s="52">
        <v>28712893.452735819</v>
      </c>
      <c r="CA3" s="52">
        <v>30007974.455554485</v>
      </c>
      <c r="CB3" s="52">
        <v>31274595.57639863</v>
      </c>
      <c r="CC3" s="52">
        <v>32513193.421008468</v>
      </c>
      <c r="CD3" s="52">
        <v>33724198.739377007</v>
      </c>
      <c r="CE3" s="52">
        <v>34908036.498905085</v>
      </c>
      <c r="CF3" s="52">
        <v>36065125.956681952</v>
      </c>
      <c r="CG3" s="52">
        <v>37195880.730901361</v>
      </c>
      <c r="CH3" s="52">
        <v>38300708.871423177</v>
      </c>
      <c r="CI3" s="52">
        <v>39380012.929490693</v>
      </c>
      <c r="CJ3" s="52">
        <v>40434190.026613101</v>
      </c>
      <c r="CK3" s="52">
        <v>41463631.922623046</v>
      </c>
      <c r="CL3" s="52">
        <v>42468725.082918786</v>
      </c>
      <c r="CM3" s="52">
        <v>43449850.744900435</v>
      </c>
    </row>
    <row r="4" spans="1:91" x14ac:dyDescent="0.25">
      <c r="A4" s="52" t="s">
        <v>81</v>
      </c>
      <c r="B4" s="52">
        <v>0</v>
      </c>
      <c r="C4" s="52">
        <v>0</v>
      </c>
      <c r="D4" s="52">
        <v>0</v>
      </c>
      <c r="E4" s="52">
        <v>0</v>
      </c>
      <c r="F4" s="52">
        <v>0</v>
      </c>
      <c r="G4" s="52">
        <v>0</v>
      </c>
      <c r="H4" s="52">
        <v>0</v>
      </c>
      <c r="I4" s="52">
        <v>0</v>
      </c>
      <c r="J4" s="52">
        <v>0</v>
      </c>
      <c r="K4" s="52">
        <v>0</v>
      </c>
      <c r="L4" s="52">
        <v>0</v>
      </c>
      <c r="M4" s="52">
        <v>0</v>
      </c>
      <c r="N4" s="52">
        <v>0</v>
      </c>
      <c r="O4" s="52">
        <v>0</v>
      </c>
      <c r="P4" s="52">
        <v>0</v>
      </c>
      <c r="Q4" s="52">
        <v>0</v>
      </c>
      <c r="R4" s="52">
        <v>0</v>
      </c>
      <c r="S4" s="52">
        <v>0</v>
      </c>
      <c r="T4" s="52">
        <v>0</v>
      </c>
      <c r="U4" s="52">
        <v>0</v>
      </c>
      <c r="V4" s="52">
        <v>0</v>
      </c>
      <c r="W4" s="52">
        <v>0</v>
      </c>
      <c r="X4" s="52">
        <v>0</v>
      </c>
      <c r="Y4" s="52">
        <v>0</v>
      </c>
      <c r="Z4" s="52">
        <v>0</v>
      </c>
      <c r="AA4" s="52">
        <v>0</v>
      </c>
      <c r="AB4" s="52">
        <v>0</v>
      </c>
      <c r="AC4" s="52">
        <v>0</v>
      </c>
      <c r="AD4" s="52">
        <v>0</v>
      </c>
      <c r="AE4" s="52">
        <v>0</v>
      </c>
      <c r="AF4" s="52">
        <v>270161.24955538806</v>
      </c>
      <c r="AG4" s="52">
        <v>534967.18121228588</v>
      </c>
      <c r="AH4" s="52">
        <v>794575.46729436051</v>
      </c>
      <c r="AI4" s="52">
        <v>1049137.6506541937</v>
      </c>
      <c r="AJ4" s="52">
        <v>1298799.4396584283</v>
      </c>
      <c r="AK4" s="52">
        <v>1543700.9862996873</v>
      </c>
      <c r="AL4" s="52">
        <v>1783977.1485506233</v>
      </c>
      <c r="AM4" s="52">
        <v>2019757.7379920268</v>
      </c>
      <c r="AN4" s="52">
        <v>2251167.7536703693</v>
      </c>
      <c r="AO4" s="52">
        <v>2478327.603069996</v>
      </c>
      <c r="AP4" s="52">
        <v>2621817.0316209975</v>
      </c>
      <c r="AQ4" s="52">
        <v>2913751.5380588663</v>
      </c>
      <c r="AR4" s="52">
        <v>3281340.6865054397</v>
      </c>
      <c r="AS4" s="52">
        <v>3066287.3244988308</v>
      </c>
      <c r="AT4" s="52">
        <v>3453257.3071962814</v>
      </c>
      <c r="AU4" s="52">
        <v>4019022.8433644911</v>
      </c>
      <c r="AV4" s="52">
        <v>4818734.9040552219</v>
      </c>
      <c r="AW4" s="52">
        <v>5172925.8328054808</v>
      </c>
      <c r="AX4" s="52">
        <v>7184411.7113961279</v>
      </c>
      <c r="AY4" s="52">
        <v>8025387.3916528122</v>
      </c>
      <c r="AZ4" s="52">
        <v>8854412.5807904359</v>
      </c>
      <c r="BA4" s="52">
        <v>9671740.2112404648</v>
      </c>
      <c r="BB4" s="52">
        <v>10477616.1276772</v>
      </c>
      <c r="BC4" s="52">
        <v>11272279.333560033</v>
      </c>
      <c r="BD4" s="52">
        <v>12055962.227455793</v>
      </c>
      <c r="BE4" s="52">
        <v>12828890.829632103</v>
      </c>
      <c r="BF4" s="52">
        <v>13591284.999385903</v>
      </c>
      <c r="BG4" s="52">
        <v>14343358.643545993</v>
      </c>
      <c r="BH4" s="52">
        <v>15085318.644881405</v>
      </c>
      <c r="BI4" s="52">
        <v>14984577.441109072</v>
      </c>
      <c r="BJ4" s="52">
        <v>14885172.830269817</v>
      </c>
      <c r="BK4" s="52">
        <v>14787078.387610566</v>
      </c>
      <c r="BL4" s="52">
        <v>14690268.380382566</v>
      </c>
      <c r="BM4" s="52">
        <v>14594717.745336197</v>
      </c>
      <c r="BN4" s="52">
        <v>14500402.067088399</v>
      </c>
      <c r="BO4" s="52">
        <v>14407297.557323486</v>
      </c>
      <c r="BP4" s="52">
        <v>14315381.03479014</v>
      </c>
      <c r="BQ4" s="52">
        <v>14224629.90605926</v>
      </c>
      <c r="BR4" s="52">
        <v>14135022.147009073</v>
      </c>
      <c r="BS4" s="52">
        <v>14046536.285005707</v>
      </c>
      <c r="BT4" s="52">
        <v>13959151.381748881</v>
      </c>
      <c r="BU4" s="52">
        <v>13872847.01675394</v>
      </c>
      <c r="BV4" s="52">
        <v>13787603.271442901</v>
      </c>
      <c r="BW4" s="52">
        <v>13703400.713818418</v>
      </c>
      <c r="BX4" s="52">
        <v>13620220.383695945</v>
      </c>
      <c r="BY4" s="52">
        <v>13538043.77847049</v>
      </c>
      <c r="BZ4" s="52">
        <v>13456852.839395542</v>
      </c>
      <c r="CA4" s="52">
        <v>13376629.938352767</v>
      </c>
      <c r="CB4" s="52">
        <v>13297357.865092173</v>
      </c>
      <c r="CC4" s="52">
        <v>13219019.814923245</v>
      </c>
      <c r="CD4" s="52">
        <v>13141599.376838677</v>
      </c>
      <c r="CE4" s="52">
        <v>13065080.522052968</v>
      </c>
      <c r="CF4" s="52">
        <v>12989447.592939148</v>
      </c>
      <c r="CG4" s="52">
        <v>12914685.292347528</v>
      </c>
      <c r="CH4" s="52">
        <v>12840778.673291234</v>
      </c>
      <c r="CI4" s="52">
        <v>12767713.128983853</v>
      </c>
      <c r="CJ4" s="52">
        <v>12695474.383215312</v>
      </c>
      <c r="CK4" s="52">
        <v>12624048.481052591</v>
      </c>
      <c r="CL4" s="52">
        <v>12553421.779852627</v>
      </c>
      <c r="CM4" s="52">
        <v>12483580.940575207</v>
      </c>
    </row>
    <row r="5" spans="1:91" x14ac:dyDescent="0.25">
      <c r="A5" s="52" t="s">
        <v>75</v>
      </c>
      <c r="B5" s="52">
        <v>0</v>
      </c>
      <c r="C5" s="52">
        <v>0</v>
      </c>
      <c r="D5" s="52">
        <v>0</v>
      </c>
      <c r="E5" s="52">
        <v>0</v>
      </c>
      <c r="F5" s="52">
        <v>0</v>
      </c>
      <c r="G5" s="52">
        <v>0</v>
      </c>
      <c r="H5" s="52">
        <v>0</v>
      </c>
      <c r="I5" s="52">
        <v>0</v>
      </c>
      <c r="J5" s="52">
        <v>0</v>
      </c>
      <c r="K5" s="52">
        <v>0</v>
      </c>
      <c r="L5" s="52">
        <v>0</v>
      </c>
      <c r="M5" s="52">
        <v>0</v>
      </c>
      <c r="N5" s="52">
        <v>0</v>
      </c>
      <c r="O5" s="52">
        <v>0</v>
      </c>
      <c r="P5" s="52">
        <v>0</v>
      </c>
      <c r="Q5" s="52">
        <v>0</v>
      </c>
      <c r="R5" s="52">
        <v>0</v>
      </c>
      <c r="S5" s="52">
        <v>0</v>
      </c>
      <c r="T5" s="52">
        <v>0</v>
      </c>
      <c r="U5" s="52">
        <v>0</v>
      </c>
      <c r="V5" s="52">
        <v>0</v>
      </c>
      <c r="W5" s="52">
        <v>0</v>
      </c>
      <c r="X5" s="52">
        <v>0</v>
      </c>
      <c r="Y5" s="52">
        <v>0</v>
      </c>
      <c r="Z5" s="52">
        <v>0</v>
      </c>
      <c r="AA5" s="52">
        <v>0</v>
      </c>
      <c r="AB5" s="52">
        <v>0</v>
      </c>
      <c r="AC5" s="52">
        <v>0</v>
      </c>
      <c r="AD5" s="52">
        <v>0</v>
      </c>
      <c r="AE5" s="52">
        <v>0</v>
      </c>
      <c r="AF5" s="52">
        <v>194049.07492341602</v>
      </c>
      <c r="AG5" s="52">
        <v>381255.24497308611</v>
      </c>
      <c r="AH5" s="52">
        <v>561974.19877558958</v>
      </c>
      <c r="AI5" s="52">
        <v>736537.39359258232</v>
      </c>
      <c r="AJ5" s="52">
        <v>905254.08422466356</v>
      </c>
      <c r="AK5" s="52">
        <v>1068413.1514155138</v>
      </c>
      <c r="AL5" s="52">
        <v>1226284.7524977517</v>
      </c>
      <c r="AM5" s="52">
        <v>1379121.8141210626</v>
      </c>
      <c r="AN5" s="52">
        <v>1527161.3844119962</v>
      </c>
      <c r="AO5" s="52">
        <v>1670625.8597701294</v>
      </c>
      <c r="AP5" s="52">
        <v>1756440.1693223289</v>
      </c>
      <c r="AQ5" s="52">
        <v>1940254.0818755243</v>
      </c>
      <c r="AR5" s="52">
        <v>2172174.8990216735</v>
      </c>
      <c r="AS5" s="52">
        <v>2018151.3242159788</v>
      </c>
      <c r="AT5" s="52">
        <v>2260086.9140459197</v>
      </c>
      <c r="AU5" s="52">
        <v>2615940.6269577206</v>
      </c>
      <c r="AV5" s="52">
        <v>3132063.5329496893</v>
      </c>
      <c r="AW5" s="52">
        <v>3357635.840045406</v>
      </c>
      <c r="AX5" s="52">
        <v>4656909.806600987</v>
      </c>
      <c r="AY5" s="52">
        <v>5195066.7732302053</v>
      </c>
      <c r="AZ5" s="52">
        <v>5724168.6579570202</v>
      </c>
      <c r="BA5" s="52">
        <v>6244442.0966272661</v>
      </c>
      <c r="BB5" s="52">
        <v>6756106.224498447</v>
      </c>
      <c r="BC5" s="52">
        <v>7259372.9839865956</v>
      </c>
      <c r="BD5" s="52">
        <v>7754447.4173842892</v>
      </c>
      <c r="BE5" s="52">
        <v>8241527.9453992406</v>
      </c>
      <c r="BF5" s="52">
        <v>8720806.6323083751</v>
      </c>
      <c r="BG5" s="52">
        <v>9192469.4384717569</v>
      </c>
      <c r="BH5" s="52">
        <v>9656695.6468499955</v>
      </c>
      <c r="BI5" s="52">
        <v>9581171.860664973</v>
      </c>
      <c r="BJ5" s="52">
        <v>9506820.2310099155</v>
      </c>
      <c r="BK5" s="52">
        <v>9433613.6795762256</v>
      </c>
      <c r="BL5" s="52">
        <v>9361525.9557396863</v>
      </c>
      <c r="BM5" s="52">
        <v>9290531.605176175</v>
      </c>
      <c r="BN5" s="52">
        <v>9220605.9398947004</v>
      </c>
      <c r="BO5" s="52">
        <v>9151725.0096136183</v>
      </c>
      <c r="BP5" s="52">
        <v>9083865.5744102951</v>
      </c>
      <c r="BQ5" s="52">
        <v>9017005.078578623</v>
      </c>
      <c r="BR5" s="52">
        <v>8951121.6256326288</v>
      </c>
      <c r="BS5" s="52">
        <v>8886193.9543979298</v>
      </c>
      <c r="BT5" s="52">
        <v>8822201.4161362629</v>
      </c>
      <c r="BU5" s="52">
        <v>8759123.952651307</v>
      </c>
      <c r="BV5" s="52">
        <v>8696942.0753271487</v>
      </c>
      <c r="BW5" s="52">
        <v>8635636.8450532295</v>
      </c>
      <c r="BX5" s="52">
        <v>8575189.8529924583</v>
      </c>
      <c r="BY5" s="52">
        <v>8515583.2021513972</v>
      </c>
      <c r="BZ5" s="52">
        <v>8456799.4897137899</v>
      </c>
      <c r="CA5" s="52">
        <v>8398821.7901007663</v>
      </c>
      <c r="CB5" s="52">
        <v>8341633.6387231695</v>
      </c>
      <c r="CC5" s="52">
        <v>8285219.0163931036</v>
      </c>
      <c r="CD5" s="52">
        <v>8229562.3343638591</v>
      </c>
      <c r="CE5" s="52">
        <v>8174648.4199687336</v>
      </c>
      <c r="CF5" s="52">
        <v>8120462.5028310474</v>
      </c>
      <c r="CG5" s="52">
        <v>8066990.2016189592</v>
      </c>
      <c r="CH5" s="52">
        <v>8014217.5113202166</v>
      </c>
      <c r="CI5" s="52">
        <v>7962130.7910130639</v>
      </c>
      <c r="CJ5" s="52">
        <v>7910716.7521110447</v>
      </c>
      <c r="CK5" s="52">
        <v>7859962.4470602227</v>
      </c>
      <c r="CL5" s="52">
        <v>7809855.2584688356</v>
      </c>
      <c r="CM5" s="52">
        <v>7760382.8886500224</v>
      </c>
    </row>
    <row r="6" spans="1:91" x14ac:dyDescent="0.25">
      <c r="A6" s="52" t="s">
        <v>76</v>
      </c>
      <c r="B6" s="52">
        <v>0</v>
      </c>
      <c r="C6" s="52">
        <v>0</v>
      </c>
      <c r="D6" s="52">
        <v>0</v>
      </c>
      <c r="E6" s="52">
        <v>0</v>
      </c>
      <c r="F6" s="52">
        <v>0</v>
      </c>
      <c r="G6" s="52">
        <v>0</v>
      </c>
      <c r="H6" s="52">
        <v>0</v>
      </c>
      <c r="I6" s="52">
        <v>0</v>
      </c>
      <c r="J6" s="52">
        <v>0</v>
      </c>
      <c r="K6" s="52">
        <v>0</v>
      </c>
      <c r="L6" s="52">
        <v>0</v>
      </c>
      <c r="M6" s="52">
        <v>0</v>
      </c>
      <c r="N6" s="52">
        <v>0</v>
      </c>
      <c r="O6" s="52">
        <v>0</v>
      </c>
      <c r="P6" s="52">
        <v>0</v>
      </c>
      <c r="Q6" s="52">
        <v>0</v>
      </c>
      <c r="R6" s="52">
        <v>0</v>
      </c>
      <c r="S6" s="52">
        <v>0</v>
      </c>
      <c r="T6" s="52">
        <v>0</v>
      </c>
      <c r="U6" s="52">
        <v>0</v>
      </c>
      <c r="V6" s="52">
        <v>0</v>
      </c>
      <c r="W6" s="52">
        <v>0</v>
      </c>
      <c r="X6" s="52">
        <v>0</v>
      </c>
      <c r="Y6" s="52">
        <v>0</v>
      </c>
      <c r="Z6" s="52">
        <v>0</v>
      </c>
      <c r="AA6" s="52">
        <v>0</v>
      </c>
      <c r="AB6" s="52">
        <v>0</v>
      </c>
      <c r="AC6" s="52">
        <v>0</v>
      </c>
      <c r="AD6" s="52">
        <v>0</v>
      </c>
      <c r="AE6" s="52">
        <v>0</v>
      </c>
      <c r="AF6" s="52">
        <v>340168.03052168625</v>
      </c>
      <c r="AG6" s="52">
        <v>669268.5683244575</v>
      </c>
      <c r="AH6" s="52">
        <v>987833.09489007608</v>
      </c>
      <c r="AI6" s="52">
        <v>1296359.5975515635</v>
      </c>
      <c r="AJ6" s="52">
        <v>1595315.1670841221</v>
      </c>
      <c r="AK6" s="52">
        <v>1885138.3572454581</v>
      </c>
      <c r="AL6" s="52">
        <v>2166241.3313341513</v>
      </c>
      <c r="AM6" s="52">
        <v>2439011.8178624194</v>
      </c>
      <c r="AN6" s="52">
        <v>2703814.8948579407</v>
      </c>
      <c r="AO6" s="52">
        <v>2960994.620062171</v>
      </c>
      <c r="AP6" s="52">
        <v>3116337.3174925712</v>
      </c>
      <c r="AQ6" s="52">
        <v>3445952.3433444318</v>
      </c>
      <c r="AR6" s="52">
        <v>3861645.979367699</v>
      </c>
      <c r="AS6" s="52">
        <v>3591256.0607808442</v>
      </c>
      <c r="AT6" s="52">
        <v>4025513.0527243656</v>
      </c>
      <c r="AU6" s="52">
        <v>4663547.2756360602</v>
      </c>
      <c r="AV6" s="52">
        <v>5585113.6709762039</v>
      </c>
      <c r="AW6" s="52">
        <v>5988886.4228482135</v>
      </c>
      <c r="AX6" s="52">
        <v>8308439.6686795987</v>
      </c>
      <c r="AY6" s="52">
        <v>9270861.8871248569</v>
      </c>
      <c r="AZ6" s="52">
        <v>10217554.239816897</v>
      </c>
      <c r="BA6" s="52">
        <v>11148899.235185772</v>
      </c>
      <c r="BB6" s="52">
        <v>12065267.079267308</v>
      </c>
      <c r="BC6" s="52">
        <v>12967016.166351406</v>
      </c>
      <c r="BD6" s="52">
        <v>13854493.546334296</v>
      </c>
      <c r="BE6" s="52">
        <v>14728035.370054984</v>
      </c>
      <c r="BF6" s="52">
        <v>15587967.31381667</v>
      </c>
      <c r="BG6" s="52">
        <v>16434604.984219169</v>
      </c>
      <c r="BH6" s="52">
        <v>17268252.848655928</v>
      </c>
      <c r="BI6" s="52">
        <v>17136804.164852947</v>
      </c>
      <c r="BJ6" s="52">
        <v>17007341.579080597</v>
      </c>
      <c r="BK6" s="52">
        <v>16879820.416009162</v>
      </c>
      <c r="BL6" s="52">
        <v>16754197.330240795</v>
      </c>
      <c r="BM6" s="52">
        <v>16630430.257186987</v>
      </c>
      <c r="BN6" s="52">
        <v>16508478.366107291</v>
      </c>
      <c r="BO6" s="52">
        <v>16388302.015199296</v>
      </c>
      <c r="BP6" s="52">
        <v>16269862.708635932</v>
      </c>
      <c r="BQ6" s="52">
        <v>16153123.05545246</v>
      </c>
      <c r="BR6" s="52">
        <v>16038046.73019072</v>
      </c>
      <c r="BS6" s="52">
        <v>15924598.435213812</v>
      </c>
      <c r="BT6" s="52">
        <v>15812743.864608934</v>
      </c>
      <c r="BU6" s="52">
        <v>15702449.669600913</v>
      </c>
      <c r="BV6" s="52">
        <v>15593683.425403144</v>
      </c>
      <c r="BW6" s="52">
        <v>15486413.599436769</v>
      </c>
      <c r="BX6" s="52">
        <v>15380609.520852553</v>
      </c>
      <c r="BY6" s="52">
        <v>15276241.351293752</v>
      </c>
      <c r="BZ6" s="52">
        <v>15173280.056841247</v>
      </c>
      <c r="CA6" s="52">
        <v>15071697.381085629</v>
      </c>
      <c r="CB6" s="52">
        <v>14971465.81927379</v>
      </c>
      <c r="CC6" s="52">
        <v>14872558.593480274</v>
      </c>
      <c r="CD6" s="52">
        <v>14774949.628756328</v>
      </c>
      <c r="CE6" s="52">
        <v>14678613.530212061</v>
      </c>
      <c r="CF6" s="52">
        <v>14583525.560989348</v>
      </c>
      <c r="CG6" s="52">
        <v>14489661.621085387</v>
      </c>
      <c r="CH6" s="52">
        <v>14396998.226988804</v>
      </c>
      <c r="CI6" s="52">
        <v>14305512.492092194</v>
      </c>
      <c r="CJ6" s="52">
        <v>14215182.1078467</v>
      </c>
      <c r="CK6" s="52">
        <v>14125985.325626187</v>
      </c>
      <c r="CL6" s="52">
        <v>14037900.939269852</v>
      </c>
      <c r="CM6" s="52">
        <v>13950908.268273998</v>
      </c>
    </row>
    <row r="7" spans="1:91" x14ac:dyDescent="0.25">
      <c r="A7" s="52" t="s">
        <v>82</v>
      </c>
      <c r="B7" s="52">
        <v>0</v>
      </c>
      <c r="C7" s="52">
        <v>0</v>
      </c>
      <c r="D7" s="52">
        <v>0</v>
      </c>
      <c r="E7" s="52">
        <v>0</v>
      </c>
      <c r="F7" s="52">
        <v>0</v>
      </c>
      <c r="G7" s="52">
        <v>0</v>
      </c>
      <c r="H7" s="52">
        <v>0</v>
      </c>
      <c r="I7" s="52">
        <v>0</v>
      </c>
      <c r="J7" s="52">
        <v>0</v>
      </c>
      <c r="K7" s="52">
        <v>0</v>
      </c>
      <c r="L7" s="52">
        <v>0</v>
      </c>
      <c r="M7" s="52">
        <v>0</v>
      </c>
      <c r="N7" s="52">
        <v>0</v>
      </c>
      <c r="O7" s="52">
        <v>0</v>
      </c>
      <c r="P7" s="52">
        <v>0</v>
      </c>
      <c r="Q7" s="52">
        <v>0</v>
      </c>
      <c r="R7" s="52">
        <v>0</v>
      </c>
      <c r="S7" s="52">
        <v>0</v>
      </c>
      <c r="T7" s="52">
        <v>0</v>
      </c>
      <c r="U7" s="52">
        <v>0</v>
      </c>
      <c r="V7" s="52">
        <v>0</v>
      </c>
      <c r="W7" s="52">
        <v>0</v>
      </c>
      <c r="X7" s="52">
        <v>0</v>
      </c>
      <c r="Y7" s="52">
        <v>0</v>
      </c>
      <c r="Z7" s="52">
        <v>0</v>
      </c>
      <c r="AA7" s="52">
        <v>0</v>
      </c>
      <c r="AB7" s="52">
        <v>0</v>
      </c>
      <c r="AC7" s="52">
        <v>0</v>
      </c>
      <c r="AD7" s="52">
        <v>0</v>
      </c>
      <c r="AE7" s="52">
        <v>0</v>
      </c>
      <c r="AF7" s="52">
        <v>25254.417684758395</v>
      </c>
      <c r="AG7" s="52">
        <v>50156.792863272909</v>
      </c>
      <c r="AH7" s="52">
        <v>74714.435707804325</v>
      </c>
      <c r="AI7" s="52">
        <v>98934.455387324124</v>
      </c>
      <c r="AJ7" s="52">
        <v>122823.76692892735</v>
      </c>
      <c r="AK7" s="52">
        <v>146389.09780008771</v>
      </c>
      <c r="AL7" s="52">
        <v>169636.99422491551</v>
      </c>
      <c r="AM7" s="52">
        <v>192573.827246876</v>
      </c>
      <c r="AN7" s="52">
        <v>215205.79854976168</v>
      </c>
      <c r="AO7" s="52">
        <v>237538.94604809227</v>
      </c>
      <c r="AP7" s="52">
        <v>254811.94858238936</v>
      </c>
      <c r="AQ7" s="52">
        <v>295993.59148636641</v>
      </c>
      <c r="AR7" s="52">
        <v>362040.28940787079</v>
      </c>
      <c r="AS7" s="52">
        <v>394983.1347717726</v>
      </c>
      <c r="AT7" s="52">
        <v>449369.3348682482</v>
      </c>
      <c r="AU7" s="52">
        <v>546283.92762449128</v>
      </c>
      <c r="AV7" s="52">
        <v>697057.22761212033</v>
      </c>
      <c r="AW7" s="52">
        <v>904890.38298640342</v>
      </c>
      <c r="AX7" s="52">
        <v>1040252.2137375725</v>
      </c>
      <c r="AY7" s="52">
        <v>1124810.4473007186</v>
      </c>
      <c r="AZ7" s="52">
        <v>1207449.3262558738</v>
      </c>
      <c r="BA7" s="52">
        <v>1288233.4672793671</v>
      </c>
      <c r="BB7" s="52">
        <v>1367224.6187363716</v>
      </c>
      <c r="BC7" s="52">
        <v>1444481.8180882216</v>
      </c>
      <c r="BD7" s="52">
        <v>1520061.5390464254</v>
      </c>
      <c r="BE7" s="52">
        <v>1594017.8292441901</v>
      </c>
      <c r="BF7" s="52">
        <v>1666402.4391307861</v>
      </c>
      <c r="BG7" s="52">
        <v>1737264.9427347207</v>
      </c>
      <c r="BH7" s="52">
        <v>1806652.828141141</v>
      </c>
      <c r="BI7" s="52">
        <v>1788048.8516499852</v>
      </c>
      <c r="BJ7" s="52">
        <v>1769824.1181677091</v>
      </c>
      <c r="BK7" s="52">
        <v>1751967.1483655686</v>
      </c>
      <c r="BL7" s="52">
        <v>1734466.9215783433</v>
      </c>
      <c r="BM7" s="52">
        <v>1717312.8531231727</v>
      </c>
      <c r="BN7" s="52">
        <v>1700494.7729511284</v>
      </c>
      <c r="BO7" s="52">
        <v>1684002.9055410421</v>
      </c>
      <c r="BP7" s="52">
        <v>1667827.8509520674</v>
      </c>
      <c r="BQ7" s="52">
        <v>1651960.566957809</v>
      </c>
      <c r="BR7" s="52">
        <v>1636392.3521906671</v>
      </c>
      <c r="BS7" s="52">
        <v>1621114.8302303809</v>
      </c>
      <c r="BT7" s="52">
        <v>1606119.9345756292</v>
      </c>
      <c r="BU7" s="52">
        <v>1591399.894442044</v>
      </c>
      <c r="BV7" s="52">
        <v>1576947.2213340942</v>
      </c>
      <c r="BW7" s="52">
        <v>1562754.6963420871</v>
      </c>
      <c r="BX7" s="52">
        <v>1548815.358119016</v>
      </c>
      <c r="BY7" s="52">
        <v>1535122.4914951741</v>
      </c>
      <c r="BZ7" s="52">
        <v>1521669.6166914189</v>
      </c>
      <c r="CA7" s="52">
        <v>1508450.4790946788</v>
      </c>
      <c r="CB7" s="52">
        <v>1495459.0395618058</v>
      </c>
      <c r="CC7" s="52">
        <v>1482689.4652201966</v>
      </c>
      <c r="CD7" s="52">
        <v>1470136.1207357359</v>
      </c>
      <c r="CE7" s="52">
        <v>1457793.5600206037</v>
      </c>
      <c r="CF7" s="52">
        <v>1445656.5183553074</v>
      </c>
      <c r="CG7" s="52">
        <v>1433719.9049009974</v>
      </c>
      <c r="CH7" s="52">
        <v>1421978.7955796972</v>
      </c>
      <c r="CI7" s="52">
        <v>1410428.4263015226</v>
      </c>
      <c r="CJ7" s="52">
        <v>1399064.1865193259</v>
      </c>
      <c r="CK7" s="52">
        <v>1387881.6130924399</v>
      </c>
      <c r="CL7" s="52">
        <v>1376876.3844423676</v>
      </c>
      <c r="CM7" s="52">
        <v>1366044.3149843419</v>
      </c>
    </row>
    <row r="8" spans="1:91" x14ac:dyDescent="0.25">
      <c r="A8" s="52" t="s">
        <v>83</v>
      </c>
      <c r="B8" s="52">
        <v>0</v>
      </c>
      <c r="C8" s="52">
        <v>0</v>
      </c>
      <c r="D8" s="52">
        <v>0</v>
      </c>
      <c r="E8" s="52">
        <v>0</v>
      </c>
      <c r="F8" s="52">
        <v>0</v>
      </c>
      <c r="G8" s="52">
        <v>0</v>
      </c>
      <c r="H8" s="52">
        <v>0</v>
      </c>
      <c r="I8" s="52">
        <v>0</v>
      </c>
      <c r="J8" s="52">
        <v>0</v>
      </c>
      <c r="K8" s="52">
        <v>0</v>
      </c>
      <c r="L8" s="52">
        <v>0</v>
      </c>
      <c r="M8" s="52">
        <v>0</v>
      </c>
      <c r="N8" s="52">
        <v>0</v>
      </c>
      <c r="O8" s="52">
        <v>0</v>
      </c>
      <c r="P8" s="52">
        <v>0</v>
      </c>
      <c r="Q8" s="52">
        <v>0</v>
      </c>
      <c r="R8" s="52">
        <v>0</v>
      </c>
      <c r="S8" s="52">
        <v>0</v>
      </c>
      <c r="T8" s="52">
        <v>0</v>
      </c>
      <c r="U8" s="52">
        <v>0</v>
      </c>
      <c r="V8" s="52">
        <v>0</v>
      </c>
      <c r="W8" s="52">
        <v>0</v>
      </c>
      <c r="X8" s="52">
        <v>0</v>
      </c>
      <c r="Y8" s="52">
        <v>0</v>
      </c>
      <c r="Z8" s="52">
        <v>0</v>
      </c>
      <c r="AA8" s="52">
        <v>0</v>
      </c>
      <c r="AB8" s="52">
        <v>0</v>
      </c>
      <c r="AC8" s="52">
        <v>0</v>
      </c>
      <c r="AD8" s="52">
        <v>0</v>
      </c>
      <c r="AE8" s="52">
        <v>0</v>
      </c>
      <c r="AF8" s="52">
        <v>0</v>
      </c>
      <c r="AG8" s="52">
        <v>0</v>
      </c>
      <c r="AH8" s="52">
        <v>0</v>
      </c>
      <c r="AI8" s="52">
        <v>0</v>
      </c>
      <c r="AJ8" s="52">
        <v>0</v>
      </c>
      <c r="AK8" s="52">
        <v>0</v>
      </c>
      <c r="AL8" s="52">
        <v>0</v>
      </c>
      <c r="AM8" s="52">
        <v>0</v>
      </c>
      <c r="AN8" s="52">
        <v>0</v>
      </c>
      <c r="AO8" s="52">
        <v>0</v>
      </c>
      <c r="AP8" s="52">
        <v>0</v>
      </c>
      <c r="AQ8" s="52">
        <v>0</v>
      </c>
      <c r="AR8" s="52">
        <v>0</v>
      </c>
      <c r="AS8" s="52">
        <v>0</v>
      </c>
      <c r="AT8" s="52">
        <v>0</v>
      </c>
      <c r="AU8" s="52">
        <v>0</v>
      </c>
      <c r="AV8" s="52">
        <v>0</v>
      </c>
      <c r="AW8" s="52">
        <v>0</v>
      </c>
      <c r="AX8" s="52">
        <v>0</v>
      </c>
      <c r="AY8" s="52">
        <v>0</v>
      </c>
      <c r="AZ8" s="52">
        <v>0</v>
      </c>
      <c r="BA8" s="52">
        <v>0</v>
      </c>
      <c r="BB8" s="52">
        <v>0</v>
      </c>
      <c r="BC8" s="52">
        <v>0</v>
      </c>
      <c r="BD8" s="52">
        <v>0</v>
      </c>
      <c r="BE8" s="52">
        <v>0</v>
      </c>
      <c r="BF8" s="52">
        <v>0</v>
      </c>
      <c r="BG8" s="52">
        <v>0</v>
      </c>
      <c r="BH8" s="52">
        <v>0</v>
      </c>
      <c r="BI8" s="52">
        <v>5232247.2894498259</v>
      </c>
      <c r="BJ8" s="52">
        <v>7009730.7633223142</v>
      </c>
      <c r="BK8" s="52">
        <v>8751503.6295081396</v>
      </c>
      <c r="BL8" s="52">
        <v>10458098.78275083</v>
      </c>
      <c r="BM8" s="52">
        <v>12130042.066119537</v>
      </c>
      <c r="BN8" s="52">
        <v>13767852.358406657</v>
      </c>
      <c r="BO8" s="52">
        <v>15372041.660486143</v>
      </c>
      <c r="BP8" s="52">
        <v>16943115.1806444</v>
      </c>
      <c r="BQ8" s="52">
        <v>18481571.418895736</v>
      </c>
      <c r="BR8" s="52">
        <v>19987902.250294078</v>
      </c>
      <c r="BS8" s="52">
        <v>21462593.007252529</v>
      </c>
      <c r="BT8" s="52">
        <v>22906122.560882293</v>
      </c>
      <c r="BU8" s="52">
        <v>24318963.401362326</v>
      </c>
      <c r="BV8" s="52">
        <v>25701581.717350844</v>
      </c>
      <c r="BW8" s="52">
        <v>27054437.47444994</v>
      </c>
      <c r="BX8" s="52">
        <v>28377984.492734082</v>
      </c>
      <c r="BY8" s="52">
        <v>29672670.523353491</v>
      </c>
      <c r="BZ8" s="52">
        <v>30938937.324223094</v>
      </c>
      <c r="CA8" s="52">
        <v>32177220.734807525</v>
      </c>
      <c r="CB8" s="52">
        <v>33387950.750012852</v>
      </c>
      <c r="CC8" s="52">
        <v>34571551.593195207</v>
      </c>
      <c r="CD8" s="52">
        <v>35728441.7882967</v>
      </c>
      <c r="CE8" s="52">
        <v>36859034.231118649</v>
      </c>
      <c r="CF8" s="52">
        <v>37963736.259742148</v>
      </c>
      <c r="CG8" s="52">
        <v>39042949.724105962</v>
      </c>
      <c r="CH8" s="52">
        <v>40097071.054751404</v>
      </c>
      <c r="CI8" s="52">
        <v>41126491.330743901</v>
      </c>
      <c r="CJ8" s="52">
        <v>42131596.346780986</v>
      </c>
      <c r="CK8" s="52">
        <v>43112766.679495826</v>
      </c>
      <c r="CL8" s="52">
        <v>44070377.752965979</v>
      </c>
      <c r="CM8" s="52">
        <v>45004799.903436415</v>
      </c>
    </row>
    <row r="9" spans="1:91" x14ac:dyDescent="0.25">
      <c r="A9" s="52" t="s">
        <v>80</v>
      </c>
      <c r="B9" s="52">
        <v>0</v>
      </c>
      <c r="C9" s="52">
        <v>0</v>
      </c>
      <c r="D9" s="52">
        <v>0</v>
      </c>
      <c r="E9" s="52">
        <v>0</v>
      </c>
      <c r="F9" s="52">
        <v>0</v>
      </c>
      <c r="G9" s="52">
        <v>0</v>
      </c>
      <c r="H9" s="52">
        <v>0</v>
      </c>
      <c r="I9" s="52">
        <v>0</v>
      </c>
      <c r="J9" s="52">
        <v>0</v>
      </c>
      <c r="K9" s="52">
        <v>0</v>
      </c>
      <c r="L9" s="52">
        <v>0</v>
      </c>
      <c r="M9" s="52">
        <v>0</v>
      </c>
      <c r="N9" s="52">
        <v>0</v>
      </c>
      <c r="O9" s="52">
        <v>0</v>
      </c>
      <c r="P9" s="52">
        <v>0</v>
      </c>
      <c r="Q9" s="52">
        <v>0</v>
      </c>
      <c r="R9" s="52">
        <v>0</v>
      </c>
      <c r="S9" s="52">
        <v>0</v>
      </c>
      <c r="T9" s="52">
        <v>0</v>
      </c>
      <c r="U9" s="52">
        <v>0</v>
      </c>
      <c r="V9" s="52">
        <v>0</v>
      </c>
      <c r="W9" s="52">
        <v>0</v>
      </c>
      <c r="X9" s="52">
        <v>0</v>
      </c>
      <c r="Y9" s="52">
        <v>0</v>
      </c>
      <c r="Z9" s="52">
        <v>0</v>
      </c>
      <c r="AA9" s="52">
        <v>0</v>
      </c>
      <c r="AB9" s="52">
        <v>0</v>
      </c>
      <c r="AC9" s="52">
        <v>0</v>
      </c>
      <c r="AD9" s="52">
        <v>0</v>
      </c>
      <c r="AE9" s="52">
        <v>0</v>
      </c>
      <c r="AF9" s="52">
        <v>3416.4412662625296</v>
      </c>
      <c r="AG9" s="52">
        <v>6832.8825325250591</v>
      </c>
      <c r="AH9" s="52">
        <v>10249.323798787587</v>
      </c>
      <c r="AI9" s="52">
        <v>13665.765065050118</v>
      </c>
      <c r="AJ9" s="52">
        <v>17082.206331312645</v>
      </c>
      <c r="AK9" s="52">
        <v>20498.647597575175</v>
      </c>
      <c r="AL9" s="52">
        <v>23915.088863837707</v>
      </c>
      <c r="AM9" s="52">
        <v>27331.530130100236</v>
      </c>
      <c r="AN9" s="52">
        <v>30747.971396362755</v>
      </c>
      <c r="AO9" s="52">
        <v>34164.412662625291</v>
      </c>
      <c r="AP9" s="52">
        <v>36890.677261253244</v>
      </c>
      <c r="AQ9" s="52">
        <v>43133.844875324197</v>
      </c>
      <c r="AR9" s="52">
        <v>53102.302593334723</v>
      </c>
      <c r="AS9" s="52">
        <v>58309.240873589188</v>
      </c>
      <c r="AT9" s="52">
        <v>66764.666817619684</v>
      </c>
      <c r="AU9" s="52">
        <v>81682.374948510493</v>
      </c>
      <c r="AV9" s="52">
        <v>105480.61411907786</v>
      </c>
      <c r="AW9" s="52">
        <v>138558.46956944911</v>
      </c>
      <c r="AX9" s="52">
        <v>161156.81907767052</v>
      </c>
      <c r="AY9" s="52">
        <v>176280.28322862033</v>
      </c>
      <c r="AZ9" s="52">
        <v>191403.74737957012</v>
      </c>
      <c r="BA9" s="52">
        <v>206527.21153051991</v>
      </c>
      <c r="BB9" s="52">
        <v>221650.67568146973</v>
      </c>
      <c r="BC9" s="52">
        <v>236774.13983241952</v>
      </c>
      <c r="BD9" s="52">
        <v>251897.60398336934</v>
      </c>
      <c r="BE9" s="52">
        <v>267021.06813431915</v>
      </c>
      <c r="BF9" s="52">
        <v>282144.53228526888</v>
      </c>
      <c r="BG9" s="52">
        <v>297267.99643621867</v>
      </c>
      <c r="BH9" s="52">
        <v>312391.45665398089</v>
      </c>
      <c r="BI9" s="52">
        <v>312391.45665398089</v>
      </c>
      <c r="BJ9" s="52">
        <v>312391.45665398089</v>
      </c>
      <c r="BK9" s="52">
        <v>312391.45665398089</v>
      </c>
      <c r="BL9" s="52">
        <v>312391.45665398089</v>
      </c>
      <c r="BM9" s="52">
        <v>312391.45665398089</v>
      </c>
      <c r="BN9" s="52">
        <v>312391.45665398089</v>
      </c>
      <c r="BO9" s="52">
        <v>312391.45665398089</v>
      </c>
      <c r="BP9" s="52">
        <v>312391.45665398089</v>
      </c>
      <c r="BQ9" s="52">
        <v>312391.45665398089</v>
      </c>
      <c r="BR9" s="52">
        <v>312391.45665398089</v>
      </c>
      <c r="BS9" s="52">
        <v>312391.45665398089</v>
      </c>
      <c r="BT9" s="52">
        <v>312391.45665398089</v>
      </c>
      <c r="BU9" s="52">
        <v>312391.45665398089</v>
      </c>
      <c r="BV9" s="52">
        <v>312391.45665398089</v>
      </c>
      <c r="BW9" s="52">
        <v>312391.45665398089</v>
      </c>
      <c r="BX9" s="52">
        <v>312391.45665398089</v>
      </c>
      <c r="BY9" s="52">
        <v>312391.45665398089</v>
      </c>
      <c r="BZ9" s="52">
        <v>312391.45665398089</v>
      </c>
      <c r="CA9" s="52">
        <v>312391.45665398089</v>
      </c>
      <c r="CB9" s="52">
        <v>312391.45665398089</v>
      </c>
      <c r="CC9" s="52">
        <v>312391.45665398089</v>
      </c>
      <c r="CD9" s="52">
        <v>312391.45665398089</v>
      </c>
      <c r="CE9" s="52">
        <v>312391.45665398089</v>
      </c>
      <c r="CF9" s="52">
        <v>312391.45665398089</v>
      </c>
      <c r="CG9" s="52">
        <v>312391.45665398089</v>
      </c>
      <c r="CH9" s="52">
        <v>312391.45665398089</v>
      </c>
      <c r="CI9" s="52">
        <v>312391.45665398089</v>
      </c>
      <c r="CJ9" s="52">
        <v>312391.45665398089</v>
      </c>
      <c r="CK9" s="52">
        <v>312391.45665398089</v>
      </c>
      <c r="CL9" s="52">
        <v>312391.45665398089</v>
      </c>
      <c r="CM9" s="52">
        <v>312391.45665398089</v>
      </c>
    </row>
    <row r="10" spans="1:91" x14ac:dyDescent="0.25">
      <c r="A10" s="52" t="s">
        <v>84</v>
      </c>
      <c r="B10" s="52">
        <v>0</v>
      </c>
      <c r="C10" s="52">
        <v>0</v>
      </c>
      <c r="D10" s="52">
        <v>0</v>
      </c>
      <c r="E10" s="52">
        <v>0</v>
      </c>
      <c r="F10" s="52">
        <v>0</v>
      </c>
      <c r="G10" s="52">
        <v>0</v>
      </c>
      <c r="H10" s="52">
        <v>0</v>
      </c>
      <c r="I10" s="52">
        <v>0</v>
      </c>
      <c r="J10" s="52">
        <v>0</v>
      </c>
      <c r="K10" s="52">
        <v>0</v>
      </c>
      <c r="L10" s="52">
        <v>0</v>
      </c>
      <c r="M10" s="52">
        <v>0</v>
      </c>
      <c r="N10" s="52">
        <v>0</v>
      </c>
      <c r="O10" s="52">
        <v>0</v>
      </c>
      <c r="P10" s="52">
        <v>0</v>
      </c>
      <c r="Q10" s="52">
        <v>0</v>
      </c>
      <c r="R10" s="52">
        <v>0</v>
      </c>
      <c r="S10" s="52">
        <v>0</v>
      </c>
      <c r="T10" s="52">
        <v>0</v>
      </c>
      <c r="U10" s="52">
        <v>0</v>
      </c>
      <c r="V10" s="52">
        <v>0</v>
      </c>
      <c r="W10" s="52">
        <v>0</v>
      </c>
      <c r="X10" s="52">
        <v>0</v>
      </c>
      <c r="Y10" s="52">
        <v>0</v>
      </c>
      <c r="Z10" s="52">
        <v>0</v>
      </c>
      <c r="AA10" s="52">
        <v>0</v>
      </c>
      <c r="AB10" s="52">
        <v>0</v>
      </c>
      <c r="AC10" s="52">
        <v>0</v>
      </c>
      <c r="AD10" s="52">
        <v>0</v>
      </c>
      <c r="AE10" s="52">
        <v>0</v>
      </c>
      <c r="AF10" s="52">
        <v>0</v>
      </c>
      <c r="AG10" s="52">
        <v>0</v>
      </c>
      <c r="AH10" s="52">
        <v>0</v>
      </c>
      <c r="AI10" s="52">
        <v>0</v>
      </c>
      <c r="AJ10" s="52">
        <v>0</v>
      </c>
      <c r="AK10" s="52">
        <v>0</v>
      </c>
      <c r="AL10" s="52">
        <v>0</v>
      </c>
      <c r="AM10" s="52">
        <v>0</v>
      </c>
      <c r="AN10" s="52">
        <v>0</v>
      </c>
      <c r="AO10" s="52">
        <v>0</v>
      </c>
      <c r="AP10" s="52">
        <v>68980.364085721056</v>
      </c>
      <c r="AQ10" s="52">
        <v>83401.554127270196</v>
      </c>
      <c r="AR10" s="52">
        <v>111702.67319864212</v>
      </c>
      <c r="AS10" s="52">
        <v>216760.92660335195</v>
      </c>
      <c r="AT10" s="52">
        <v>697208.05298994563</v>
      </c>
      <c r="AU10" s="52">
        <v>1901550.8592583756</v>
      </c>
      <c r="AV10" s="52">
        <v>3681291.6218185239</v>
      </c>
      <c r="AW10" s="52">
        <v>4557838.0832964052</v>
      </c>
      <c r="AX10" s="52">
        <v>4777637.3089934224</v>
      </c>
      <c r="AY10" s="52">
        <v>4993103.772799449</v>
      </c>
      <c r="AZ10" s="52">
        <v>5204364.3377849916</v>
      </c>
      <c r="BA10" s="52">
        <v>5411540.9621653156</v>
      </c>
      <c r="BB10" s="52">
        <v>5614750.9340742351</v>
      </c>
      <c r="BC10" s="52">
        <v>5814107.0929806447</v>
      </c>
      <c r="BD10" s="52">
        <v>6009718.0386261465</v>
      </c>
      <c r="BE10" s="52">
        <v>6201688.3282965655</v>
      </c>
      <c r="BF10" s="52">
        <v>6390118.6631803587</v>
      </c>
      <c r="BG10" s="52">
        <v>6575106.0645117871</v>
      </c>
      <c r="BH10" s="52">
        <v>6756738.7310272641</v>
      </c>
      <c r="BI10" s="52">
        <v>8668243.3912551794</v>
      </c>
      <c r="BJ10" s="52">
        <v>10545753.410446089</v>
      </c>
      <c r="BK10" s="52">
        <v>12390167.648671782</v>
      </c>
      <c r="BL10" s="52">
        <v>14202353.553579003</v>
      </c>
      <c r="BM10" s="52">
        <v>15983148.520715509</v>
      </c>
      <c r="BN10" s="52">
        <v>17733361.183771856</v>
      </c>
      <c r="BO10" s="52">
        <v>19453772.638915598</v>
      </c>
      <c r="BP10" s="52">
        <v>21145137.607112497</v>
      </c>
      <c r="BQ10" s="52">
        <v>22808185.538068611</v>
      </c>
      <c r="BR10" s="52">
        <v>24443621.659185641</v>
      </c>
      <c r="BS10" s="52">
        <v>26052127.972698614</v>
      </c>
      <c r="BT10" s="52">
        <v>27634364.203957904</v>
      </c>
      <c r="BU10" s="52">
        <v>29190968.703625601</v>
      </c>
      <c r="BV10" s="52">
        <v>30722559.306378331</v>
      </c>
      <c r="BW10" s="52">
        <v>32229734.148543127</v>
      </c>
      <c r="BX10" s="52">
        <v>33713072.446939729</v>
      </c>
      <c r="BY10" s="52">
        <v>35173135.241059601</v>
      </c>
      <c r="BZ10" s="52">
        <v>36610466.100579828</v>
      </c>
      <c r="CA10" s="52">
        <v>38025591.800085917</v>
      </c>
      <c r="CB10" s="52">
        <v>39419022.962763414</v>
      </c>
      <c r="CC10" s="52">
        <v>40791254.674710125</v>
      </c>
      <c r="CD10" s="52">
        <v>42142767.071422145</v>
      </c>
      <c r="CE10" s="52">
        <v>43474025.897912681</v>
      </c>
      <c r="CF10" s="52">
        <v>44785483.04383669</v>
      </c>
      <c r="CG10" s="52">
        <v>46077577.054912873</v>
      </c>
      <c r="CH10" s="52">
        <v>47350733.621858604</v>
      </c>
      <c r="CI10" s="52">
        <v>48605366.047983557</v>
      </c>
      <c r="CJ10" s="52">
        <v>49841875.696520172</v>
      </c>
      <c r="CK10" s="52">
        <v>51060652.41870895</v>
      </c>
      <c r="CL10" s="52">
        <v>52262074.963596717</v>
      </c>
      <c r="CM10" s="52">
        <v>53446511.370453633</v>
      </c>
    </row>
    <row r="11" spans="1:91" x14ac:dyDescent="0.25">
      <c r="A11" s="52" t="s">
        <v>85</v>
      </c>
      <c r="B11" s="52">
        <v>0</v>
      </c>
      <c r="C11" s="52">
        <v>0</v>
      </c>
      <c r="D11" s="52">
        <v>0</v>
      </c>
      <c r="E11" s="52">
        <v>0</v>
      </c>
      <c r="F11" s="52">
        <v>0</v>
      </c>
      <c r="G11" s="52">
        <v>0</v>
      </c>
      <c r="H11" s="52">
        <v>0</v>
      </c>
      <c r="I11" s="52">
        <v>0</v>
      </c>
      <c r="J11" s="52">
        <v>0</v>
      </c>
      <c r="K11" s="52">
        <v>0</v>
      </c>
      <c r="L11" s="52">
        <v>0</v>
      </c>
      <c r="M11" s="52">
        <v>0</v>
      </c>
      <c r="N11" s="52">
        <v>0</v>
      </c>
      <c r="O11" s="52">
        <v>0</v>
      </c>
      <c r="P11" s="52">
        <v>0</v>
      </c>
      <c r="Q11" s="52">
        <v>0</v>
      </c>
      <c r="R11" s="52">
        <v>0</v>
      </c>
      <c r="S11" s="52">
        <v>0</v>
      </c>
      <c r="T11" s="52">
        <v>0</v>
      </c>
      <c r="U11" s="52">
        <v>0</v>
      </c>
      <c r="V11" s="52">
        <v>0</v>
      </c>
      <c r="W11" s="52">
        <v>0</v>
      </c>
      <c r="X11" s="52">
        <v>0</v>
      </c>
      <c r="Y11" s="52">
        <v>0</v>
      </c>
      <c r="Z11" s="52">
        <v>0</v>
      </c>
      <c r="AA11" s="52">
        <v>0</v>
      </c>
      <c r="AB11" s="52">
        <v>0</v>
      </c>
      <c r="AC11" s="52">
        <v>0</v>
      </c>
      <c r="AD11" s="52">
        <v>0</v>
      </c>
      <c r="AE11" s="52">
        <v>0</v>
      </c>
      <c r="AF11" s="52">
        <v>213230.09957228223</v>
      </c>
      <c r="AG11" s="52">
        <v>420704.17507313489</v>
      </c>
      <c r="AH11" s="52">
        <v>622652.19343575917</v>
      </c>
      <c r="AI11" s="52">
        <v>819292.03228668054</v>
      </c>
      <c r="AJ11" s="52">
        <v>1010830.2640555844</v>
      </c>
      <c r="AK11" s="52">
        <v>1197462.8798380368</v>
      </c>
      <c r="AL11" s="52">
        <v>1379375.9583434146</v>
      </c>
      <c r="AM11" s="52">
        <v>1556746.2847277294</v>
      </c>
      <c r="AN11" s="52">
        <v>1729741.9236374951</v>
      </c>
      <c r="AO11" s="52">
        <v>1898522.750369214</v>
      </c>
      <c r="AP11" s="52">
        <v>2350761.9603452343</v>
      </c>
      <c r="AQ11" s="52">
        <v>3026354.6395304766</v>
      </c>
      <c r="AR11" s="52">
        <v>3996955.4153171079</v>
      </c>
      <c r="AS11" s="52">
        <v>5002175.2293081218</v>
      </c>
      <c r="AT11" s="52">
        <v>7690715.7807354275</v>
      </c>
      <c r="AU11" s="52">
        <v>12604336.230533773</v>
      </c>
      <c r="AV11" s="52">
        <v>16922281.886250038</v>
      </c>
      <c r="AW11" s="52">
        <v>25257773.699198831</v>
      </c>
      <c r="AX11" s="52">
        <v>29340683.976885021</v>
      </c>
      <c r="AY11" s="52">
        <v>33343110.449410386</v>
      </c>
      <c r="AZ11" s="52">
        <v>37267409.678918391</v>
      </c>
      <c r="BA11" s="52">
        <v>41115847.116749823</v>
      </c>
      <c r="BB11" s="52">
        <v>44890601.464515015</v>
      </c>
      <c r="BC11" s="52">
        <v>48593768.787046976</v>
      </c>
      <c r="BD11" s="52">
        <v>52227366.393550143</v>
      </c>
      <c r="BE11" s="52">
        <v>55793336.50204441</v>
      </c>
      <c r="BF11" s="52">
        <v>59293549.701090828</v>
      </c>
      <c r="BG11" s="52">
        <v>62729808.221763119</v>
      </c>
      <c r="BH11" s="52">
        <v>66103840.183358125</v>
      </c>
      <c r="BI11" s="52">
        <v>97608663.936817229</v>
      </c>
      <c r="BJ11" s="52">
        <v>128553198.61710963</v>
      </c>
      <c r="BK11" s="52">
        <v>158952258.95565081</v>
      </c>
      <c r="BL11" s="52">
        <v>188820141.95406175</v>
      </c>
      <c r="BM11" s="52">
        <v>218170649.30463925</v>
      </c>
      <c r="BN11" s="52">
        <v>247017108.65571821</v>
      </c>
      <c r="BO11" s="52">
        <v>275372393.79076624</v>
      </c>
      <c r="BP11" s="52">
        <v>303248943.78539968</v>
      </c>
      <c r="BQ11" s="52">
        <v>330658781.20221251</v>
      </c>
      <c r="BR11" s="52">
        <v>357613529.37933147</v>
      </c>
      <c r="BS11" s="52">
        <v>384124428.86492848</v>
      </c>
      <c r="BT11" s="52">
        <v>410202353.04650885</v>
      </c>
      <c r="BU11" s="52">
        <v>435857823.02063131</v>
      </c>
      <c r="BV11" s="52">
        <v>461101021.74577892</v>
      </c>
      <c r="BW11" s="52">
        <v>485941807.51837963</v>
      </c>
      <c r="BX11" s="52">
        <v>510389726.80944169</v>
      </c>
      <c r="BY11" s="52">
        <v>534454026.49691665</v>
      </c>
      <c r="BZ11" s="52">
        <v>558143665.52672338</v>
      </c>
      <c r="CA11" s="52">
        <v>581467326.0333184</v>
      </c>
      <c r="CB11" s="52">
        <v>604433423.94881988</v>
      </c>
      <c r="CC11" s="52">
        <v>627050119.12791193</v>
      </c>
      <c r="CD11" s="52">
        <v>649325325.01412249</v>
      </c>
      <c r="CE11" s="52">
        <v>671266717.87152743</v>
      </c>
      <c r="CF11" s="52">
        <v>692881745.60450947</v>
      </c>
      <c r="CG11" s="52">
        <v>714177636.18685389</v>
      </c>
      <c r="CH11" s="52">
        <v>735161405.72022343</v>
      </c>
      <c r="CI11" s="52">
        <v>755839866.14088905</v>
      </c>
      <c r="CJ11" s="52">
        <v>776219632.5924933</v>
      </c>
      <c r="CK11" s="52">
        <v>796307130.48161578</v>
      </c>
      <c r="CL11" s="52">
        <v>816108602.23194242</v>
      </c>
      <c r="CM11" s="52">
        <v>835630113.7519604</v>
      </c>
    </row>
    <row r="13" spans="1:91" x14ac:dyDescent="0.25">
      <c r="A13" s="52" t="s">
        <v>86</v>
      </c>
    </row>
    <row r="14" spans="1:91" x14ac:dyDescent="0.25">
      <c r="B14" s="52">
        <v>1961</v>
      </c>
      <c r="C14" s="52">
        <v>1962</v>
      </c>
      <c r="D14" s="52">
        <v>1963</v>
      </c>
      <c r="E14" s="52">
        <v>1964</v>
      </c>
      <c r="F14" s="52">
        <v>1965</v>
      </c>
      <c r="G14" s="52">
        <v>1966</v>
      </c>
      <c r="H14" s="52">
        <v>1967</v>
      </c>
      <c r="I14" s="52">
        <v>1968</v>
      </c>
      <c r="J14" s="52">
        <v>1969</v>
      </c>
      <c r="K14" s="52">
        <v>1970</v>
      </c>
      <c r="L14" s="52">
        <v>1971</v>
      </c>
      <c r="M14" s="52">
        <v>1972</v>
      </c>
      <c r="N14" s="52">
        <v>1973</v>
      </c>
      <c r="O14" s="52">
        <v>1974</v>
      </c>
      <c r="P14" s="52">
        <v>1975</v>
      </c>
      <c r="Q14" s="52">
        <v>1976</v>
      </c>
      <c r="R14" s="52">
        <v>1977</v>
      </c>
      <c r="S14" s="52">
        <v>1978</v>
      </c>
      <c r="T14" s="52">
        <v>1979</v>
      </c>
      <c r="U14" s="52">
        <v>1980</v>
      </c>
      <c r="V14" s="52">
        <v>1981</v>
      </c>
      <c r="W14" s="52">
        <v>1982</v>
      </c>
      <c r="X14" s="52">
        <v>1983</v>
      </c>
      <c r="Y14" s="52">
        <v>1984</v>
      </c>
      <c r="Z14" s="52">
        <v>1985</v>
      </c>
      <c r="AA14" s="52">
        <v>1986</v>
      </c>
      <c r="AB14" s="52">
        <v>1987</v>
      </c>
      <c r="AC14" s="52">
        <v>1988</v>
      </c>
      <c r="AD14" s="52">
        <v>1989</v>
      </c>
      <c r="AE14" s="52">
        <v>1990</v>
      </c>
      <c r="AF14" s="52">
        <v>1991</v>
      </c>
      <c r="AG14" s="52">
        <v>1992</v>
      </c>
      <c r="AH14" s="52">
        <v>1993</v>
      </c>
      <c r="AI14" s="52">
        <v>1994</v>
      </c>
      <c r="AJ14" s="52">
        <v>1995</v>
      </c>
      <c r="AK14" s="52">
        <v>1996</v>
      </c>
      <c r="AL14" s="52">
        <v>1997</v>
      </c>
      <c r="AM14" s="52">
        <v>1998</v>
      </c>
      <c r="AN14" s="52">
        <v>1999</v>
      </c>
      <c r="AO14" s="52">
        <v>2000</v>
      </c>
      <c r="AP14" s="52">
        <v>2001</v>
      </c>
      <c r="AQ14" s="52">
        <v>2002</v>
      </c>
      <c r="AR14" s="52">
        <v>2003</v>
      </c>
      <c r="AS14" s="52">
        <v>2004</v>
      </c>
      <c r="AT14" s="52">
        <v>2005</v>
      </c>
      <c r="AU14" s="52">
        <v>2006</v>
      </c>
      <c r="AV14" s="52">
        <v>2007</v>
      </c>
      <c r="AW14" s="52">
        <v>2008</v>
      </c>
      <c r="AX14" s="52">
        <v>2009</v>
      </c>
      <c r="AY14" s="52">
        <v>2010</v>
      </c>
      <c r="AZ14" s="52">
        <v>2011</v>
      </c>
      <c r="BA14" s="52">
        <v>2012</v>
      </c>
      <c r="BB14" s="52">
        <v>2013</v>
      </c>
      <c r="BC14" s="52">
        <v>2014</v>
      </c>
      <c r="BD14" s="52">
        <v>2015</v>
      </c>
      <c r="BE14" s="52">
        <v>2016</v>
      </c>
      <c r="BF14" s="52">
        <v>2017</v>
      </c>
      <c r="BG14" s="52">
        <v>2018</v>
      </c>
      <c r="BH14" s="52">
        <v>2019</v>
      </c>
      <c r="BI14" s="52">
        <v>2020</v>
      </c>
      <c r="BJ14" s="52">
        <v>2021</v>
      </c>
      <c r="BK14" s="52">
        <v>2022</v>
      </c>
      <c r="BL14" s="52">
        <v>2023</v>
      </c>
      <c r="BM14" s="52">
        <v>2024</v>
      </c>
      <c r="BN14" s="52">
        <v>2025</v>
      </c>
      <c r="BO14" s="52">
        <v>2026</v>
      </c>
      <c r="BP14" s="52">
        <v>2027</v>
      </c>
      <c r="BQ14" s="52">
        <v>2028</v>
      </c>
      <c r="BR14" s="52">
        <v>2029</v>
      </c>
      <c r="BS14" s="52">
        <v>2030</v>
      </c>
      <c r="BT14" s="52">
        <v>2031</v>
      </c>
      <c r="BU14" s="52">
        <v>2032</v>
      </c>
      <c r="BV14" s="52">
        <v>2033</v>
      </c>
      <c r="BW14" s="52">
        <v>2034</v>
      </c>
      <c r="BX14" s="52">
        <v>2035</v>
      </c>
      <c r="BY14" s="52">
        <v>2036</v>
      </c>
      <c r="BZ14" s="52">
        <v>2037</v>
      </c>
      <c r="CA14" s="52">
        <v>2038</v>
      </c>
      <c r="CB14" s="52">
        <v>2039</v>
      </c>
      <c r="CC14" s="52">
        <v>2040</v>
      </c>
      <c r="CD14" s="52">
        <v>2041</v>
      </c>
      <c r="CE14" s="52">
        <v>2042</v>
      </c>
      <c r="CF14" s="52">
        <v>2043</v>
      </c>
      <c r="CG14" s="52">
        <v>2044</v>
      </c>
      <c r="CH14" s="52">
        <v>2045</v>
      </c>
      <c r="CI14" s="52">
        <v>2046</v>
      </c>
      <c r="CJ14" s="52">
        <v>2047</v>
      </c>
      <c r="CK14" s="52">
        <v>2048</v>
      </c>
      <c r="CL14" s="52">
        <v>2049</v>
      </c>
      <c r="CM14" s="52">
        <v>2050</v>
      </c>
    </row>
    <row r="15" spans="1:91" x14ac:dyDescent="0.25">
      <c r="A15" s="52" t="s">
        <v>79</v>
      </c>
      <c r="B15" s="52">
        <f>B2*0.73</f>
        <v>0</v>
      </c>
      <c r="C15" s="52">
        <f t="shared" ref="C15:BN15" si="0">C2*0.73</f>
        <v>0</v>
      </c>
      <c r="D15" s="52">
        <f t="shared" si="0"/>
        <v>0</v>
      </c>
      <c r="E15" s="52">
        <f t="shared" si="0"/>
        <v>0</v>
      </c>
      <c r="F15" s="52">
        <f t="shared" si="0"/>
        <v>0</v>
      </c>
      <c r="G15" s="52">
        <f t="shared" si="0"/>
        <v>0</v>
      </c>
      <c r="H15" s="52">
        <f t="shared" si="0"/>
        <v>0</v>
      </c>
      <c r="I15" s="52">
        <f t="shared" si="0"/>
        <v>0</v>
      </c>
      <c r="J15" s="52">
        <f t="shared" si="0"/>
        <v>0</v>
      </c>
      <c r="K15" s="52">
        <f t="shared" si="0"/>
        <v>0</v>
      </c>
      <c r="L15" s="52">
        <f t="shared" si="0"/>
        <v>0</v>
      </c>
      <c r="M15" s="52">
        <f t="shared" si="0"/>
        <v>0</v>
      </c>
      <c r="N15" s="52">
        <f t="shared" si="0"/>
        <v>0</v>
      </c>
      <c r="O15" s="52">
        <f t="shared" si="0"/>
        <v>0</v>
      </c>
      <c r="P15" s="52">
        <f t="shared" si="0"/>
        <v>0</v>
      </c>
      <c r="Q15" s="52">
        <f t="shared" si="0"/>
        <v>0</v>
      </c>
      <c r="R15" s="52">
        <f t="shared" si="0"/>
        <v>0</v>
      </c>
      <c r="S15" s="52">
        <f t="shared" si="0"/>
        <v>0</v>
      </c>
      <c r="T15" s="52">
        <f t="shared" si="0"/>
        <v>0</v>
      </c>
      <c r="U15" s="52">
        <f t="shared" si="0"/>
        <v>0</v>
      </c>
      <c r="V15" s="52">
        <f t="shared" si="0"/>
        <v>0</v>
      </c>
      <c r="W15" s="52">
        <f t="shared" si="0"/>
        <v>0</v>
      </c>
      <c r="X15" s="52">
        <f t="shared" si="0"/>
        <v>0</v>
      </c>
      <c r="Y15" s="52">
        <f t="shared" si="0"/>
        <v>0</v>
      </c>
      <c r="Z15" s="52">
        <f t="shared" si="0"/>
        <v>0</v>
      </c>
      <c r="AA15" s="52">
        <f t="shared" si="0"/>
        <v>0</v>
      </c>
      <c r="AB15" s="52">
        <f t="shared" si="0"/>
        <v>0</v>
      </c>
      <c r="AC15" s="52">
        <f t="shared" si="0"/>
        <v>0</v>
      </c>
      <c r="AD15" s="52">
        <f t="shared" si="0"/>
        <v>0</v>
      </c>
      <c r="AE15" s="52">
        <f t="shared" si="0"/>
        <v>0</v>
      </c>
      <c r="AF15" s="52">
        <f t="shared" si="0"/>
        <v>264298.13384870189</v>
      </c>
      <c r="AG15" s="52">
        <f t="shared" si="0"/>
        <v>520633.93324715138</v>
      </c>
      <c r="AH15" s="52">
        <f t="shared" si="0"/>
        <v>769361.87263473251</v>
      </c>
      <c r="AI15" s="52">
        <f t="shared" si="0"/>
        <v>1010815.693040224</v>
      </c>
      <c r="AJ15" s="52">
        <f t="shared" si="0"/>
        <v>1245309.8961211501</v>
      </c>
      <c r="AK15" s="52">
        <f t="shared" si="0"/>
        <v>1473141.1108468894</v>
      </c>
      <c r="AL15" s="52">
        <f t="shared" si="0"/>
        <v>1694589.3453137057</v>
      </c>
      <c r="AM15" s="52">
        <f t="shared" si="0"/>
        <v>1909919.13479971</v>
      </c>
      <c r="AN15" s="52">
        <f t="shared" si="0"/>
        <v>2119380.5959568662</v>
      </c>
      <c r="AO15" s="52">
        <f t="shared" si="0"/>
        <v>2323210.3959727613</v>
      </c>
      <c r="AP15" s="52">
        <f t="shared" si="0"/>
        <v>2501128.3875601627</v>
      </c>
      <c r="AQ15" s="52">
        <f t="shared" si="0"/>
        <v>2992716.5447963728</v>
      </c>
      <c r="AR15" s="52">
        <f t="shared" si="0"/>
        <v>3870875.3137433636</v>
      </c>
      <c r="AS15" s="52">
        <f t="shared" si="0"/>
        <v>4626359.6083531128</v>
      </c>
      <c r="AT15" s="52">
        <f t="shared" si="0"/>
        <v>5253285.8776954524</v>
      </c>
      <c r="AU15" s="52">
        <f t="shared" si="0"/>
        <v>6490042.973514053</v>
      </c>
      <c r="AV15" s="52">
        <f t="shared" si="0"/>
        <v>8626704.6787839495</v>
      </c>
      <c r="AW15" s="52">
        <f t="shared" si="0"/>
        <v>12227198.579180621</v>
      </c>
      <c r="AX15" s="52">
        <f t="shared" si="0"/>
        <v>13126471.001578134</v>
      </c>
      <c r="AY15" s="52">
        <f t="shared" si="0"/>
        <v>14105284.902994657</v>
      </c>
      <c r="AZ15" s="52">
        <f t="shared" si="0"/>
        <v>15075644.188851245</v>
      </c>
      <c r="BA15" s="52">
        <f t="shared" si="0"/>
        <v>16037657.929637915</v>
      </c>
      <c r="BB15" s="52">
        <f t="shared" si="0"/>
        <v>16991433.327763122</v>
      </c>
      <c r="BC15" s="52">
        <f t="shared" si="0"/>
        <v>17937075.757377177</v>
      </c>
      <c r="BD15" s="52">
        <f t="shared" si="0"/>
        <v>18874688.803181317</v>
      </c>
      <c r="BE15" s="52">
        <f t="shared" si="0"/>
        <v>19804374.298252288</v>
      </c>
      <c r="BF15" s="52">
        <f t="shared" si="0"/>
        <v>20726232.360911638</v>
      </c>
      <c r="BG15" s="52">
        <f t="shared" si="0"/>
        <v>21640361.430667602</v>
      </c>
      <c r="BH15" s="52">
        <f t="shared" si="0"/>
        <v>22546858.967190493</v>
      </c>
      <c r="BI15" s="52">
        <f t="shared" si="0"/>
        <v>22453126.749261886</v>
      </c>
      <c r="BJ15" s="52">
        <f t="shared" si="0"/>
        <v>22360170.635508824</v>
      </c>
      <c r="BK15" s="52">
        <f t="shared" si="0"/>
        <v>22267981.026441887</v>
      </c>
      <c r="BL15" s="52">
        <f t="shared" si="0"/>
        <v>22176548.480234023</v>
      </c>
      <c r="BM15" s="52">
        <f t="shared" si="0"/>
        <v>22085863.709497008</v>
      </c>
      <c r="BN15" s="52">
        <f t="shared" si="0"/>
        <v>21995917.578136601</v>
      </c>
      <c r="BO15" s="52">
        <f t="shared" ref="BO15:CM15" si="1">BO2*0.73</f>
        <v>21906701.098284278</v>
      </c>
      <c r="BP15" s="52">
        <f t="shared" si="1"/>
        <v>21818205.427303322</v>
      </c>
      <c r="BQ15" s="52">
        <f t="shared" si="1"/>
        <v>21730421.86486721</v>
      </c>
      <c r="BR15" s="52">
        <f t="shared" si="1"/>
        <v>21643341.85010818</v>
      </c>
      <c r="BS15" s="52">
        <f t="shared" si="1"/>
        <v>21556956.95883416</v>
      </c>
      <c r="BT15" s="52">
        <f t="shared" si="1"/>
        <v>21471258.900812052</v>
      </c>
      <c r="BU15" s="52">
        <f t="shared" si="1"/>
        <v>21386239.517115533</v>
      </c>
      <c r="BV15" s="52">
        <f t="shared" si="1"/>
        <v>21301890.777535658</v>
      </c>
      <c r="BW15" s="52">
        <f t="shared" si="1"/>
        <v>21218204.778052483</v>
      </c>
      <c r="BX15" s="52">
        <f t="shared" si="1"/>
        <v>21135173.738366045</v>
      </c>
      <c r="BY15" s="52">
        <f t="shared" si="1"/>
        <v>21052789.999485102</v>
      </c>
      <c r="BZ15" s="52">
        <f t="shared" si="1"/>
        <v>20971046.021372028</v>
      </c>
      <c r="CA15" s="52">
        <f t="shared" si="1"/>
        <v>20889934.380642388</v>
      </c>
      <c r="CB15" s="52">
        <f t="shared" si="1"/>
        <v>20809447.768317673</v>
      </c>
      <c r="CC15" s="52">
        <f t="shared" si="1"/>
        <v>20729578.987629782</v>
      </c>
      <c r="CD15" s="52">
        <f t="shared" si="1"/>
        <v>20650320.951875895</v>
      </c>
      <c r="CE15" s="52">
        <f t="shared" si="1"/>
        <v>20571666.682322353</v>
      </c>
      <c r="CF15" s="52">
        <f t="shared" si="1"/>
        <v>20493609.306156244</v>
      </c>
      <c r="CG15" s="52">
        <f t="shared" si="1"/>
        <v>20416142.054483488</v>
      </c>
      <c r="CH15" s="52">
        <f t="shared" si="1"/>
        <v>20339258.260372117</v>
      </c>
      <c r="CI15" s="52">
        <f t="shared" si="1"/>
        <v>20262951.356939618</v>
      </c>
      <c r="CJ15" s="52">
        <f t="shared" si="1"/>
        <v>20187214.875483166</v>
      </c>
      <c r="CK15" s="52">
        <f t="shared" si="1"/>
        <v>20112042.443651643</v>
      </c>
      <c r="CL15" s="52">
        <f t="shared" si="1"/>
        <v>20037427.783658333</v>
      </c>
      <c r="CM15" s="52">
        <f t="shared" si="1"/>
        <v>19963364.71053325</v>
      </c>
    </row>
    <row r="16" spans="1:91" x14ac:dyDescent="0.25">
      <c r="A16" s="52" t="s">
        <v>80</v>
      </c>
      <c r="B16" s="52">
        <f>B3</f>
        <v>0</v>
      </c>
      <c r="C16" s="52">
        <f t="shared" ref="C16:BN16" si="2">C3</f>
        <v>0</v>
      </c>
      <c r="D16" s="52">
        <f t="shared" si="2"/>
        <v>0</v>
      </c>
      <c r="E16" s="52">
        <f t="shared" si="2"/>
        <v>0</v>
      </c>
      <c r="F16" s="52">
        <f t="shared" si="2"/>
        <v>0</v>
      </c>
      <c r="G16" s="52">
        <f t="shared" si="2"/>
        <v>0</v>
      </c>
      <c r="H16" s="52">
        <f t="shared" si="2"/>
        <v>0</v>
      </c>
      <c r="I16" s="52">
        <f t="shared" si="2"/>
        <v>0</v>
      </c>
      <c r="J16" s="52">
        <f t="shared" si="2"/>
        <v>0</v>
      </c>
      <c r="K16" s="52">
        <f t="shared" si="2"/>
        <v>0</v>
      </c>
      <c r="L16" s="52">
        <f t="shared" si="2"/>
        <v>0</v>
      </c>
      <c r="M16" s="52">
        <f t="shared" si="2"/>
        <v>0</v>
      </c>
      <c r="N16" s="52">
        <f t="shared" si="2"/>
        <v>0</v>
      </c>
      <c r="O16" s="52">
        <f t="shared" si="2"/>
        <v>0</v>
      </c>
      <c r="P16" s="52">
        <f t="shared" si="2"/>
        <v>0</v>
      </c>
      <c r="Q16" s="52">
        <f t="shared" si="2"/>
        <v>0</v>
      </c>
      <c r="R16" s="52">
        <f t="shared" si="2"/>
        <v>0</v>
      </c>
      <c r="S16" s="52">
        <f t="shared" si="2"/>
        <v>0</v>
      </c>
      <c r="T16" s="52">
        <f t="shared" si="2"/>
        <v>0</v>
      </c>
      <c r="U16" s="52">
        <f t="shared" si="2"/>
        <v>0</v>
      </c>
      <c r="V16" s="52">
        <f t="shared" si="2"/>
        <v>0</v>
      </c>
      <c r="W16" s="52">
        <f t="shared" si="2"/>
        <v>0</v>
      </c>
      <c r="X16" s="52">
        <f t="shared" si="2"/>
        <v>0</v>
      </c>
      <c r="Y16" s="52">
        <f t="shared" si="2"/>
        <v>0</v>
      </c>
      <c r="Z16" s="52">
        <f t="shared" si="2"/>
        <v>0</v>
      </c>
      <c r="AA16" s="52">
        <f t="shared" si="2"/>
        <v>0</v>
      </c>
      <c r="AB16" s="52">
        <f t="shared" si="2"/>
        <v>0</v>
      </c>
      <c r="AC16" s="52">
        <f t="shared" si="2"/>
        <v>0</v>
      </c>
      <c r="AD16" s="52">
        <f t="shared" si="2"/>
        <v>0</v>
      </c>
      <c r="AE16" s="52">
        <f t="shared" si="2"/>
        <v>0</v>
      </c>
      <c r="AF16" s="52">
        <f t="shared" si="2"/>
        <v>0</v>
      </c>
      <c r="AG16" s="52">
        <f t="shared" si="2"/>
        <v>0</v>
      </c>
      <c r="AH16" s="52">
        <f t="shared" si="2"/>
        <v>0</v>
      </c>
      <c r="AI16" s="52">
        <f t="shared" si="2"/>
        <v>0</v>
      </c>
      <c r="AJ16" s="52">
        <f t="shared" si="2"/>
        <v>0</v>
      </c>
      <c r="AK16" s="52">
        <f t="shared" si="2"/>
        <v>0</v>
      </c>
      <c r="AL16" s="52">
        <f t="shared" si="2"/>
        <v>0</v>
      </c>
      <c r="AM16" s="52">
        <f t="shared" si="2"/>
        <v>0</v>
      </c>
      <c r="AN16" s="52">
        <f t="shared" si="2"/>
        <v>0</v>
      </c>
      <c r="AO16" s="52">
        <f t="shared" si="2"/>
        <v>0</v>
      </c>
      <c r="AP16" s="52">
        <f t="shared" si="2"/>
        <v>0</v>
      </c>
      <c r="AQ16" s="52">
        <f t="shared" si="2"/>
        <v>0</v>
      </c>
      <c r="AR16" s="52">
        <f t="shared" si="2"/>
        <v>0</v>
      </c>
      <c r="AS16" s="52">
        <f t="shared" si="2"/>
        <v>0</v>
      </c>
      <c r="AT16" s="52">
        <f t="shared" si="2"/>
        <v>0</v>
      </c>
      <c r="AU16" s="52">
        <f t="shared" si="2"/>
        <v>0</v>
      </c>
      <c r="AV16" s="52">
        <f t="shared" si="2"/>
        <v>0</v>
      </c>
      <c r="AW16" s="52">
        <f t="shared" si="2"/>
        <v>0</v>
      </c>
      <c r="AX16" s="52">
        <f t="shared" si="2"/>
        <v>0</v>
      </c>
      <c r="AY16" s="52">
        <f t="shared" si="2"/>
        <v>0</v>
      </c>
      <c r="AZ16" s="52">
        <f t="shared" si="2"/>
        <v>0</v>
      </c>
      <c r="BA16" s="52">
        <f t="shared" si="2"/>
        <v>0</v>
      </c>
      <c r="BB16" s="52">
        <f t="shared" si="2"/>
        <v>0</v>
      </c>
      <c r="BC16" s="52">
        <f t="shared" si="2"/>
        <v>0</v>
      </c>
      <c r="BD16" s="52">
        <f t="shared" si="2"/>
        <v>0</v>
      </c>
      <c r="BE16" s="52">
        <f t="shared" si="2"/>
        <v>0</v>
      </c>
      <c r="BF16" s="52">
        <f t="shared" si="2"/>
        <v>0</v>
      </c>
      <c r="BG16" s="52">
        <f t="shared" si="2"/>
        <v>0</v>
      </c>
      <c r="BH16" s="52">
        <f t="shared" si="2"/>
        <v>0</v>
      </c>
      <c r="BI16" s="52">
        <f t="shared" si="2"/>
        <v>1889155.9418674442</v>
      </c>
      <c r="BJ16" s="52">
        <f t="shared" si="2"/>
        <v>3740902.8551830556</v>
      </c>
      <c r="BK16" s="52">
        <f t="shared" si="2"/>
        <v>5555796.3195787976</v>
      </c>
      <c r="BL16" s="52">
        <f t="shared" si="2"/>
        <v>7334384.580302042</v>
      </c>
      <c r="BM16" s="52">
        <f t="shared" si="2"/>
        <v>9077208.638987679</v>
      </c>
      <c r="BN16" s="52">
        <f t="shared" si="2"/>
        <v>10784802.343351694</v>
      </c>
      <c r="BO16" s="52">
        <f t="shared" ref="BO16:CM16" si="3">BO3</f>
        <v>12457692.475818787</v>
      </c>
      <c r="BP16" s="52">
        <f t="shared" si="3"/>
        <v>14096398.841096224</v>
      </c>
      <c r="BQ16" s="52">
        <f t="shared" si="3"/>
        <v>15701434.352706194</v>
      </c>
      <c r="BR16" s="52">
        <f t="shared" si="3"/>
        <v>17273305.118488658</v>
      </c>
      <c r="BS16" s="52">
        <f t="shared" si="3"/>
        <v>18812510.525086656</v>
      </c>
      <c r="BT16" s="52">
        <f t="shared" si="3"/>
        <v>20319543.321425725</v>
      </c>
      <c r="BU16" s="52">
        <f t="shared" si="3"/>
        <v>21794889.701199207</v>
      </c>
      <c r="BV16" s="52">
        <f t="shared" si="3"/>
        <v>23239029.38437083</v>
      </c>
      <c r="BW16" s="52">
        <f t="shared" si="3"/>
        <v>24652435.697705973</v>
      </c>
      <c r="BX16" s="52">
        <f t="shared" si="3"/>
        <v>26035575.654342938</v>
      </c>
      <c r="BY16" s="52">
        <f t="shared" si="3"/>
        <v>27388910.032415215</v>
      </c>
      <c r="BZ16" s="52">
        <f t="shared" si="3"/>
        <v>28712893.452735819</v>
      </c>
      <c r="CA16" s="52">
        <f t="shared" si="3"/>
        <v>30007974.455554485</v>
      </c>
      <c r="CB16" s="52">
        <f t="shared" si="3"/>
        <v>31274595.57639863</v>
      </c>
      <c r="CC16" s="52">
        <f t="shared" si="3"/>
        <v>32513193.421008468</v>
      </c>
      <c r="CD16" s="52">
        <f t="shared" si="3"/>
        <v>33724198.739377007</v>
      </c>
      <c r="CE16" s="52">
        <f t="shared" si="3"/>
        <v>34908036.498905085</v>
      </c>
      <c r="CF16" s="52">
        <f t="shared" si="3"/>
        <v>36065125.956681952</v>
      </c>
      <c r="CG16" s="52">
        <f t="shared" si="3"/>
        <v>37195880.730901361</v>
      </c>
      <c r="CH16" s="52">
        <f t="shared" si="3"/>
        <v>38300708.871423177</v>
      </c>
      <c r="CI16" s="52">
        <f t="shared" si="3"/>
        <v>39380012.929490693</v>
      </c>
      <c r="CJ16" s="52">
        <f t="shared" si="3"/>
        <v>40434190.026613101</v>
      </c>
      <c r="CK16" s="52">
        <f t="shared" si="3"/>
        <v>41463631.922623046</v>
      </c>
      <c r="CL16" s="52">
        <f t="shared" si="3"/>
        <v>42468725.082918786</v>
      </c>
      <c r="CM16" s="52">
        <f t="shared" si="3"/>
        <v>43449850.744900435</v>
      </c>
    </row>
    <row r="17" spans="1:91" x14ac:dyDescent="0.25">
      <c r="A17" s="52" t="s">
        <v>74</v>
      </c>
      <c r="B17" s="52">
        <f>B4*0.77</f>
        <v>0</v>
      </c>
      <c r="C17" s="52">
        <f t="shared" ref="C17:BN17" si="4">C4*0.77</f>
        <v>0</v>
      </c>
      <c r="D17" s="52">
        <f t="shared" si="4"/>
        <v>0</v>
      </c>
      <c r="E17" s="52">
        <f t="shared" si="4"/>
        <v>0</v>
      </c>
      <c r="F17" s="52">
        <f t="shared" si="4"/>
        <v>0</v>
      </c>
      <c r="G17" s="52">
        <f t="shared" si="4"/>
        <v>0</v>
      </c>
      <c r="H17" s="52">
        <f t="shared" si="4"/>
        <v>0</v>
      </c>
      <c r="I17" s="52">
        <f t="shared" si="4"/>
        <v>0</v>
      </c>
      <c r="J17" s="52">
        <f t="shared" si="4"/>
        <v>0</v>
      </c>
      <c r="K17" s="52">
        <f t="shared" si="4"/>
        <v>0</v>
      </c>
      <c r="L17" s="52">
        <f t="shared" si="4"/>
        <v>0</v>
      </c>
      <c r="M17" s="52">
        <f t="shared" si="4"/>
        <v>0</v>
      </c>
      <c r="N17" s="52">
        <f t="shared" si="4"/>
        <v>0</v>
      </c>
      <c r="O17" s="52">
        <f t="shared" si="4"/>
        <v>0</v>
      </c>
      <c r="P17" s="52">
        <f t="shared" si="4"/>
        <v>0</v>
      </c>
      <c r="Q17" s="52">
        <f t="shared" si="4"/>
        <v>0</v>
      </c>
      <c r="R17" s="52">
        <f t="shared" si="4"/>
        <v>0</v>
      </c>
      <c r="S17" s="52">
        <f t="shared" si="4"/>
        <v>0</v>
      </c>
      <c r="T17" s="52">
        <f t="shared" si="4"/>
        <v>0</v>
      </c>
      <c r="U17" s="52">
        <f t="shared" si="4"/>
        <v>0</v>
      </c>
      <c r="V17" s="52">
        <f t="shared" si="4"/>
        <v>0</v>
      </c>
      <c r="W17" s="52">
        <f t="shared" si="4"/>
        <v>0</v>
      </c>
      <c r="X17" s="52">
        <f t="shared" si="4"/>
        <v>0</v>
      </c>
      <c r="Y17" s="52">
        <f t="shared" si="4"/>
        <v>0</v>
      </c>
      <c r="Z17" s="52">
        <f t="shared" si="4"/>
        <v>0</v>
      </c>
      <c r="AA17" s="52">
        <f t="shared" si="4"/>
        <v>0</v>
      </c>
      <c r="AB17" s="52">
        <f t="shared" si="4"/>
        <v>0</v>
      </c>
      <c r="AC17" s="52">
        <f t="shared" si="4"/>
        <v>0</v>
      </c>
      <c r="AD17" s="52">
        <f t="shared" si="4"/>
        <v>0</v>
      </c>
      <c r="AE17" s="52">
        <f t="shared" si="4"/>
        <v>0</v>
      </c>
      <c r="AF17" s="52">
        <f t="shared" si="4"/>
        <v>208024.1621576488</v>
      </c>
      <c r="AG17" s="52">
        <f t="shared" si="4"/>
        <v>411924.72953346017</v>
      </c>
      <c r="AH17" s="52">
        <f t="shared" si="4"/>
        <v>611823.10981665761</v>
      </c>
      <c r="AI17" s="52">
        <f t="shared" si="4"/>
        <v>807835.99100372917</v>
      </c>
      <c r="AJ17" s="52">
        <f t="shared" si="4"/>
        <v>1000075.5685369899</v>
      </c>
      <c r="AK17" s="52">
        <f t="shared" si="4"/>
        <v>1188649.7594507593</v>
      </c>
      <c r="AL17" s="52">
        <f t="shared" si="4"/>
        <v>1373662.40438398</v>
      </c>
      <c r="AM17" s="52">
        <f t="shared" si="4"/>
        <v>1555213.4582538607</v>
      </c>
      <c r="AN17" s="52">
        <f t="shared" si="4"/>
        <v>1733399.1703261845</v>
      </c>
      <c r="AO17" s="52">
        <f t="shared" si="4"/>
        <v>1908312.254363897</v>
      </c>
      <c r="AP17" s="52">
        <f t="shared" si="4"/>
        <v>2018799.114348168</v>
      </c>
      <c r="AQ17" s="52">
        <f t="shared" si="4"/>
        <v>2243588.684305327</v>
      </c>
      <c r="AR17" s="52">
        <f t="shared" si="4"/>
        <v>2526632.3286091886</v>
      </c>
      <c r="AS17" s="52">
        <f t="shared" si="4"/>
        <v>2361041.2398640998</v>
      </c>
      <c r="AT17" s="52">
        <f t="shared" si="4"/>
        <v>2659008.1265411368</v>
      </c>
      <c r="AU17" s="52">
        <f t="shared" si="4"/>
        <v>3094647.5893906583</v>
      </c>
      <c r="AV17" s="52">
        <f t="shared" si="4"/>
        <v>3710425.8761225208</v>
      </c>
      <c r="AW17" s="52">
        <f t="shared" si="4"/>
        <v>3983152.8912602202</v>
      </c>
      <c r="AX17" s="52">
        <f t="shared" si="4"/>
        <v>5531997.0177750187</v>
      </c>
      <c r="AY17" s="52">
        <f t="shared" si="4"/>
        <v>6179548.2915726658</v>
      </c>
      <c r="AZ17" s="52">
        <f t="shared" si="4"/>
        <v>6817897.6872086357</v>
      </c>
      <c r="BA17" s="52">
        <f t="shared" si="4"/>
        <v>7447239.9626551578</v>
      </c>
      <c r="BB17" s="52">
        <f t="shared" si="4"/>
        <v>8067764.4183114441</v>
      </c>
      <c r="BC17" s="52">
        <f t="shared" si="4"/>
        <v>8679655.0868412256</v>
      </c>
      <c r="BD17" s="52">
        <f t="shared" si="4"/>
        <v>9283090.9151409604</v>
      </c>
      <c r="BE17" s="52">
        <f t="shared" si="4"/>
        <v>9878245.9388167206</v>
      </c>
      <c r="BF17" s="52">
        <f t="shared" si="4"/>
        <v>10465289.449527144</v>
      </c>
      <c r="BG17" s="52">
        <f t="shared" si="4"/>
        <v>11044386.155530415</v>
      </c>
      <c r="BH17" s="52">
        <f t="shared" si="4"/>
        <v>11615695.356558682</v>
      </c>
      <c r="BI17" s="52">
        <f t="shared" si="4"/>
        <v>11538124.629653987</v>
      </c>
      <c r="BJ17" s="52">
        <f t="shared" si="4"/>
        <v>11461583.079307759</v>
      </c>
      <c r="BK17" s="52">
        <f t="shared" si="4"/>
        <v>11386050.358460136</v>
      </c>
      <c r="BL17" s="52">
        <f t="shared" si="4"/>
        <v>11311506.652894575</v>
      </c>
      <c r="BM17" s="52">
        <f t="shared" si="4"/>
        <v>11237932.663908873</v>
      </c>
      <c r="BN17" s="52">
        <f t="shared" si="4"/>
        <v>11165309.591658067</v>
      </c>
      <c r="BO17" s="52">
        <f t="shared" ref="BO17:CM17" si="5">BO4*0.77</f>
        <v>11093619.119139085</v>
      </c>
      <c r="BP17" s="52">
        <f t="shared" si="5"/>
        <v>11022843.396788407</v>
      </c>
      <c r="BQ17" s="52">
        <f t="shared" si="5"/>
        <v>10952965.02766563</v>
      </c>
      <c r="BR17" s="52">
        <f t="shared" si="5"/>
        <v>10883967.053196987</v>
      </c>
      <c r="BS17" s="52">
        <f t="shared" si="5"/>
        <v>10815832.939454395</v>
      </c>
      <c r="BT17" s="52">
        <f t="shared" si="5"/>
        <v>10748546.563946638</v>
      </c>
      <c r="BU17" s="52">
        <f t="shared" si="5"/>
        <v>10682092.202900534</v>
      </c>
      <c r="BV17" s="52">
        <f t="shared" si="5"/>
        <v>10616454.519011034</v>
      </c>
      <c r="BW17" s="52">
        <f t="shared" si="5"/>
        <v>10551618.549640182</v>
      </c>
      <c r="BX17" s="52">
        <f t="shared" si="5"/>
        <v>10487569.695445878</v>
      </c>
      <c r="BY17" s="52">
        <f t="shared" si="5"/>
        <v>10424293.709422277</v>
      </c>
      <c r="BZ17" s="52">
        <f t="shared" si="5"/>
        <v>10361776.686334567</v>
      </c>
      <c r="CA17" s="52">
        <f t="shared" si="5"/>
        <v>10300005.052531632</v>
      </c>
      <c r="CB17" s="52">
        <f t="shared" si="5"/>
        <v>10238965.556120973</v>
      </c>
      <c r="CC17" s="52">
        <f t="shared" si="5"/>
        <v>10178645.257490899</v>
      </c>
      <c r="CD17" s="52">
        <f t="shared" si="5"/>
        <v>10119031.520165781</v>
      </c>
      <c r="CE17" s="52">
        <f t="shared" si="5"/>
        <v>10060112.001980785</v>
      </c>
      <c r="CF17" s="52">
        <f t="shared" si="5"/>
        <v>10001874.646563144</v>
      </c>
      <c r="CG17" s="52">
        <f t="shared" si="5"/>
        <v>9944307.6751075964</v>
      </c>
      <c r="CH17" s="52">
        <f t="shared" si="5"/>
        <v>9887399.5784342512</v>
      </c>
      <c r="CI17" s="52">
        <f t="shared" si="5"/>
        <v>9831139.1093175672</v>
      </c>
      <c r="CJ17" s="52">
        <f t="shared" si="5"/>
        <v>9775515.2750757895</v>
      </c>
      <c r="CK17" s="52">
        <f t="shared" si="5"/>
        <v>9720517.3304104954</v>
      </c>
      <c r="CL17" s="52">
        <f t="shared" si="5"/>
        <v>9666134.7704865225</v>
      </c>
      <c r="CM17" s="52">
        <f t="shared" si="5"/>
        <v>9612357.3242429085</v>
      </c>
    </row>
    <row r="18" spans="1:91" x14ac:dyDescent="0.25">
      <c r="A18" s="52" t="s">
        <v>75</v>
      </c>
      <c r="B18" s="52">
        <f>B5*0.73</f>
        <v>0</v>
      </c>
      <c r="C18" s="52">
        <f t="shared" ref="C18:BN18" si="6">C5*0.73</f>
        <v>0</v>
      </c>
      <c r="D18" s="52">
        <f t="shared" si="6"/>
        <v>0</v>
      </c>
      <c r="E18" s="52">
        <f t="shared" si="6"/>
        <v>0</v>
      </c>
      <c r="F18" s="52">
        <f t="shared" si="6"/>
        <v>0</v>
      </c>
      <c r="G18" s="52">
        <f t="shared" si="6"/>
        <v>0</v>
      </c>
      <c r="H18" s="52">
        <f t="shared" si="6"/>
        <v>0</v>
      </c>
      <c r="I18" s="52">
        <f t="shared" si="6"/>
        <v>0</v>
      </c>
      <c r="J18" s="52">
        <f t="shared" si="6"/>
        <v>0</v>
      </c>
      <c r="K18" s="52">
        <f t="shared" si="6"/>
        <v>0</v>
      </c>
      <c r="L18" s="52">
        <f t="shared" si="6"/>
        <v>0</v>
      </c>
      <c r="M18" s="52">
        <f t="shared" si="6"/>
        <v>0</v>
      </c>
      <c r="N18" s="52">
        <f t="shared" si="6"/>
        <v>0</v>
      </c>
      <c r="O18" s="52">
        <f t="shared" si="6"/>
        <v>0</v>
      </c>
      <c r="P18" s="52">
        <f t="shared" si="6"/>
        <v>0</v>
      </c>
      <c r="Q18" s="52">
        <f t="shared" si="6"/>
        <v>0</v>
      </c>
      <c r="R18" s="52">
        <f t="shared" si="6"/>
        <v>0</v>
      </c>
      <c r="S18" s="52">
        <f t="shared" si="6"/>
        <v>0</v>
      </c>
      <c r="T18" s="52">
        <f t="shared" si="6"/>
        <v>0</v>
      </c>
      <c r="U18" s="52">
        <f t="shared" si="6"/>
        <v>0</v>
      </c>
      <c r="V18" s="52">
        <f t="shared" si="6"/>
        <v>0</v>
      </c>
      <c r="W18" s="52">
        <f t="shared" si="6"/>
        <v>0</v>
      </c>
      <c r="X18" s="52">
        <f t="shared" si="6"/>
        <v>0</v>
      </c>
      <c r="Y18" s="52">
        <f t="shared" si="6"/>
        <v>0</v>
      </c>
      <c r="Z18" s="52">
        <f t="shared" si="6"/>
        <v>0</v>
      </c>
      <c r="AA18" s="52">
        <f t="shared" si="6"/>
        <v>0</v>
      </c>
      <c r="AB18" s="52">
        <f t="shared" si="6"/>
        <v>0</v>
      </c>
      <c r="AC18" s="52">
        <f t="shared" si="6"/>
        <v>0</v>
      </c>
      <c r="AD18" s="52">
        <f t="shared" si="6"/>
        <v>0</v>
      </c>
      <c r="AE18" s="52">
        <f t="shared" si="6"/>
        <v>0</v>
      </c>
      <c r="AF18" s="52">
        <f t="shared" si="6"/>
        <v>141655.8246940937</v>
      </c>
      <c r="AG18" s="52">
        <f t="shared" si="6"/>
        <v>278316.32883035287</v>
      </c>
      <c r="AH18" s="52">
        <f t="shared" si="6"/>
        <v>410241.16510618036</v>
      </c>
      <c r="AI18" s="52">
        <f t="shared" si="6"/>
        <v>537672.29732258513</v>
      </c>
      <c r="AJ18" s="52">
        <f t="shared" si="6"/>
        <v>660835.48148400441</v>
      </c>
      <c r="AK18" s="52">
        <f t="shared" si="6"/>
        <v>779941.60053332511</v>
      </c>
      <c r="AL18" s="52">
        <f t="shared" si="6"/>
        <v>895187.86932335875</v>
      </c>
      <c r="AM18" s="52">
        <f t="shared" si="6"/>
        <v>1006758.9243083757</v>
      </c>
      <c r="AN18" s="52">
        <f t="shared" si="6"/>
        <v>1114827.8106207573</v>
      </c>
      <c r="AO18" s="52">
        <f t="shared" si="6"/>
        <v>1219556.8776321944</v>
      </c>
      <c r="AP18" s="52">
        <f t="shared" si="6"/>
        <v>1282201.3236053002</v>
      </c>
      <c r="AQ18" s="52">
        <f t="shared" si="6"/>
        <v>1416385.4797691326</v>
      </c>
      <c r="AR18" s="52">
        <f t="shared" si="6"/>
        <v>1585687.6762858217</v>
      </c>
      <c r="AS18" s="52">
        <f t="shared" si="6"/>
        <v>1473250.4666776645</v>
      </c>
      <c r="AT18" s="52">
        <f t="shared" si="6"/>
        <v>1649863.4472535213</v>
      </c>
      <c r="AU18" s="52">
        <f t="shared" si="6"/>
        <v>1909636.6576791359</v>
      </c>
      <c r="AV18" s="52">
        <f t="shared" si="6"/>
        <v>2286406.3790532732</v>
      </c>
      <c r="AW18" s="52">
        <f t="shared" si="6"/>
        <v>2451074.1632331465</v>
      </c>
      <c r="AX18" s="52">
        <f t="shared" si="6"/>
        <v>3399544.1588187204</v>
      </c>
      <c r="AY18" s="52">
        <f t="shared" si="6"/>
        <v>3792398.74445805</v>
      </c>
      <c r="AZ18" s="52">
        <f t="shared" si="6"/>
        <v>4178643.1203086246</v>
      </c>
      <c r="BA18" s="52">
        <f t="shared" si="6"/>
        <v>4558442.7305379044</v>
      </c>
      <c r="BB18" s="52">
        <f t="shared" si="6"/>
        <v>4931957.5438838666</v>
      </c>
      <c r="BC18" s="52">
        <f t="shared" si="6"/>
        <v>5299342.2783102151</v>
      </c>
      <c r="BD18" s="52">
        <f t="shared" si="6"/>
        <v>5660746.614690531</v>
      </c>
      <c r="BE18" s="52">
        <f t="shared" si="6"/>
        <v>6016315.4001414459</v>
      </c>
      <c r="BF18" s="52">
        <f t="shared" si="6"/>
        <v>6366188.8415851137</v>
      </c>
      <c r="BG18" s="52">
        <f t="shared" si="6"/>
        <v>6710502.690084382</v>
      </c>
      <c r="BH18" s="52">
        <f t="shared" si="6"/>
        <v>7049387.8222004967</v>
      </c>
      <c r="BI18" s="52">
        <f t="shared" si="6"/>
        <v>6994255.4582854304</v>
      </c>
      <c r="BJ18" s="52">
        <f t="shared" si="6"/>
        <v>6939978.7686372381</v>
      </c>
      <c r="BK18" s="52">
        <f t="shared" si="6"/>
        <v>6886537.9860906443</v>
      </c>
      <c r="BL18" s="52">
        <f t="shared" si="6"/>
        <v>6833913.947689971</v>
      </c>
      <c r="BM18" s="52">
        <f t="shared" si="6"/>
        <v>6782088.0717786076</v>
      </c>
      <c r="BN18" s="52">
        <f t="shared" si="6"/>
        <v>6731042.3361231312</v>
      </c>
      <c r="BO18" s="52">
        <f t="shared" ref="BO18:CM18" si="7">BO5*0.73</f>
        <v>6680759.2570179412</v>
      </c>
      <c r="BP18" s="52">
        <f t="shared" si="7"/>
        <v>6631221.8693195153</v>
      </c>
      <c r="BQ18" s="52">
        <f t="shared" si="7"/>
        <v>6582413.7073623948</v>
      </c>
      <c r="BR18" s="52">
        <f t="shared" si="7"/>
        <v>6534318.7867118185</v>
      </c>
      <c r="BS18" s="52">
        <f t="shared" si="7"/>
        <v>6486921.5867104884</v>
      </c>
      <c r="BT18" s="52">
        <f t="shared" si="7"/>
        <v>6440207.0337794721</v>
      </c>
      <c r="BU18" s="52">
        <f t="shared" si="7"/>
        <v>6394160.4854354542</v>
      </c>
      <c r="BV18" s="52">
        <f t="shared" si="7"/>
        <v>6348767.7149888184</v>
      </c>
      <c r="BW18" s="52">
        <f t="shared" si="7"/>
        <v>6304014.8968888577</v>
      </c>
      <c r="BX18" s="52">
        <f t="shared" si="7"/>
        <v>6259888.5926844943</v>
      </c>
      <c r="BY18" s="52">
        <f t="shared" si="7"/>
        <v>6216375.7375705196</v>
      </c>
      <c r="BZ18" s="52">
        <f t="shared" si="7"/>
        <v>6173463.6274910662</v>
      </c>
      <c r="CA18" s="52">
        <f t="shared" si="7"/>
        <v>6131139.9067735597</v>
      </c>
      <c r="CB18" s="52">
        <f t="shared" si="7"/>
        <v>6089392.5562679134</v>
      </c>
      <c r="CC18" s="52">
        <f t="shared" si="7"/>
        <v>6048209.8819669653</v>
      </c>
      <c r="CD18" s="52">
        <f t="shared" si="7"/>
        <v>6007580.5040856171</v>
      </c>
      <c r="CE18" s="52">
        <f t="shared" si="7"/>
        <v>5967493.346577175</v>
      </c>
      <c r="CF18" s="52">
        <f t="shared" si="7"/>
        <v>5927937.6270666644</v>
      </c>
      <c r="CG18" s="52">
        <f t="shared" si="7"/>
        <v>5888902.8471818399</v>
      </c>
      <c r="CH18" s="52">
        <f t="shared" si="7"/>
        <v>5850378.7832637578</v>
      </c>
      <c r="CI18" s="52">
        <f t="shared" si="7"/>
        <v>5812355.4774395367</v>
      </c>
      <c r="CJ18" s="52">
        <f t="shared" si="7"/>
        <v>5774823.2290410623</v>
      </c>
      <c r="CK18" s="52">
        <f t="shared" si="7"/>
        <v>5737772.5863539623</v>
      </c>
      <c r="CL18" s="52">
        <f t="shared" si="7"/>
        <v>5701194.3386822501</v>
      </c>
      <c r="CM18" s="52">
        <f t="shared" si="7"/>
        <v>5665079.5087145166</v>
      </c>
    </row>
    <row r="19" spans="1:91" x14ac:dyDescent="0.25">
      <c r="A19" s="52" t="s">
        <v>76</v>
      </c>
      <c r="B19" s="52">
        <f>B6*0.77</f>
        <v>0</v>
      </c>
      <c r="C19" s="52">
        <f t="shared" ref="C19:BN19" si="8">C6*0.77</f>
        <v>0</v>
      </c>
      <c r="D19" s="52">
        <f t="shared" si="8"/>
        <v>0</v>
      </c>
      <c r="E19" s="52">
        <f t="shared" si="8"/>
        <v>0</v>
      </c>
      <c r="F19" s="52">
        <f t="shared" si="8"/>
        <v>0</v>
      </c>
      <c r="G19" s="52">
        <f t="shared" si="8"/>
        <v>0</v>
      </c>
      <c r="H19" s="52">
        <f t="shared" si="8"/>
        <v>0</v>
      </c>
      <c r="I19" s="52">
        <f t="shared" si="8"/>
        <v>0</v>
      </c>
      <c r="J19" s="52">
        <f t="shared" si="8"/>
        <v>0</v>
      </c>
      <c r="K19" s="52">
        <f t="shared" si="8"/>
        <v>0</v>
      </c>
      <c r="L19" s="52">
        <f t="shared" si="8"/>
        <v>0</v>
      </c>
      <c r="M19" s="52">
        <f t="shared" si="8"/>
        <v>0</v>
      </c>
      <c r="N19" s="52">
        <f t="shared" si="8"/>
        <v>0</v>
      </c>
      <c r="O19" s="52">
        <f t="shared" si="8"/>
        <v>0</v>
      </c>
      <c r="P19" s="52">
        <f t="shared" si="8"/>
        <v>0</v>
      </c>
      <c r="Q19" s="52">
        <f t="shared" si="8"/>
        <v>0</v>
      </c>
      <c r="R19" s="52">
        <f t="shared" si="8"/>
        <v>0</v>
      </c>
      <c r="S19" s="52">
        <f t="shared" si="8"/>
        <v>0</v>
      </c>
      <c r="T19" s="52">
        <f t="shared" si="8"/>
        <v>0</v>
      </c>
      <c r="U19" s="52">
        <f t="shared" si="8"/>
        <v>0</v>
      </c>
      <c r="V19" s="52">
        <f t="shared" si="8"/>
        <v>0</v>
      </c>
      <c r="W19" s="52">
        <f t="shared" si="8"/>
        <v>0</v>
      </c>
      <c r="X19" s="52">
        <f t="shared" si="8"/>
        <v>0</v>
      </c>
      <c r="Y19" s="52">
        <f t="shared" si="8"/>
        <v>0</v>
      </c>
      <c r="Z19" s="52">
        <f t="shared" si="8"/>
        <v>0</v>
      </c>
      <c r="AA19" s="52">
        <f t="shared" si="8"/>
        <v>0</v>
      </c>
      <c r="AB19" s="52">
        <f t="shared" si="8"/>
        <v>0</v>
      </c>
      <c r="AC19" s="52">
        <f t="shared" si="8"/>
        <v>0</v>
      </c>
      <c r="AD19" s="52">
        <f t="shared" si="8"/>
        <v>0</v>
      </c>
      <c r="AE19" s="52">
        <f t="shared" si="8"/>
        <v>0</v>
      </c>
      <c r="AF19" s="52">
        <f t="shared" si="8"/>
        <v>261929.38350169841</v>
      </c>
      <c r="AG19" s="52">
        <f t="shared" si="8"/>
        <v>515336.79760983231</v>
      </c>
      <c r="AH19" s="52">
        <f t="shared" si="8"/>
        <v>760631.4830653586</v>
      </c>
      <c r="AI19" s="52">
        <f t="shared" si="8"/>
        <v>998196.89011470391</v>
      </c>
      <c r="AJ19" s="52">
        <f t="shared" si="8"/>
        <v>1228392.6786547741</v>
      </c>
      <c r="AK19" s="52">
        <f t="shared" si="8"/>
        <v>1451556.5350790028</v>
      </c>
      <c r="AL19" s="52">
        <f t="shared" si="8"/>
        <v>1668005.8251272966</v>
      </c>
      <c r="AM19" s="52">
        <f t="shared" si="8"/>
        <v>1878039.0997540629</v>
      </c>
      <c r="AN19" s="52">
        <f t="shared" si="8"/>
        <v>2081937.4690406143</v>
      </c>
      <c r="AO19" s="52">
        <f t="shared" si="8"/>
        <v>2279965.8574478719</v>
      </c>
      <c r="AP19" s="52">
        <f t="shared" si="8"/>
        <v>2399579.7344692796</v>
      </c>
      <c r="AQ19" s="52">
        <f t="shared" si="8"/>
        <v>2653383.3043752126</v>
      </c>
      <c r="AR19" s="52">
        <f t="shared" si="8"/>
        <v>2973467.4041131283</v>
      </c>
      <c r="AS19" s="52">
        <f t="shared" si="8"/>
        <v>2765267.1668012501</v>
      </c>
      <c r="AT19" s="52">
        <f t="shared" si="8"/>
        <v>3099645.0505977618</v>
      </c>
      <c r="AU19" s="52">
        <f t="shared" si="8"/>
        <v>3590931.4022397664</v>
      </c>
      <c r="AV19" s="52">
        <f t="shared" si="8"/>
        <v>4300537.5266516767</v>
      </c>
      <c r="AW19" s="52">
        <f t="shared" si="8"/>
        <v>4611442.5455931248</v>
      </c>
      <c r="AX19" s="52">
        <f t="shared" si="8"/>
        <v>6397498.5448832912</v>
      </c>
      <c r="AY19" s="52">
        <f t="shared" si="8"/>
        <v>7138563.6530861398</v>
      </c>
      <c r="AZ19" s="52">
        <f t="shared" si="8"/>
        <v>7867516.7646590108</v>
      </c>
      <c r="BA19" s="52">
        <f t="shared" si="8"/>
        <v>8584652.411093045</v>
      </c>
      <c r="BB19" s="52">
        <f t="shared" si="8"/>
        <v>9290255.6510358267</v>
      </c>
      <c r="BC19" s="52">
        <f t="shared" si="8"/>
        <v>9984602.4480905831</v>
      </c>
      <c r="BD19" s="52">
        <f t="shared" si="8"/>
        <v>10667960.030677408</v>
      </c>
      <c r="BE19" s="52">
        <f t="shared" si="8"/>
        <v>11340587.234942337</v>
      </c>
      <c r="BF19" s="52">
        <f t="shared" si="8"/>
        <v>12002734.831638837</v>
      </c>
      <c r="BG19" s="52">
        <f t="shared" si="8"/>
        <v>12654645.83784876</v>
      </c>
      <c r="BH19" s="52">
        <f t="shared" si="8"/>
        <v>13296554.693465065</v>
      </c>
      <c r="BI19" s="52">
        <f t="shared" si="8"/>
        <v>13195339.206936769</v>
      </c>
      <c r="BJ19" s="52">
        <f t="shared" si="8"/>
        <v>13095653.01589206</v>
      </c>
      <c r="BK19" s="52">
        <f t="shared" si="8"/>
        <v>12997461.720327055</v>
      </c>
      <c r="BL19" s="52">
        <f t="shared" si="8"/>
        <v>12900731.944285413</v>
      </c>
      <c r="BM19" s="52">
        <f t="shared" si="8"/>
        <v>12805431.298033981</v>
      </c>
      <c r="BN19" s="52">
        <f t="shared" si="8"/>
        <v>12711528.341902614</v>
      </c>
      <c r="BO19" s="52">
        <f t="shared" ref="BO19:CM19" si="9">BO6*0.77</f>
        <v>12618992.551703459</v>
      </c>
      <c r="BP19" s="52">
        <f t="shared" si="9"/>
        <v>12527794.285649668</v>
      </c>
      <c r="BQ19" s="52">
        <f t="shared" si="9"/>
        <v>12437904.752698395</v>
      </c>
      <c r="BR19" s="52">
        <f t="shared" si="9"/>
        <v>12349295.982246855</v>
      </c>
      <c r="BS19" s="52">
        <f t="shared" si="9"/>
        <v>12261940.795114635</v>
      </c>
      <c r="BT19" s="52">
        <f t="shared" si="9"/>
        <v>12175812.775748879</v>
      </c>
      <c r="BU19" s="52">
        <f t="shared" si="9"/>
        <v>12090886.245592704</v>
      </c>
      <c r="BV19" s="52">
        <f t="shared" si="9"/>
        <v>12007136.237560421</v>
      </c>
      <c r="BW19" s="52">
        <f t="shared" si="9"/>
        <v>11924538.471566312</v>
      </c>
      <c r="BX19" s="52">
        <f t="shared" si="9"/>
        <v>11843069.331056466</v>
      </c>
      <c r="BY19" s="52">
        <f t="shared" si="9"/>
        <v>11762705.84049619</v>
      </c>
      <c r="BZ19" s="52">
        <f t="shared" si="9"/>
        <v>11683425.643767761</v>
      </c>
      <c r="CA19" s="52">
        <f t="shared" si="9"/>
        <v>11605206.983435934</v>
      </c>
      <c r="CB19" s="52">
        <f t="shared" si="9"/>
        <v>11528028.680840818</v>
      </c>
      <c r="CC19" s="52">
        <f t="shared" si="9"/>
        <v>11451870.116979811</v>
      </c>
      <c r="CD19" s="52">
        <f t="shared" si="9"/>
        <v>11376711.214142373</v>
      </c>
      <c r="CE19" s="52">
        <f t="shared" si="9"/>
        <v>11302532.418263288</v>
      </c>
      <c r="CF19" s="52">
        <f t="shared" si="9"/>
        <v>11229314.681961799</v>
      </c>
      <c r="CG19" s="52">
        <f t="shared" si="9"/>
        <v>11157039.448235748</v>
      </c>
      <c r="CH19" s="52">
        <f t="shared" si="9"/>
        <v>11085688.634781379</v>
      </c>
      <c r="CI19" s="52">
        <f t="shared" si="9"/>
        <v>11015244.618910989</v>
      </c>
      <c r="CJ19" s="52">
        <f t="shared" si="9"/>
        <v>10945690.223041959</v>
      </c>
      <c r="CK19" s="52">
        <f t="shared" si="9"/>
        <v>10877008.700732164</v>
      </c>
      <c r="CL19" s="52">
        <f t="shared" si="9"/>
        <v>10809183.723237786</v>
      </c>
      <c r="CM19" s="52">
        <f t="shared" si="9"/>
        <v>10742199.366570979</v>
      </c>
    </row>
    <row r="20" spans="1:91" x14ac:dyDescent="0.25">
      <c r="A20" s="52" t="s">
        <v>82</v>
      </c>
      <c r="B20" s="52">
        <f>B7*0.98</f>
        <v>0</v>
      </c>
      <c r="C20" s="52">
        <f t="shared" ref="C20:BN20" si="10">C7*0.98</f>
        <v>0</v>
      </c>
      <c r="D20" s="52">
        <f t="shared" si="10"/>
        <v>0</v>
      </c>
      <c r="E20" s="52">
        <f t="shared" si="10"/>
        <v>0</v>
      </c>
      <c r="F20" s="52">
        <f t="shared" si="10"/>
        <v>0</v>
      </c>
      <c r="G20" s="52">
        <f t="shared" si="10"/>
        <v>0</v>
      </c>
      <c r="H20" s="52">
        <f t="shared" si="10"/>
        <v>0</v>
      </c>
      <c r="I20" s="52">
        <f t="shared" si="10"/>
        <v>0</v>
      </c>
      <c r="J20" s="52">
        <f t="shared" si="10"/>
        <v>0</v>
      </c>
      <c r="K20" s="52">
        <f t="shared" si="10"/>
        <v>0</v>
      </c>
      <c r="L20" s="52">
        <f t="shared" si="10"/>
        <v>0</v>
      </c>
      <c r="M20" s="52">
        <f t="shared" si="10"/>
        <v>0</v>
      </c>
      <c r="N20" s="52">
        <f t="shared" si="10"/>
        <v>0</v>
      </c>
      <c r="O20" s="52">
        <f t="shared" si="10"/>
        <v>0</v>
      </c>
      <c r="P20" s="52">
        <f t="shared" si="10"/>
        <v>0</v>
      </c>
      <c r="Q20" s="52">
        <f t="shared" si="10"/>
        <v>0</v>
      </c>
      <c r="R20" s="52">
        <f t="shared" si="10"/>
        <v>0</v>
      </c>
      <c r="S20" s="52">
        <f t="shared" si="10"/>
        <v>0</v>
      </c>
      <c r="T20" s="52">
        <f t="shared" si="10"/>
        <v>0</v>
      </c>
      <c r="U20" s="52">
        <f t="shared" si="10"/>
        <v>0</v>
      </c>
      <c r="V20" s="52">
        <f t="shared" si="10"/>
        <v>0</v>
      </c>
      <c r="W20" s="52">
        <f t="shared" si="10"/>
        <v>0</v>
      </c>
      <c r="X20" s="52">
        <f t="shared" si="10"/>
        <v>0</v>
      </c>
      <c r="Y20" s="52">
        <f t="shared" si="10"/>
        <v>0</v>
      </c>
      <c r="Z20" s="52">
        <f t="shared" si="10"/>
        <v>0</v>
      </c>
      <c r="AA20" s="52">
        <f t="shared" si="10"/>
        <v>0</v>
      </c>
      <c r="AB20" s="52">
        <f t="shared" si="10"/>
        <v>0</v>
      </c>
      <c r="AC20" s="52">
        <f t="shared" si="10"/>
        <v>0</v>
      </c>
      <c r="AD20" s="52">
        <f t="shared" si="10"/>
        <v>0</v>
      </c>
      <c r="AE20" s="52">
        <f t="shared" si="10"/>
        <v>0</v>
      </c>
      <c r="AF20" s="52">
        <f t="shared" si="10"/>
        <v>24749.329331063225</v>
      </c>
      <c r="AG20" s="52">
        <f t="shared" si="10"/>
        <v>49153.657006007452</v>
      </c>
      <c r="AH20" s="52">
        <f t="shared" si="10"/>
        <v>73220.146993648232</v>
      </c>
      <c r="AI20" s="52">
        <f t="shared" si="10"/>
        <v>96955.766279577641</v>
      </c>
      <c r="AJ20" s="52">
        <f t="shared" si="10"/>
        <v>120367.2915903488</v>
      </c>
      <c r="AK20" s="52">
        <f t="shared" si="10"/>
        <v>143461.31584408594</v>
      </c>
      <c r="AL20" s="52">
        <f t="shared" si="10"/>
        <v>166244.25434041719</v>
      </c>
      <c r="AM20" s="52">
        <f t="shared" si="10"/>
        <v>188722.35070193847</v>
      </c>
      <c r="AN20" s="52">
        <f t="shared" si="10"/>
        <v>210901.68257876643</v>
      </c>
      <c r="AO20" s="52">
        <f t="shared" si="10"/>
        <v>232788.16712713041</v>
      </c>
      <c r="AP20" s="52">
        <f t="shared" si="10"/>
        <v>249715.70961074159</v>
      </c>
      <c r="AQ20" s="52">
        <f t="shared" si="10"/>
        <v>290073.71965663909</v>
      </c>
      <c r="AR20" s="52">
        <f t="shared" si="10"/>
        <v>354799.48361971334</v>
      </c>
      <c r="AS20" s="52">
        <f t="shared" si="10"/>
        <v>387083.47207633714</v>
      </c>
      <c r="AT20" s="52">
        <f t="shared" si="10"/>
        <v>440381.94817088323</v>
      </c>
      <c r="AU20" s="52">
        <f t="shared" si="10"/>
        <v>535358.24907200143</v>
      </c>
      <c r="AV20" s="52">
        <f t="shared" si="10"/>
        <v>683116.08305987786</v>
      </c>
      <c r="AW20" s="52">
        <f t="shared" si="10"/>
        <v>886792.57532667532</v>
      </c>
      <c r="AX20" s="52">
        <f t="shared" si="10"/>
        <v>1019447.1694628211</v>
      </c>
      <c r="AY20" s="52">
        <f t="shared" si="10"/>
        <v>1102314.2383547043</v>
      </c>
      <c r="AZ20" s="52">
        <f t="shared" si="10"/>
        <v>1183300.3397307564</v>
      </c>
      <c r="BA20" s="52">
        <f t="shared" si="10"/>
        <v>1262468.7979337799</v>
      </c>
      <c r="BB20" s="52">
        <f t="shared" si="10"/>
        <v>1339880.1263616441</v>
      </c>
      <c r="BC20" s="52">
        <f t="shared" si="10"/>
        <v>1415592.1817264571</v>
      </c>
      <c r="BD20" s="52">
        <f t="shared" si="10"/>
        <v>1489660.3082654967</v>
      </c>
      <c r="BE20" s="52">
        <f t="shared" si="10"/>
        <v>1562137.4726593064</v>
      </c>
      <c r="BF20" s="52">
        <f t="shared" si="10"/>
        <v>1633074.3903481704</v>
      </c>
      <c r="BG20" s="52">
        <f t="shared" si="10"/>
        <v>1702519.6438800262</v>
      </c>
      <c r="BH20" s="52">
        <f t="shared" si="10"/>
        <v>1770519.7715783182</v>
      </c>
      <c r="BI20" s="52">
        <f t="shared" si="10"/>
        <v>1752287.8746169854</v>
      </c>
      <c r="BJ20" s="52">
        <f t="shared" si="10"/>
        <v>1734427.6358043549</v>
      </c>
      <c r="BK20" s="52">
        <f t="shared" si="10"/>
        <v>1716927.8053982572</v>
      </c>
      <c r="BL20" s="52">
        <f t="shared" si="10"/>
        <v>1699777.5831467763</v>
      </c>
      <c r="BM20" s="52">
        <f t="shared" si="10"/>
        <v>1682966.5960607091</v>
      </c>
      <c r="BN20" s="52">
        <f t="shared" si="10"/>
        <v>1666484.8774921058</v>
      </c>
      <c r="BO20" s="52">
        <f t="shared" ref="BO20:CM20" si="11">BO7*0.98</f>
        <v>1650322.8474302213</v>
      </c>
      <c r="BP20" s="52">
        <f t="shared" si="11"/>
        <v>1634471.293933026</v>
      </c>
      <c r="BQ20" s="52">
        <f t="shared" si="11"/>
        <v>1618921.3556186529</v>
      </c>
      <c r="BR20" s="52">
        <f t="shared" si="11"/>
        <v>1603664.5051468536</v>
      </c>
      <c r="BS20" s="52">
        <f t="shared" si="11"/>
        <v>1588692.5336257732</v>
      </c>
      <c r="BT20" s="52">
        <f t="shared" si="11"/>
        <v>1573997.5358841165</v>
      </c>
      <c r="BU20" s="52">
        <f t="shared" si="11"/>
        <v>1559571.896553203</v>
      </c>
      <c r="BV20" s="52">
        <f t="shared" si="11"/>
        <v>1545408.2769074123</v>
      </c>
      <c r="BW20" s="52">
        <f t="shared" si="11"/>
        <v>1531499.6024152453</v>
      </c>
      <c r="BX20" s="52">
        <f t="shared" si="11"/>
        <v>1517839.0509566357</v>
      </c>
      <c r="BY20" s="52">
        <f t="shared" si="11"/>
        <v>1504420.0416652707</v>
      </c>
      <c r="BZ20" s="52">
        <f t="shared" si="11"/>
        <v>1491236.2243575905</v>
      </c>
      <c r="CA20" s="52">
        <f t="shared" si="11"/>
        <v>1478281.4695127851</v>
      </c>
      <c r="CB20" s="52">
        <f t="shared" si="11"/>
        <v>1465549.8587705696</v>
      </c>
      <c r="CC20" s="52">
        <f t="shared" si="11"/>
        <v>1453035.6759157926</v>
      </c>
      <c r="CD20" s="52">
        <f t="shared" si="11"/>
        <v>1440733.3983210211</v>
      </c>
      <c r="CE20" s="52">
        <f t="shared" si="11"/>
        <v>1428637.6888201917</v>
      </c>
      <c r="CF20" s="52">
        <f t="shared" si="11"/>
        <v>1416743.3879882013</v>
      </c>
      <c r="CG20" s="52">
        <f t="shared" si="11"/>
        <v>1405045.5068029775</v>
      </c>
      <c r="CH20" s="52">
        <f t="shared" si="11"/>
        <v>1393539.2196681034</v>
      </c>
      <c r="CI20" s="52">
        <f t="shared" si="11"/>
        <v>1382219.8577754921</v>
      </c>
      <c r="CJ20" s="52">
        <f t="shared" si="11"/>
        <v>1371082.9027889394</v>
      </c>
      <c r="CK20" s="52">
        <f t="shared" si="11"/>
        <v>1360123.9808305912</v>
      </c>
      <c r="CL20" s="52">
        <f t="shared" si="11"/>
        <v>1349338.8567535202</v>
      </c>
      <c r="CM20" s="52">
        <f t="shared" si="11"/>
        <v>1338723.4286846549</v>
      </c>
    </row>
    <row r="21" spans="1:91" x14ac:dyDescent="0.25">
      <c r="A21" s="52" t="s">
        <v>83</v>
      </c>
      <c r="B21" s="52">
        <f>B8*0.82</f>
        <v>0</v>
      </c>
      <c r="C21" s="52">
        <f t="shared" ref="C21:BN21" si="12">C8*0.82</f>
        <v>0</v>
      </c>
      <c r="D21" s="52">
        <f t="shared" si="12"/>
        <v>0</v>
      </c>
      <c r="E21" s="52">
        <f t="shared" si="12"/>
        <v>0</v>
      </c>
      <c r="F21" s="52">
        <f t="shared" si="12"/>
        <v>0</v>
      </c>
      <c r="G21" s="52">
        <f t="shared" si="12"/>
        <v>0</v>
      </c>
      <c r="H21" s="52">
        <f t="shared" si="12"/>
        <v>0</v>
      </c>
      <c r="I21" s="52">
        <f t="shared" si="12"/>
        <v>0</v>
      </c>
      <c r="J21" s="52">
        <f t="shared" si="12"/>
        <v>0</v>
      </c>
      <c r="K21" s="52">
        <f t="shared" si="12"/>
        <v>0</v>
      </c>
      <c r="L21" s="52">
        <f t="shared" si="12"/>
        <v>0</v>
      </c>
      <c r="M21" s="52">
        <f t="shared" si="12"/>
        <v>0</v>
      </c>
      <c r="N21" s="52">
        <f t="shared" si="12"/>
        <v>0</v>
      </c>
      <c r="O21" s="52">
        <f t="shared" si="12"/>
        <v>0</v>
      </c>
      <c r="P21" s="52">
        <f t="shared" si="12"/>
        <v>0</v>
      </c>
      <c r="Q21" s="52">
        <f t="shared" si="12"/>
        <v>0</v>
      </c>
      <c r="R21" s="52">
        <f t="shared" si="12"/>
        <v>0</v>
      </c>
      <c r="S21" s="52">
        <f t="shared" si="12"/>
        <v>0</v>
      </c>
      <c r="T21" s="52">
        <f t="shared" si="12"/>
        <v>0</v>
      </c>
      <c r="U21" s="52">
        <f t="shared" si="12"/>
        <v>0</v>
      </c>
      <c r="V21" s="52">
        <f t="shared" si="12"/>
        <v>0</v>
      </c>
      <c r="W21" s="52">
        <f t="shared" si="12"/>
        <v>0</v>
      </c>
      <c r="X21" s="52">
        <f t="shared" si="12"/>
        <v>0</v>
      </c>
      <c r="Y21" s="52">
        <f t="shared" si="12"/>
        <v>0</v>
      </c>
      <c r="Z21" s="52">
        <f t="shared" si="12"/>
        <v>0</v>
      </c>
      <c r="AA21" s="52">
        <f t="shared" si="12"/>
        <v>0</v>
      </c>
      <c r="AB21" s="52">
        <f t="shared" si="12"/>
        <v>0</v>
      </c>
      <c r="AC21" s="52">
        <f t="shared" si="12"/>
        <v>0</v>
      </c>
      <c r="AD21" s="52">
        <f t="shared" si="12"/>
        <v>0</v>
      </c>
      <c r="AE21" s="52">
        <f t="shared" si="12"/>
        <v>0</v>
      </c>
      <c r="AF21" s="52">
        <f t="shared" si="12"/>
        <v>0</v>
      </c>
      <c r="AG21" s="52">
        <f t="shared" si="12"/>
        <v>0</v>
      </c>
      <c r="AH21" s="52">
        <f t="shared" si="12"/>
        <v>0</v>
      </c>
      <c r="AI21" s="52">
        <f t="shared" si="12"/>
        <v>0</v>
      </c>
      <c r="AJ21" s="52">
        <f t="shared" si="12"/>
        <v>0</v>
      </c>
      <c r="AK21" s="52">
        <f t="shared" si="12"/>
        <v>0</v>
      </c>
      <c r="AL21" s="52">
        <f t="shared" si="12"/>
        <v>0</v>
      </c>
      <c r="AM21" s="52">
        <f t="shared" si="12"/>
        <v>0</v>
      </c>
      <c r="AN21" s="52">
        <f t="shared" si="12"/>
        <v>0</v>
      </c>
      <c r="AO21" s="52">
        <f t="shared" si="12"/>
        <v>0</v>
      </c>
      <c r="AP21" s="52">
        <f t="shared" si="12"/>
        <v>0</v>
      </c>
      <c r="AQ21" s="52">
        <f t="shared" si="12"/>
        <v>0</v>
      </c>
      <c r="AR21" s="52">
        <f t="shared" si="12"/>
        <v>0</v>
      </c>
      <c r="AS21" s="52">
        <f t="shared" si="12"/>
        <v>0</v>
      </c>
      <c r="AT21" s="52">
        <f t="shared" si="12"/>
        <v>0</v>
      </c>
      <c r="AU21" s="52">
        <f t="shared" si="12"/>
        <v>0</v>
      </c>
      <c r="AV21" s="52">
        <f t="shared" si="12"/>
        <v>0</v>
      </c>
      <c r="AW21" s="52">
        <f t="shared" si="12"/>
        <v>0</v>
      </c>
      <c r="AX21" s="52">
        <f t="shared" si="12"/>
        <v>0</v>
      </c>
      <c r="AY21" s="52">
        <f t="shared" si="12"/>
        <v>0</v>
      </c>
      <c r="AZ21" s="52">
        <f t="shared" si="12"/>
        <v>0</v>
      </c>
      <c r="BA21" s="52">
        <f t="shared" si="12"/>
        <v>0</v>
      </c>
      <c r="BB21" s="52">
        <f t="shared" si="12"/>
        <v>0</v>
      </c>
      <c r="BC21" s="52">
        <f t="shared" si="12"/>
        <v>0</v>
      </c>
      <c r="BD21" s="52">
        <f t="shared" si="12"/>
        <v>0</v>
      </c>
      <c r="BE21" s="52">
        <f t="shared" si="12"/>
        <v>0</v>
      </c>
      <c r="BF21" s="52">
        <f t="shared" si="12"/>
        <v>0</v>
      </c>
      <c r="BG21" s="52">
        <f t="shared" si="12"/>
        <v>0</v>
      </c>
      <c r="BH21" s="52">
        <f t="shared" si="12"/>
        <v>0</v>
      </c>
      <c r="BI21" s="52">
        <f t="shared" si="12"/>
        <v>4290442.7773488574</v>
      </c>
      <c r="BJ21" s="52">
        <f t="shared" si="12"/>
        <v>5747979.2259242972</v>
      </c>
      <c r="BK21" s="52">
        <f t="shared" si="12"/>
        <v>7176232.9761966737</v>
      </c>
      <c r="BL21" s="52">
        <f t="shared" si="12"/>
        <v>8575641.0018556807</v>
      </c>
      <c r="BM21" s="52">
        <f t="shared" si="12"/>
        <v>9946634.4942180198</v>
      </c>
      <c r="BN21" s="52">
        <f t="shared" si="12"/>
        <v>11289638.933893459</v>
      </c>
      <c r="BO21" s="52">
        <f t="shared" ref="BO21:CM21" si="13">BO8*0.82</f>
        <v>12605074.161598636</v>
      </c>
      <c r="BP21" s="52">
        <f t="shared" si="13"/>
        <v>13893354.448128408</v>
      </c>
      <c r="BQ21" s="52">
        <f t="shared" si="13"/>
        <v>15154888.563494503</v>
      </c>
      <c r="BR21" s="52">
        <f t="shared" si="13"/>
        <v>16390079.845241142</v>
      </c>
      <c r="BS21" s="52">
        <f t="shared" si="13"/>
        <v>17599326.265947074</v>
      </c>
      <c r="BT21" s="52">
        <f t="shared" si="13"/>
        <v>18783020.499923479</v>
      </c>
      <c r="BU21" s="52">
        <f t="shared" si="13"/>
        <v>19941549.989117105</v>
      </c>
      <c r="BV21" s="52">
        <f t="shared" si="13"/>
        <v>21075297.008227691</v>
      </c>
      <c r="BW21" s="52">
        <f t="shared" si="13"/>
        <v>22184638.729048949</v>
      </c>
      <c r="BX21" s="52">
        <f t="shared" si="13"/>
        <v>23269947.284041945</v>
      </c>
      <c r="BY21" s="52">
        <f t="shared" si="13"/>
        <v>24331589.829149861</v>
      </c>
      <c r="BZ21" s="52">
        <f t="shared" si="13"/>
        <v>25369928.605862934</v>
      </c>
      <c r="CA21" s="52">
        <f t="shared" si="13"/>
        <v>26385321.002542168</v>
      </c>
      <c r="CB21" s="52">
        <f t="shared" si="13"/>
        <v>27378119.615010537</v>
      </c>
      <c r="CC21" s="52">
        <f t="shared" si="13"/>
        <v>28348672.306420069</v>
      </c>
      <c r="CD21" s="52">
        <f t="shared" si="13"/>
        <v>29297322.266403291</v>
      </c>
      <c r="CE21" s="52">
        <f t="shared" si="13"/>
        <v>30224408.069517292</v>
      </c>
      <c r="CF21" s="52">
        <f t="shared" si="13"/>
        <v>31130263.732988559</v>
      </c>
      <c r="CG21" s="52">
        <f t="shared" si="13"/>
        <v>32015218.773766886</v>
      </c>
      <c r="CH21" s="52">
        <f t="shared" si="13"/>
        <v>32879598.264896151</v>
      </c>
      <c r="CI21" s="52">
        <f t="shared" si="13"/>
        <v>33723722.891209997</v>
      </c>
      <c r="CJ21" s="52">
        <f t="shared" si="13"/>
        <v>34547909.004360408</v>
      </c>
      <c r="CK21" s="52">
        <f t="shared" si="13"/>
        <v>35352468.677186579</v>
      </c>
      <c r="CL21" s="52">
        <f t="shared" si="13"/>
        <v>36137709.757432103</v>
      </c>
      <c r="CM21" s="52">
        <f t="shared" si="13"/>
        <v>36903935.920817859</v>
      </c>
    </row>
    <row r="22" spans="1:91" x14ac:dyDescent="0.25">
      <c r="A22" s="52" t="s">
        <v>87</v>
      </c>
      <c r="B22" s="52">
        <f>B9</f>
        <v>0</v>
      </c>
      <c r="C22" s="52">
        <f t="shared" ref="C22:BN22" si="14">C9</f>
        <v>0</v>
      </c>
      <c r="D22" s="52">
        <f t="shared" si="14"/>
        <v>0</v>
      </c>
      <c r="E22" s="52">
        <f t="shared" si="14"/>
        <v>0</v>
      </c>
      <c r="F22" s="52">
        <f t="shared" si="14"/>
        <v>0</v>
      </c>
      <c r="G22" s="52">
        <f t="shared" si="14"/>
        <v>0</v>
      </c>
      <c r="H22" s="52">
        <f t="shared" si="14"/>
        <v>0</v>
      </c>
      <c r="I22" s="52">
        <f t="shared" si="14"/>
        <v>0</v>
      </c>
      <c r="J22" s="52">
        <f t="shared" si="14"/>
        <v>0</v>
      </c>
      <c r="K22" s="52">
        <f t="shared" si="14"/>
        <v>0</v>
      </c>
      <c r="L22" s="52">
        <f t="shared" si="14"/>
        <v>0</v>
      </c>
      <c r="M22" s="52">
        <f t="shared" si="14"/>
        <v>0</v>
      </c>
      <c r="N22" s="52">
        <f t="shared" si="14"/>
        <v>0</v>
      </c>
      <c r="O22" s="52">
        <f t="shared" si="14"/>
        <v>0</v>
      </c>
      <c r="P22" s="52">
        <f t="shared" si="14"/>
        <v>0</v>
      </c>
      <c r="Q22" s="52">
        <f t="shared" si="14"/>
        <v>0</v>
      </c>
      <c r="R22" s="52">
        <f t="shared" si="14"/>
        <v>0</v>
      </c>
      <c r="S22" s="52">
        <f t="shared" si="14"/>
        <v>0</v>
      </c>
      <c r="T22" s="52">
        <f t="shared" si="14"/>
        <v>0</v>
      </c>
      <c r="U22" s="52">
        <f t="shared" si="14"/>
        <v>0</v>
      </c>
      <c r="V22" s="52">
        <f t="shared" si="14"/>
        <v>0</v>
      </c>
      <c r="W22" s="52">
        <f t="shared" si="14"/>
        <v>0</v>
      </c>
      <c r="X22" s="52">
        <f t="shared" si="14"/>
        <v>0</v>
      </c>
      <c r="Y22" s="52">
        <f t="shared" si="14"/>
        <v>0</v>
      </c>
      <c r="Z22" s="52">
        <f t="shared" si="14"/>
        <v>0</v>
      </c>
      <c r="AA22" s="52">
        <f t="shared" si="14"/>
        <v>0</v>
      </c>
      <c r="AB22" s="52">
        <f t="shared" si="14"/>
        <v>0</v>
      </c>
      <c r="AC22" s="52">
        <f t="shared" si="14"/>
        <v>0</v>
      </c>
      <c r="AD22" s="52">
        <f t="shared" si="14"/>
        <v>0</v>
      </c>
      <c r="AE22" s="52">
        <f t="shared" si="14"/>
        <v>0</v>
      </c>
      <c r="AF22" s="52">
        <f t="shared" si="14"/>
        <v>3416.4412662625296</v>
      </c>
      <c r="AG22" s="52">
        <f t="shared" si="14"/>
        <v>6832.8825325250591</v>
      </c>
      <c r="AH22" s="52">
        <f t="shared" si="14"/>
        <v>10249.323798787587</v>
      </c>
      <c r="AI22" s="52">
        <f t="shared" si="14"/>
        <v>13665.765065050118</v>
      </c>
      <c r="AJ22" s="52">
        <f t="shared" si="14"/>
        <v>17082.206331312645</v>
      </c>
      <c r="AK22" s="52">
        <f t="shared" si="14"/>
        <v>20498.647597575175</v>
      </c>
      <c r="AL22" s="52">
        <f t="shared" si="14"/>
        <v>23915.088863837707</v>
      </c>
      <c r="AM22" s="52">
        <f t="shared" si="14"/>
        <v>27331.530130100236</v>
      </c>
      <c r="AN22" s="52">
        <f t="shared" si="14"/>
        <v>30747.971396362755</v>
      </c>
      <c r="AO22" s="52">
        <f t="shared" si="14"/>
        <v>34164.412662625291</v>
      </c>
      <c r="AP22" s="52">
        <f t="shared" si="14"/>
        <v>36890.677261253244</v>
      </c>
      <c r="AQ22" s="52">
        <f t="shared" si="14"/>
        <v>43133.844875324197</v>
      </c>
      <c r="AR22" s="52">
        <f t="shared" si="14"/>
        <v>53102.302593334723</v>
      </c>
      <c r="AS22" s="52">
        <f t="shared" si="14"/>
        <v>58309.240873589188</v>
      </c>
      <c r="AT22" s="52">
        <f t="shared" si="14"/>
        <v>66764.666817619684</v>
      </c>
      <c r="AU22" s="52">
        <f t="shared" si="14"/>
        <v>81682.374948510493</v>
      </c>
      <c r="AV22" s="52">
        <f t="shared" si="14"/>
        <v>105480.61411907786</v>
      </c>
      <c r="AW22" s="52">
        <f t="shared" si="14"/>
        <v>138558.46956944911</v>
      </c>
      <c r="AX22" s="52">
        <f t="shared" si="14"/>
        <v>161156.81907767052</v>
      </c>
      <c r="AY22" s="52">
        <f t="shared" si="14"/>
        <v>176280.28322862033</v>
      </c>
      <c r="AZ22" s="52">
        <f t="shared" si="14"/>
        <v>191403.74737957012</v>
      </c>
      <c r="BA22" s="52">
        <f t="shared" si="14"/>
        <v>206527.21153051991</v>
      </c>
      <c r="BB22" s="52">
        <f t="shared" si="14"/>
        <v>221650.67568146973</v>
      </c>
      <c r="BC22" s="52">
        <f t="shared" si="14"/>
        <v>236774.13983241952</v>
      </c>
      <c r="BD22" s="52">
        <f t="shared" si="14"/>
        <v>251897.60398336934</v>
      </c>
      <c r="BE22" s="52">
        <f t="shared" si="14"/>
        <v>267021.06813431915</v>
      </c>
      <c r="BF22" s="52">
        <f t="shared" si="14"/>
        <v>282144.53228526888</v>
      </c>
      <c r="BG22" s="52">
        <f t="shared" si="14"/>
        <v>297267.99643621867</v>
      </c>
      <c r="BH22" s="52">
        <f t="shared" si="14"/>
        <v>312391.45665398089</v>
      </c>
      <c r="BI22" s="52">
        <f t="shared" si="14"/>
        <v>312391.45665398089</v>
      </c>
      <c r="BJ22" s="52">
        <f t="shared" si="14"/>
        <v>312391.45665398089</v>
      </c>
      <c r="BK22" s="52">
        <f t="shared" si="14"/>
        <v>312391.45665398089</v>
      </c>
      <c r="BL22" s="52">
        <f t="shared" si="14"/>
        <v>312391.45665398089</v>
      </c>
      <c r="BM22" s="52">
        <f t="shared" si="14"/>
        <v>312391.45665398089</v>
      </c>
      <c r="BN22" s="52">
        <f t="shared" si="14"/>
        <v>312391.45665398089</v>
      </c>
      <c r="BO22" s="52">
        <f t="shared" ref="BO22:CM22" si="15">BO9</f>
        <v>312391.45665398089</v>
      </c>
      <c r="BP22" s="52">
        <f t="shared" si="15"/>
        <v>312391.45665398089</v>
      </c>
      <c r="BQ22" s="52">
        <f t="shared" si="15"/>
        <v>312391.45665398089</v>
      </c>
      <c r="BR22" s="52">
        <f t="shared" si="15"/>
        <v>312391.45665398089</v>
      </c>
      <c r="BS22" s="52">
        <f t="shared" si="15"/>
        <v>312391.45665398089</v>
      </c>
      <c r="BT22" s="52">
        <f t="shared" si="15"/>
        <v>312391.45665398089</v>
      </c>
      <c r="BU22" s="52">
        <f t="shared" si="15"/>
        <v>312391.45665398089</v>
      </c>
      <c r="BV22" s="52">
        <f t="shared" si="15"/>
        <v>312391.45665398089</v>
      </c>
      <c r="BW22" s="52">
        <f t="shared" si="15"/>
        <v>312391.45665398089</v>
      </c>
      <c r="BX22" s="52">
        <f t="shared" si="15"/>
        <v>312391.45665398089</v>
      </c>
      <c r="BY22" s="52">
        <f t="shared" si="15"/>
        <v>312391.45665398089</v>
      </c>
      <c r="BZ22" s="52">
        <f t="shared" si="15"/>
        <v>312391.45665398089</v>
      </c>
      <c r="CA22" s="52">
        <f t="shared" si="15"/>
        <v>312391.45665398089</v>
      </c>
      <c r="CB22" s="52">
        <f t="shared" si="15"/>
        <v>312391.45665398089</v>
      </c>
      <c r="CC22" s="52">
        <f t="shared" si="15"/>
        <v>312391.45665398089</v>
      </c>
      <c r="CD22" s="52">
        <f t="shared" si="15"/>
        <v>312391.45665398089</v>
      </c>
      <c r="CE22" s="52">
        <f t="shared" si="15"/>
        <v>312391.45665398089</v>
      </c>
      <c r="CF22" s="52">
        <f t="shared" si="15"/>
        <v>312391.45665398089</v>
      </c>
      <c r="CG22" s="52">
        <f t="shared" si="15"/>
        <v>312391.45665398089</v>
      </c>
      <c r="CH22" s="52">
        <f t="shared" si="15"/>
        <v>312391.45665398089</v>
      </c>
      <c r="CI22" s="52">
        <f t="shared" si="15"/>
        <v>312391.45665398089</v>
      </c>
      <c r="CJ22" s="52">
        <f t="shared" si="15"/>
        <v>312391.45665398089</v>
      </c>
      <c r="CK22" s="52">
        <f t="shared" si="15"/>
        <v>312391.45665398089</v>
      </c>
      <c r="CL22" s="52">
        <f t="shared" si="15"/>
        <v>312391.45665398089</v>
      </c>
      <c r="CM22" s="52">
        <f t="shared" si="15"/>
        <v>312391.45665398089</v>
      </c>
    </row>
    <row r="23" spans="1:91" x14ac:dyDescent="0.25">
      <c r="A23" s="52" t="s">
        <v>84</v>
      </c>
      <c r="B23" s="52">
        <f>B10*0.39</f>
        <v>0</v>
      </c>
      <c r="C23" s="52">
        <f t="shared" ref="C23:BN23" si="16">C10*0.39</f>
        <v>0</v>
      </c>
      <c r="D23" s="52">
        <f t="shared" si="16"/>
        <v>0</v>
      </c>
      <c r="E23" s="52">
        <f t="shared" si="16"/>
        <v>0</v>
      </c>
      <c r="F23" s="52">
        <f t="shared" si="16"/>
        <v>0</v>
      </c>
      <c r="G23" s="52">
        <f t="shared" si="16"/>
        <v>0</v>
      </c>
      <c r="H23" s="52">
        <f t="shared" si="16"/>
        <v>0</v>
      </c>
      <c r="I23" s="52">
        <f t="shared" si="16"/>
        <v>0</v>
      </c>
      <c r="J23" s="52">
        <f t="shared" si="16"/>
        <v>0</v>
      </c>
      <c r="K23" s="52">
        <f t="shared" si="16"/>
        <v>0</v>
      </c>
      <c r="L23" s="52">
        <f t="shared" si="16"/>
        <v>0</v>
      </c>
      <c r="M23" s="52">
        <f t="shared" si="16"/>
        <v>0</v>
      </c>
      <c r="N23" s="52">
        <f t="shared" si="16"/>
        <v>0</v>
      </c>
      <c r="O23" s="52">
        <f t="shared" si="16"/>
        <v>0</v>
      </c>
      <c r="P23" s="52">
        <f t="shared" si="16"/>
        <v>0</v>
      </c>
      <c r="Q23" s="52">
        <f t="shared" si="16"/>
        <v>0</v>
      </c>
      <c r="R23" s="52">
        <f t="shared" si="16"/>
        <v>0</v>
      </c>
      <c r="S23" s="52">
        <f t="shared" si="16"/>
        <v>0</v>
      </c>
      <c r="T23" s="52">
        <f t="shared" si="16"/>
        <v>0</v>
      </c>
      <c r="U23" s="52">
        <f t="shared" si="16"/>
        <v>0</v>
      </c>
      <c r="V23" s="52">
        <f t="shared" si="16"/>
        <v>0</v>
      </c>
      <c r="W23" s="52">
        <f t="shared" si="16"/>
        <v>0</v>
      </c>
      <c r="X23" s="52">
        <f t="shared" si="16"/>
        <v>0</v>
      </c>
      <c r="Y23" s="52">
        <f t="shared" si="16"/>
        <v>0</v>
      </c>
      <c r="Z23" s="52">
        <f t="shared" si="16"/>
        <v>0</v>
      </c>
      <c r="AA23" s="52">
        <f t="shared" si="16"/>
        <v>0</v>
      </c>
      <c r="AB23" s="52">
        <f t="shared" si="16"/>
        <v>0</v>
      </c>
      <c r="AC23" s="52">
        <f t="shared" si="16"/>
        <v>0</v>
      </c>
      <c r="AD23" s="52">
        <f t="shared" si="16"/>
        <v>0</v>
      </c>
      <c r="AE23" s="52">
        <f t="shared" si="16"/>
        <v>0</v>
      </c>
      <c r="AF23" s="52">
        <f t="shared" si="16"/>
        <v>0</v>
      </c>
      <c r="AG23" s="52">
        <f t="shared" si="16"/>
        <v>0</v>
      </c>
      <c r="AH23" s="52">
        <f t="shared" si="16"/>
        <v>0</v>
      </c>
      <c r="AI23" s="52">
        <f t="shared" si="16"/>
        <v>0</v>
      </c>
      <c r="AJ23" s="52">
        <f t="shared" si="16"/>
        <v>0</v>
      </c>
      <c r="AK23" s="52">
        <f t="shared" si="16"/>
        <v>0</v>
      </c>
      <c r="AL23" s="52">
        <f t="shared" si="16"/>
        <v>0</v>
      </c>
      <c r="AM23" s="52">
        <f t="shared" si="16"/>
        <v>0</v>
      </c>
      <c r="AN23" s="52">
        <f t="shared" si="16"/>
        <v>0</v>
      </c>
      <c r="AO23" s="52">
        <f t="shared" si="16"/>
        <v>0</v>
      </c>
      <c r="AP23" s="52">
        <f t="shared" si="16"/>
        <v>26902.341993431211</v>
      </c>
      <c r="AQ23" s="52">
        <f t="shared" si="16"/>
        <v>32526.606109635377</v>
      </c>
      <c r="AR23" s="52">
        <f t="shared" si="16"/>
        <v>43564.042547470432</v>
      </c>
      <c r="AS23" s="52">
        <f t="shared" si="16"/>
        <v>84536.761375307266</v>
      </c>
      <c r="AT23" s="52">
        <f t="shared" si="16"/>
        <v>271911.14066607878</v>
      </c>
      <c r="AU23" s="52">
        <f t="shared" si="16"/>
        <v>741604.83511076646</v>
      </c>
      <c r="AV23" s="52">
        <f t="shared" si="16"/>
        <v>1435703.7325092244</v>
      </c>
      <c r="AW23" s="52">
        <f t="shared" si="16"/>
        <v>1777556.8524855981</v>
      </c>
      <c r="AX23" s="52">
        <f t="shared" si="16"/>
        <v>1863278.5505074349</v>
      </c>
      <c r="AY23" s="52">
        <f t="shared" si="16"/>
        <v>1947310.4713917852</v>
      </c>
      <c r="AZ23" s="52">
        <f t="shared" si="16"/>
        <v>2029702.0917361467</v>
      </c>
      <c r="BA23" s="52">
        <f t="shared" si="16"/>
        <v>2110500.9752444732</v>
      </c>
      <c r="BB23" s="52">
        <f t="shared" si="16"/>
        <v>2189752.8642889517</v>
      </c>
      <c r="BC23" s="52">
        <f t="shared" si="16"/>
        <v>2267501.7662624517</v>
      </c>
      <c r="BD23" s="52">
        <f t="shared" si="16"/>
        <v>2343790.0350641971</v>
      </c>
      <c r="BE23" s="52">
        <f t="shared" si="16"/>
        <v>2418658.4480356607</v>
      </c>
      <c r="BF23" s="52">
        <f t="shared" si="16"/>
        <v>2492146.2786403401</v>
      </c>
      <c r="BG23" s="52">
        <f t="shared" si="16"/>
        <v>2564291.3651595972</v>
      </c>
      <c r="BH23" s="52">
        <f t="shared" si="16"/>
        <v>2635128.1051006331</v>
      </c>
      <c r="BI23" s="52">
        <f t="shared" si="16"/>
        <v>3380614.92258952</v>
      </c>
      <c r="BJ23" s="52">
        <f t="shared" si="16"/>
        <v>4112843.8300739746</v>
      </c>
      <c r="BK23" s="52">
        <f t="shared" si="16"/>
        <v>4832165.3829819951</v>
      </c>
      <c r="BL23" s="52">
        <f t="shared" si="16"/>
        <v>5538917.885895811</v>
      </c>
      <c r="BM23" s="52">
        <f t="shared" si="16"/>
        <v>6233427.9230790483</v>
      </c>
      <c r="BN23" s="52">
        <f t="shared" si="16"/>
        <v>6916010.861671024</v>
      </c>
      <c r="BO23" s="52">
        <f t="shared" ref="BO23:CM23" si="17">BO10*0.39</f>
        <v>7586971.3291770834</v>
      </c>
      <c r="BP23" s="52">
        <f t="shared" si="17"/>
        <v>8246603.6667738743</v>
      </c>
      <c r="BQ23" s="52">
        <f t="shared" si="17"/>
        <v>8895192.3598467596</v>
      </c>
      <c r="BR23" s="52">
        <f t="shared" si="17"/>
        <v>9533012.4470824003</v>
      </c>
      <c r="BS23" s="52">
        <f t="shared" si="17"/>
        <v>10160329.909352459</v>
      </c>
      <c r="BT23" s="52">
        <f t="shared" si="17"/>
        <v>10777402.039543582</v>
      </c>
      <c r="BU23" s="52">
        <f t="shared" si="17"/>
        <v>11384477.794413984</v>
      </c>
      <c r="BV23" s="52">
        <f t="shared" si="17"/>
        <v>11981798.12948755</v>
      </c>
      <c r="BW23" s="52">
        <f t="shared" si="17"/>
        <v>12569596.31793182</v>
      </c>
      <c r="BX23" s="52">
        <f t="shared" si="17"/>
        <v>13148098.254306495</v>
      </c>
      <c r="BY23" s="52">
        <f t="shared" si="17"/>
        <v>13717522.744013244</v>
      </c>
      <c r="BZ23" s="52">
        <f t="shared" si="17"/>
        <v>14278081.779226134</v>
      </c>
      <c r="CA23" s="52">
        <f t="shared" si="17"/>
        <v>14829980.802033508</v>
      </c>
      <c r="CB23" s="52">
        <f t="shared" si="17"/>
        <v>15373418.955477731</v>
      </c>
      <c r="CC23" s="52">
        <f t="shared" si="17"/>
        <v>15908589.32313695</v>
      </c>
      <c r="CD23" s="52">
        <f t="shared" si="17"/>
        <v>16435679.157854637</v>
      </c>
      <c r="CE23" s="52">
        <f t="shared" si="17"/>
        <v>16954870.100185946</v>
      </c>
      <c r="CF23" s="52">
        <f t="shared" si="17"/>
        <v>17466338.387096308</v>
      </c>
      <c r="CG23" s="52">
        <f t="shared" si="17"/>
        <v>17970255.051416021</v>
      </c>
      <c r="CH23" s="52">
        <f t="shared" si="17"/>
        <v>18466786.112524856</v>
      </c>
      <c r="CI23" s="52">
        <f t="shared" si="17"/>
        <v>18956092.758713588</v>
      </c>
      <c r="CJ23" s="52">
        <f t="shared" si="17"/>
        <v>19438331.521642867</v>
      </c>
      <c r="CK23" s="52">
        <f t="shared" si="17"/>
        <v>19913654.443296492</v>
      </c>
      <c r="CL23" s="52">
        <f t="shared" si="17"/>
        <v>20382209.235802721</v>
      </c>
      <c r="CM23" s="52">
        <f t="shared" si="17"/>
        <v>20844139.434476919</v>
      </c>
    </row>
    <row r="24" spans="1:91" x14ac:dyDescent="0.25">
      <c r="A24" s="52" t="s">
        <v>85</v>
      </c>
      <c r="B24" s="52">
        <f>B11*0.65</f>
        <v>0</v>
      </c>
      <c r="C24" s="52">
        <f t="shared" ref="C24:BN24" si="18">C11*0.65</f>
        <v>0</v>
      </c>
      <c r="D24" s="52">
        <f t="shared" si="18"/>
        <v>0</v>
      </c>
      <c r="E24" s="52">
        <f t="shared" si="18"/>
        <v>0</v>
      </c>
      <c r="F24" s="52">
        <f t="shared" si="18"/>
        <v>0</v>
      </c>
      <c r="G24" s="52">
        <f t="shared" si="18"/>
        <v>0</v>
      </c>
      <c r="H24" s="52">
        <f t="shared" si="18"/>
        <v>0</v>
      </c>
      <c r="I24" s="52">
        <f t="shared" si="18"/>
        <v>0</v>
      </c>
      <c r="J24" s="52">
        <f t="shared" si="18"/>
        <v>0</v>
      </c>
      <c r="K24" s="52">
        <f t="shared" si="18"/>
        <v>0</v>
      </c>
      <c r="L24" s="52">
        <f t="shared" si="18"/>
        <v>0</v>
      </c>
      <c r="M24" s="52">
        <f t="shared" si="18"/>
        <v>0</v>
      </c>
      <c r="N24" s="52">
        <f t="shared" si="18"/>
        <v>0</v>
      </c>
      <c r="O24" s="52">
        <f t="shared" si="18"/>
        <v>0</v>
      </c>
      <c r="P24" s="52">
        <f t="shared" si="18"/>
        <v>0</v>
      </c>
      <c r="Q24" s="52">
        <f t="shared" si="18"/>
        <v>0</v>
      </c>
      <c r="R24" s="52">
        <f t="shared" si="18"/>
        <v>0</v>
      </c>
      <c r="S24" s="52">
        <f t="shared" si="18"/>
        <v>0</v>
      </c>
      <c r="T24" s="52">
        <f t="shared" si="18"/>
        <v>0</v>
      </c>
      <c r="U24" s="52">
        <f t="shared" si="18"/>
        <v>0</v>
      </c>
      <c r="V24" s="52">
        <f t="shared" si="18"/>
        <v>0</v>
      </c>
      <c r="W24" s="52">
        <f t="shared" si="18"/>
        <v>0</v>
      </c>
      <c r="X24" s="52">
        <f t="shared" si="18"/>
        <v>0</v>
      </c>
      <c r="Y24" s="52">
        <f t="shared" si="18"/>
        <v>0</v>
      </c>
      <c r="Z24" s="52">
        <f t="shared" si="18"/>
        <v>0</v>
      </c>
      <c r="AA24" s="52">
        <f t="shared" si="18"/>
        <v>0</v>
      </c>
      <c r="AB24" s="52">
        <f t="shared" si="18"/>
        <v>0</v>
      </c>
      <c r="AC24" s="52">
        <f t="shared" si="18"/>
        <v>0</v>
      </c>
      <c r="AD24" s="52">
        <f t="shared" si="18"/>
        <v>0</v>
      </c>
      <c r="AE24" s="52">
        <f t="shared" si="18"/>
        <v>0</v>
      </c>
      <c r="AF24" s="52">
        <f t="shared" si="18"/>
        <v>138599.56472198345</v>
      </c>
      <c r="AG24" s="52">
        <f t="shared" si="18"/>
        <v>273457.71379753767</v>
      </c>
      <c r="AH24" s="52">
        <f t="shared" si="18"/>
        <v>404723.92573324346</v>
      </c>
      <c r="AI24" s="52">
        <f t="shared" si="18"/>
        <v>532539.82098634238</v>
      </c>
      <c r="AJ24" s="52">
        <f t="shared" si="18"/>
        <v>657039.67163612996</v>
      </c>
      <c r="AK24" s="52">
        <f t="shared" si="18"/>
        <v>778350.87189472397</v>
      </c>
      <c r="AL24" s="52">
        <f t="shared" si="18"/>
        <v>896594.37292321946</v>
      </c>
      <c r="AM24" s="52">
        <f t="shared" si="18"/>
        <v>1011885.0850730242</v>
      </c>
      <c r="AN24" s="52">
        <f t="shared" si="18"/>
        <v>1124332.2503643718</v>
      </c>
      <c r="AO24" s="52">
        <f t="shared" si="18"/>
        <v>1234039.7877399891</v>
      </c>
      <c r="AP24" s="52">
        <f t="shared" si="18"/>
        <v>1527995.2742244024</v>
      </c>
      <c r="AQ24" s="52">
        <f t="shared" si="18"/>
        <v>1967130.5156948098</v>
      </c>
      <c r="AR24" s="52">
        <f t="shared" si="18"/>
        <v>2598021.0199561203</v>
      </c>
      <c r="AS24" s="52">
        <f t="shared" si="18"/>
        <v>3251413.8990502795</v>
      </c>
      <c r="AT24" s="52">
        <f t="shared" si="18"/>
        <v>4998965.2574780276</v>
      </c>
      <c r="AU24" s="52">
        <f t="shared" si="18"/>
        <v>8192818.5498469528</v>
      </c>
      <c r="AV24" s="52">
        <f t="shared" si="18"/>
        <v>10999483.226062525</v>
      </c>
      <c r="AW24" s="52">
        <f t="shared" si="18"/>
        <v>16417552.904479241</v>
      </c>
      <c r="AX24" s="52">
        <f t="shared" si="18"/>
        <v>19071444.584975265</v>
      </c>
      <c r="AY24" s="52">
        <f t="shared" si="18"/>
        <v>21673021.79211675</v>
      </c>
      <c r="AZ24" s="52">
        <f t="shared" si="18"/>
        <v>24223816.291296955</v>
      </c>
      <c r="BA24" s="52">
        <f t="shared" si="18"/>
        <v>26725300.625887387</v>
      </c>
      <c r="BB24" s="52">
        <f t="shared" si="18"/>
        <v>29178890.951934762</v>
      </c>
      <c r="BC24" s="52">
        <f t="shared" si="18"/>
        <v>31585949.711580537</v>
      </c>
      <c r="BD24" s="52">
        <f t="shared" si="18"/>
        <v>33947788.155807592</v>
      </c>
      <c r="BE24" s="52">
        <f t="shared" si="18"/>
        <v>36265668.726328865</v>
      </c>
      <c r="BF24" s="52">
        <f t="shared" si="18"/>
        <v>38540807.305709042</v>
      </c>
      <c r="BG24" s="52">
        <f t="shared" si="18"/>
        <v>40774375.344146028</v>
      </c>
      <c r="BH24" s="52">
        <f t="shared" si="18"/>
        <v>42967496.11918278</v>
      </c>
      <c r="BI24" s="52">
        <f t="shared" si="18"/>
        <v>63445631.558931202</v>
      </c>
      <c r="BJ24" s="52">
        <f t="shared" si="18"/>
        <v>83559579.101121262</v>
      </c>
      <c r="BK24" s="52">
        <f t="shared" si="18"/>
        <v>103318968.32117303</v>
      </c>
      <c r="BL24" s="52">
        <f t="shared" si="18"/>
        <v>122733092.27014014</v>
      </c>
      <c r="BM24" s="52">
        <f t="shared" si="18"/>
        <v>141810922.04801551</v>
      </c>
      <c r="BN24" s="52">
        <f t="shared" si="18"/>
        <v>160561120.62621683</v>
      </c>
      <c r="BO24" s="52">
        <f t="shared" ref="BO24:CM24" si="19">BO11*0.65</f>
        <v>178992055.96399805</v>
      </c>
      <c r="BP24" s="52">
        <f t="shared" si="19"/>
        <v>197111813.46050981</v>
      </c>
      <c r="BQ24" s="52">
        <f t="shared" si="19"/>
        <v>214928207.78143814</v>
      </c>
      <c r="BR24" s="52">
        <f t="shared" si="19"/>
        <v>232448794.09656546</v>
      </c>
      <c r="BS24" s="52">
        <f t="shared" si="19"/>
        <v>249680878.76220351</v>
      </c>
      <c r="BT24" s="52">
        <f t="shared" si="19"/>
        <v>266631529.48023075</v>
      </c>
      <c r="BU24" s="52">
        <f t="shared" si="19"/>
        <v>283307584.96341038</v>
      </c>
      <c r="BV24" s="52">
        <f t="shared" si="19"/>
        <v>299715664.13475633</v>
      </c>
      <c r="BW24" s="52">
        <f t="shared" si="19"/>
        <v>315862174.8869468</v>
      </c>
      <c r="BX24" s="52">
        <f t="shared" si="19"/>
        <v>331753322.42613709</v>
      </c>
      <c r="BY24" s="52">
        <f t="shared" si="19"/>
        <v>347395117.22299582</v>
      </c>
      <c r="BZ24" s="52">
        <f t="shared" si="19"/>
        <v>362793382.59237021</v>
      </c>
      <c r="CA24" s="52">
        <f t="shared" si="19"/>
        <v>377953761.92165697</v>
      </c>
      <c r="CB24" s="52">
        <f t="shared" si="19"/>
        <v>392881725.56673294</v>
      </c>
      <c r="CC24" s="52">
        <f t="shared" si="19"/>
        <v>407582577.43314278</v>
      </c>
      <c r="CD24" s="52">
        <f t="shared" si="19"/>
        <v>422061461.25917965</v>
      </c>
      <c r="CE24" s="52">
        <f t="shared" si="19"/>
        <v>436323366.61649287</v>
      </c>
      <c r="CF24" s="52">
        <f t="shared" si="19"/>
        <v>450373134.64293116</v>
      </c>
      <c r="CG24" s="52">
        <f t="shared" si="19"/>
        <v>464215463.52145505</v>
      </c>
      <c r="CH24" s="52">
        <f t="shared" si="19"/>
        <v>477854913.71814525</v>
      </c>
      <c r="CI24" s="52">
        <f t="shared" si="19"/>
        <v>491295912.99157792</v>
      </c>
      <c r="CJ24" s="52">
        <f t="shared" si="19"/>
        <v>504542761.18512064</v>
      </c>
      <c r="CK24" s="52">
        <f t="shared" si="19"/>
        <v>517599634.81305027</v>
      </c>
      <c r="CL24" s="52">
        <f t="shared" si="19"/>
        <v>530470591.45076257</v>
      </c>
      <c r="CM24" s="52">
        <f t="shared" si="19"/>
        <v>543159573.93877423</v>
      </c>
    </row>
    <row r="26" spans="1:91" x14ac:dyDescent="0.25">
      <c r="B26" s="52">
        <v>1961</v>
      </c>
      <c r="C26" s="52">
        <v>1962</v>
      </c>
      <c r="D26" s="52">
        <v>1963</v>
      </c>
      <c r="E26" s="52">
        <v>1964</v>
      </c>
      <c r="F26" s="52">
        <v>1965</v>
      </c>
      <c r="G26" s="52">
        <v>1966</v>
      </c>
      <c r="H26" s="52">
        <v>1967</v>
      </c>
      <c r="I26" s="52">
        <v>1968</v>
      </c>
      <c r="J26" s="52">
        <v>1969</v>
      </c>
      <c r="K26" s="52">
        <v>1970</v>
      </c>
      <c r="L26" s="52">
        <v>1971</v>
      </c>
      <c r="M26" s="52">
        <v>1972</v>
      </c>
      <c r="N26" s="52">
        <v>1973</v>
      </c>
      <c r="O26" s="52">
        <v>1974</v>
      </c>
      <c r="P26" s="52">
        <v>1975</v>
      </c>
      <c r="Q26" s="52">
        <v>1976</v>
      </c>
      <c r="R26" s="52">
        <v>1977</v>
      </c>
      <c r="S26" s="52">
        <v>1978</v>
      </c>
      <c r="T26" s="52">
        <v>1979</v>
      </c>
      <c r="U26" s="52">
        <v>1980</v>
      </c>
      <c r="V26" s="52">
        <v>1981</v>
      </c>
      <c r="W26" s="52">
        <v>1982</v>
      </c>
      <c r="X26" s="52">
        <v>1983</v>
      </c>
      <c r="Y26" s="52">
        <v>1984</v>
      </c>
      <c r="Z26" s="52">
        <v>1985</v>
      </c>
      <c r="AA26" s="52">
        <v>1986</v>
      </c>
      <c r="AB26" s="52">
        <v>1987</v>
      </c>
      <c r="AC26" s="52">
        <v>1988</v>
      </c>
      <c r="AD26" s="52">
        <v>1989</v>
      </c>
      <c r="AE26" s="52">
        <v>1990</v>
      </c>
      <c r="AF26" s="52">
        <v>1991</v>
      </c>
      <c r="AG26" s="52">
        <v>1992</v>
      </c>
      <c r="AH26" s="52">
        <v>1993</v>
      </c>
      <c r="AI26" s="52">
        <v>1994</v>
      </c>
      <c r="AJ26" s="52">
        <v>1995</v>
      </c>
      <c r="AK26" s="52">
        <v>1996</v>
      </c>
      <c r="AL26" s="52">
        <v>1997</v>
      </c>
      <c r="AM26" s="52">
        <v>1998</v>
      </c>
      <c r="AN26" s="52">
        <v>1999</v>
      </c>
      <c r="AO26" s="52">
        <v>2000</v>
      </c>
      <c r="AP26" s="52">
        <v>2001</v>
      </c>
      <c r="AQ26" s="52">
        <v>2002</v>
      </c>
      <c r="AR26" s="52">
        <v>2003</v>
      </c>
      <c r="AS26" s="52">
        <v>2004</v>
      </c>
      <c r="AT26" s="52">
        <v>2005</v>
      </c>
      <c r="AU26" s="52">
        <v>2006</v>
      </c>
      <c r="AV26" s="52">
        <v>2007</v>
      </c>
      <c r="AW26" s="52">
        <v>2008</v>
      </c>
      <c r="AX26" s="52">
        <v>2009</v>
      </c>
      <c r="AY26" s="52">
        <v>2010</v>
      </c>
      <c r="AZ26" s="52">
        <v>2011</v>
      </c>
      <c r="BA26" s="52">
        <v>2012</v>
      </c>
      <c r="BB26" s="52">
        <v>2013</v>
      </c>
      <c r="BC26" s="52">
        <v>2014</v>
      </c>
      <c r="BD26" s="52">
        <v>2015</v>
      </c>
      <c r="BE26" s="52">
        <v>2016</v>
      </c>
      <c r="BF26" s="52">
        <v>2017</v>
      </c>
      <c r="BG26" s="52">
        <v>2018</v>
      </c>
      <c r="BH26" s="52">
        <v>2019</v>
      </c>
      <c r="BI26" s="52">
        <v>2020</v>
      </c>
      <c r="BJ26" s="52">
        <v>2021</v>
      </c>
      <c r="BK26" s="52">
        <v>2022</v>
      </c>
      <c r="BL26" s="52">
        <v>2023</v>
      </c>
      <c r="BM26" s="52">
        <v>2024</v>
      </c>
      <c r="BN26" s="52">
        <v>2025</v>
      </c>
      <c r="BO26" s="52">
        <v>2026</v>
      </c>
      <c r="BP26" s="52">
        <v>2027</v>
      </c>
      <c r="BQ26" s="52">
        <v>2028</v>
      </c>
      <c r="BR26" s="52">
        <v>2029</v>
      </c>
      <c r="BS26" s="52">
        <v>2030</v>
      </c>
      <c r="BT26" s="52">
        <v>2031</v>
      </c>
      <c r="BU26" s="52">
        <v>2032</v>
      </c>
      <c r="BV26" s="52">
        <v>2033</v>
      </c>
      <c r="BW26" s="52">
        <v>2034</v>
      </c>
      <c r="BX26" s="52">
        <v>2035</v>
      </c>
      <c r="BY26" s="52">
        <v>2036</v>
      </c>
      <c r="BZ26" s="52">
        <v>2037</v>
      </c>
      <c r="CA26" s="52">
        <v>2038</v>
      </c>
      <c r="CB26" s="52">
        <v>2039</v>
      </c>
      <c r="CC26" s="52">
        <v>2040</v>
      </c>
      <c r="CD26" s="52">
        <v>2041</v>
      </c>
      <c r="CE26" s="52">
        <v>2042</v>
      </c>
      <c r="CF26" s="52">
        <v>2043</v>
      </c>
      <c r="CG26" s="52">
        <v>2044</v>
      </c>
      <c r="CH26" s="52">
        <v>2045</v>
      </c>
      <c r="CI26" s="52">
        <v>2046</v>
      </c>
      <c r="CJ26" s="52">
        <v>2047</v>
      </c>
      <c r="CK26" s="52">
        <v>2048</v>
      </c>
      <c r="CL26" s="52">
        <v>2049</v>
      </c>
      <c r="CM26" s="52">
        <v>2050</v>
      </c>
    </row>
    <row r="27" spans="1:91" x14ac:dyDescent="0.25">
      <c r="A27" s="52" t="s">
        <v>21</v>
      </c>
      <c r="B27" s="52">
        <f t="shared" ref="B27:BM27" si="20">SUM(B15,B16,B23)</f>
        <v>0</v>
      </c>
      <c r="C27" s="52">
        <f t="shared" si="20"/>
        <v>0</v>
      </c>
      <c r="D27" s="52">
        <f t="shared" si="20"/>
        <v>0</v>
      </c>
      <c r="E27" s="52">
        <f t="shared" si="20"/>
        <v>0</v>
      </c>
      <c r="F27" s="52">
        <f t="shared" si="20"/>
        <v>0</v>
      </c>
      <c r="G27" s="52">
        <f t="shared" si="20"/>
        <v>0</v>
      </c>
      <c r="H27" s="52">
        <f t="shared" si="20"/>
        <v>0</v>
      </c>
      <c r="I27" s="52">
        <f t="shared" si="20"/>
        <v>0</v>
      </c>
      <c r="J27" s="52">
        <f t="shared" si="20"/>
        <v>0</v>
      </c>
      <c r="K27" s="52">
        <f t="shared" si="20"/>
        <v>0</v>
      </c>
      <c r="L27" s="52">
        <f t="shared" si="20"/>
        <v>0</v>
      </c>
      <c r="M27" s="52">
        <f t="shared" si="20"/>
        <v>0</v>
      </c>
      <c r="N27" s="52">
        <f t="shared" si="20"/>
        <v>0</v>
      </c>
      <c r="O27" s="52">
        <f t="shared" si="20"/>
        <v>0</v>
      </c>
      <c r="P27" s="52">
        <f t="shared" si="20"/>
        <v>0</v>
      </c>
      <c r="Q27" s="52">
        <f t="shared" si="20"/>
        <v>0</v>
      </c>
      <c r="R27" s="52">
        <f t="shared" si="20"/>
        <v>0</v>
      </c>
      <c r="S27" s="52">
        <f t="shared" si="20"/>
        <v>0</v>
      </c>
      <c r="T27" s="52">
        <f t="shared" si="20"/>
        <v>0</v>
      </c>
      <c r="U27" s="52">
        <f t="shared" si="20"/>
        <v>0</v>
      </c>
      <c r="V27" s="52">
        <f t="shared" si="20"/>
        <v>0</v>
      </c>
      <c r="W27" s="52">
        <f t="shared" si="20"/>
        <v>0</v>
      </c>
      <c r="X27" s="52">
        <f t="shared" si="20"/>
        <v>0</v>
      </c>
      <c r="Y27" s="52">
        <f t="shared" si="20"/>
        <v>0</v>
      </c>
      <c r="Z27" s="52">
        <f t="shared" si="20"/>
        <v>0</v>
      </c>
      <c r="AA27" s="52">
        <f t="shared" si="20"/>
        <v>0</v>
      </c>
      <c r="AB27" s="52">
        <f t="shared" si="20"/>
        <v>0</v>
      </c>
      <c r="AC27" s="52">
        <f t="shared" si="20"/>
        <v>0</v>
      </c>
      <c r="AD27" s="52">
        <f t="shared" si="20"/>
        <v>0</v>
      </c>
      <c r="AE27" s="52">
        <f t="shared" si="20"/>
        <v>0</v>
      </c>
      <c r="AF27" s="52">
        <f t="shared" si="20"/>
        <v>264298.13384870189</v>
      </c>
      <c r="AG27" s="52">
        <f t="shared" si="20"/>
        <v>520633.93324715138</v>
      </c>
      <c r="AH27" s="52">
        <f t="shared" si="20"/>
        <v>769361.87263473251</v>
      </c>
      <c r="AI27" s="52">
        <f t="shared" si="20"/>
        <v>1010815.693040224</v>
      </c>
      <c r="AJ27" s="52">
        <f t="shared" si="20"/>
        <v>1245309.8961211501</v>
      </c>
      <c r="AK27" s="52">
        <f t="shared" si="20"/>
        <v>1473141.1108468894</v>
      </c>
      <c r="AL27" s="52">
        <f t="shared" si="20"/>
        <v>1694589.3453137057</v>
      </c>
      <c r="AM27" s="52">
        <f t="shared" si="20"/>
        <v>1909919.13479971</v>
      </c>
      <c r="AN27" s="52">
        <f t="shared" si="20"/>
        <v>2119380.5959568662</v>
      </c>
      <c r="AO27" s="52">
        <f t="shared" si="20"/>
        <v>2323210.3959727613</v>
      </c>
      <c r="AP27" s="52">
        <f t="shared" si="20"/>
        <v>2528030.7295535938</v>
      </c>
      <c r="AQ27" s="52">
        <f t="shared" si="20"/>
        <v>3025243.1509060082</v>
      </c>
      <c r="AR27" s="52">
        <f t="shared" si="20"/>
        <v>3914439.356290834</v>
      </c>
      <c r="AS27" s="52">
        <f t="shared" si="20"/>
        <v>4710896.3697284199</v>
      </c>
      <c r="AT27" s="52">
        <f t="shared" si="20"/>
        <v>5525197.0183615312</v>
      </c>
      <c r="AU27" s="52">
        <f t="shared" si="20"/>
        <v>7231647.8086248199</v>
      </c>
      <c r="AV27" s="52">
        <f t="shared" si="20"/>
        <v>10062408.411293173</v>
      </c>
      <c r="AW27" s="52">
        <f t="shared" si="20"/>
        <v>14004755.431666218</v>
      </c>
      <c r="AX27" s="52">
        <f t="shared" si="20"/>
        <v>14989749.552085569</v>
      </c>
      <c r="AY27" s="52">
        <f t="shared" si="20"/>
        <v>16052595.374386443</v>
      </c>
      <c r="AZ27" s="52">
        <f t="shared" si="20"/>
        <v>17105346.28058739</v>
      </c>
      <c r="BA27" s="52">
        <f t="shared" si="20"/>
        <v>18148158.904882386</v>
      </c>
      <c r="BB27" s="52">
        <f t="shared" si="20"/>
        <v>19181186.192052074</v>
      </c>
      <c r="BC27" s="52">
        <f t="shared" si="20"/>
        <v>20204577.523639631</v>
      </c>
      <c r="BD27" s="52">
        <f t="shared" si="20"/>
        <v>21218478.838245515</v>
      </c>
      <c r="BE27" s="52">
        <f t="shared" si="20"/>
        <v>22223032.746287949</v>
      </c>
      <c r="BF27" s="52">
        <f t="shared" si="20"/>
        <v>23218378.639551979</v>
      </c>
      <c r="BG27" s="52">
        <f t="shared" si="20"/>
        <v>24204652.795827199</v>
      </c>
      <c r="BH27" s="52">
        <f t="shared" si="20"/>
        <v>25181987.072291125</v>
      </c>
      <c r="BI27" s="52">
        <f t="shared" si="20"/>
        <v>27722897.613718852</v>
      </c>
      <c r="BJ27" s="52">
        <f t="shared" si="20"/>
        <v>30213917.320765853</v>
      </c>
      <c r="BK27" s="52">
        <f t="shared" si="20"/>
        <v>32655942.729002677</v>
      </c>
      <c r="BL27" s="52">
        <f t="shared" si="20"/>
        <v>35049850.946431875</v>
      </c>
      <c r="BM27" s="52">
        <f t="shared" si="20"/>
        <v>37396500.271563739</v>
      </c>
      <c r="BN27" s="52">
        <f t="shared" ref="BN27:CL27" si="21">SUM(BN15,BN16,BN23)</f>
        <v>39696730.783159316</v>
      </c>
      <c r="BO27" s="52">
        <f t="shared" si="21"/>
        <v>41951364.903280146</v>
      </c>
      <c r="BP27" s="52">
        <f t="shared" si="21"/>
        <v>44161207.935173422</v>
      </c>
      <c r="BQ27" s="52">
        <f t="shared" si="21"/>
        <v>46327048.57742016</v>
      </c>
      <c r="BR27" s="52">
        <f t="shared" si="21"/>
        <v>48449659.415679239</v>
      </c>
      <c r="BS27" s="52">
        <f t="shared" si="21"/>
        <v>50529797.393273272</v>
      </c>
      <c r="BT27" s="52">
        <f t="shared" si="21"/>
        <v>52568204.261781365</v>
      </c>
      <c r="BU27" s="52">
        <f t="shared" si="21"/>
        <v>54565607.012728721</v>
      </c>
      <c r="BV27" s="52">
        <f t="shared" si="21"/>
        <v>56522718.29139404</v>
      </c>
      <c r="BW27" s="52">
        <f t="shared" si="21"/>
        <v>58440236.793690279</v>
      </c>
      <c r="BX27" s="52">
        <f t="shared" si="21"/>
        <v>60318847.647015482</v>
      </c>
      <c r="BY27" s="52">
        <f t="shared" si="21"/>
        <v>62159222.775913559</v>
      </c>
      <c r="BZ27" s="52">
        <f t="shared" si="21"/>
        <v>63962021.253333978</v>
      </c>
      <c r="CA27" s="52">
        <f t="shared" si="21"/>
        <v>65727889.638230376</v>
      </c>
      <c r="CB27" s="52">
        <f t="shared" si="21"/>
        <v>67457462.30019404</v>
      </c>
      <c r="CC27" s="52">
        <f t="shared" si="21"/>
        <v>69151361.731775209</v>
      </c>
      <c r="CD27" s="52">
        <f t="shared" si="21"/>
        <v>70810198.849107534</v>
      </c>
      <c r="CE27" s="52">
        <f t="shared" si="21"/>
        <v>72434573.281413376</v>
      </c>
      <c r="CF27" s="52">
        <f t="shared" si="21"/>
        <v>74025073.6499345</v>
      </c>
      <c r="CG27" s="52">
        <f t="shared" si="21"/>
        <v>75582277.836800873</v>
      </c>
      <c r="CH27" s="52">
        <f t="shared" si="21"/>
        <v>77106753.244320154</v>
      </c>
      <c r="CI27" s="52">
        <f t="shared" si="21"/>
        <v>78599057.045143902</v>
      </c>
      <c r="CJ27" s="52">
        <f t="shared" si="21"/>
        <v>80059736.423739135</v>
      </c>
      <c r="CK27" s="52">
        <f t="shared" si="21"/>
        <v>81489328.809571177</v>
      </c>
      <c r="CL27" s="52">
        <f t="shared" si="21"/>
        <v>82888362.102379844</v>
      </c>
      <c r="CM27" s="52">
        <f>SUM(CM15,CM16,CM23)</f>
        <v>84257354.889910609</v>
      </c>
    </row>
    <row r="28" spans="1:91" x14ac:dyDescent="0.25">
      <c r="A28" s="52" t="s">
        <v>22</v>
      </c>
      <c r="B28" s="52">
        <f t="shared" ref="B28:BM28" si="22">SUM(B17:B22,B24)</f>
        <v>0</v>
      </c>
      <c r="C28" s="52">
        <f t="shared" si="22"/>
        <v>0</v>
      </c>
      <c r="D28" s="52">
        <f t="shared" si="22"/>
        <v>0</v>
      </c>
      <c r="E28" s="52">
        <f t="shared" si="22"/>
        <v>0</v>
      </c>
      <c r="F28" s="52">
        <f t="shared" si="22"/>
        <v>0</v>
      </c>
      <c r="G28" s="52">
        <f t="shared" si="22"/>
        <v>0</v>
      </c>
      <c r="H28" s="52">
        <f t="shared" si="22"/>
        <v>0</v>
      </c>
      <c r="I28" s="52">
        <f t="shared" si="22"/>
        <v>0</v>
      </c>
      <c r="J28" s="52">
        <f t="shared" si="22"/>
        <v>0</v>
      </c>
      <c r="K28" s="52">
        <f t="shared" si="22"/>
        <v>0</v>
      </c>
      <c r="L28" s="52">
        <f t="shared" si="22"/>
        <v>0</v>
      </c>
      <c r="M28" s="52">
        <f t="shared" si="22"/>
        <v>0</v>
      </c>
      <c r="N28" s="52">
        <f t="shared" si="22"/>
        <v>0</v>
      </c>
      <c r="O28" s="52">
        <f t="shared" si="22"/>
        <v>0</v>
      </c>
      <c r="P28" s="52">
        <f t="shared" si="22"/>
        <v>0</v>
      </c>
      <c r="Q28" s="52">
        <f t="shared" si="22"/>
        <v>0</v>
      </c>
      <c r="R28" s="52">
        <f t="shared" si="22"/>
        <v>0</v>
      </c>
      <c r="S28" s="52">
        <f t="shared" si="22"/>
        <v>0</v>
      </c>
      <c r="T28" s="52">
        <f t="shared" si="22"/>
        <v>0</v>
      </c>
      <c r="U28" s="52">
        <f t="shared" si="22"/>
        <v>0</v>
      </c>
      <c r="V28" s="52">
        <f t="shared" si="22"/>
        <v>0</v>
      </c>
      <c r="W28" s="52">
        <f t="shared" si="22"/>
        <v>0</v>
      </c>
      <c r="X28" s="52">
        <f t="shared" si="22"/>
        <v>0</v>
      </c>
      <c r="Y28" s="52">
        <f t="shared" si="22"/>
        <v>0</v>
      </c>
      <c r="Z28" s="52">
        <f t="shared" si="22"/>
        <v>0</v>
      </c>
      <c r="AA28" s="52">
        <f t="shared" si="22"/>
        <v>0</v>
      </c>
      <c r="AB28" s="52">
        <f t="shared" si="22"/>
        <v>0</v>
      </c>
      <c r="AC28" s="52">
        <f t="shared" si="22"/>
        <v>0</v>
      </c>
      <c r="AD28" s="52">
        <f t="shared" si="22"/>
        <v>0</v>
      </c>
      <c r="AE28" s="52">
        <f t="shared" si="22"/>
        <v>0</v>
      </c>
      <c r="AF28" s="52">
        <f t="shared" si="22"/>
        <v>778374.70567275002</v>
      </c>
      <c r="AG28" s="52">
        <f t="shared" si="22"/>
        <v>1535022.1093097155</v>
      </c>
      <c r="AH28" s="52">
        <f t="shared" si="22"/>
        <v>2270889.154513876</v>
      </c>
      <c r="AI28" s="52">
        <f t="shared" si="22"/>
        <v>2986866.5307719884</v>
      </c>
      <c r="AJ28" s="52">
        <f t="shared" si="22"/>
        <v>3683792.8982335599</v>
      </c>
      <c r="AK28" s="52">
        <f t="shared" si="22"/>
        <v>4362458.7303994726</v>
      </c>
      <c r="AL28" s="52">
        <f t="shared" si="22"/>
        <v>5023609.8149621096</v>
      </c>
      <c r="AM28" s="52">
        <f t="shared" si="22"/>
        <v>5667950.4482213622</v>
      </c>
      <c r="AN28" s="52">
        <f t="shared" si="22"/>
        <v>6296146.3543270566</v>
      </c>
      <c r="AO28" s="52">
        <f t="shared" si="22"/>
        <v>6908827.3569737086</v>
      </c>
      <c r="AP28" s="52">
        <f t="shared" si="22"/>
        <v>7515181.8335191449</v>
      </c>
      <c r="AQ28" s="52">
        <f t="shared" si="22"/>
        <v>8613695.5486764461</v>
      </c>
      <c r="AR28" s="52">
        <f t="shared" si="22"/>
        <v>10091710.215177305</v>
      </c>
      <c r="AS28" s="52">
        <f t="shared" si="22"/>
        <v>10296365.485343222</v>
      </c>
      <c r="AT28" s="52">
        <f t="shared" si="22"/>
        <v>12914628.496858951</v>
      </c>
      <c r="AU28" s="52">
        <f t="shared" si="22"/>
        <v>17405074.823177025</v>
      </c>
      <c r="AV28" s="52">
        <f t="shared" si="22"/>
        <v>22085449.70506895</v>
      </c>
      <c r="AW28" s="52">
        <f t="shared" si="22"/>
        <v>28488573.549461856</v>
      </c>
      <c r="AX28" s="52">
        <f t="shared" si="22"/>
        <v>35581088.29499279</v>
      </c>
      <c r="AY28" s="52">
        <f t="shared" si="22"/>
        <v>40062127.00281693</v>
      </c>
      <c r="AZ28" s="52">
        <f t="shared" si="22"/>
        <v>44462577.950583547</v>
      </c>
      <c r="BA28" s="52">
        <f t="shared" si="22"/>
        <v>48784631.739637792</v>
      </c>
      <c r="BB28" s="52">
        <f t="shared" si="22"/>
        <v>53030399.367209017</v>
      </c>
      <c r="BC28" s="52">
        <f t="shared" si="22"/>
        <v>57201915.846381441</v>
      </c>
      <c r="BD28" s="52">
        <f t="shared" si="22"/>
        <v>61301143.628565356</v>
      </c>
      <c r="BE28" s="52">
        <f t="shared" si="22"/>
        <v>65329975.841022998</v>
      </c>
      <c r="BF28" s="52">
        <f t="shared" si="22"/>
        <v>69290239.351093575</v>
      </c>
      <c r="BG28" s="52">
        <f t="shared" si="22"/>
        <v>73183697.667925835</v>
      </c>
      <c r="BH28" s="52">
        <f t="shared" si="22"/>
        <v>77012045.219639331</v>
      </c>
      <c r="BI28" s="52">
        <f t="shared" si="22"/>
        <v>101528472.96242721</v>
      </c>
      <c r="BJ28" s="52">
        <f t="shared" si="22"/>
        <v>122851592.28334096</v>
      </c>
      <c r="BK28" s="52">
        <f t="shared" si="22"/>
        <v>143794570.62429976</v>
      </c>
      <c r="BL28" s="52">
        <f t="shared" si="22"/>
        <v>164367054.85666654</v>
      </c>
      <c r="BM28" s="52">
        <f t="shared" si="22"/>
        <v>184578366.62866968</v>
      </c>
      <c r="BN28" s="52">
        <f t="shared" ref="BN28:CL28" si="23">SUM(BN17:BN22,BN24)</f>
        <v>204437516.16394019</v>
      </c>
      <c r="BO28" s="52">
        <f t="shared" si="23"/>
        <v>223953215.35754138</v>
      </c>
      <c r="BP28" s="52">
        <f t="shared" si="23"/>
        <v>243133890.2109828</v>
      </c>
      <c r="BQ28" s="52">
        <f t="shared" si="23"/>
        <v>261987692.6449317</v>
      </c>
      <c r="BR28" s="52">
        <f t="shared" si="23"/>
        <v>280522511.72576308</v>
      </c>
      <c r="BS28" s="52">
        <f t="shared" si="23"/>
        <v>298745984.33970988</v>
      </c>
      <c r="BT28" s="52">
        <f t="shared" si="23"/>
        <v>316665505.34616733</v>
      </c>
      <c r="BU28" s="52">
        <f t="shared" si="23"/>
        <v>334288237.23966336</v>
      </c>
      <c r="BV28" s="52">
        <f t="shared" si="23"/>
        <v>351621119.34810567</v>
      </c>
      <c r="BW28" s="52">
        <f t="shared" si="23"/>
        <v>368670876.59316033</v>
      </c>
      <c r="BX28" s="52">
        <f t="shared" si="23"/>
        <v>385444027.83697653</v>
      </c>
      <c r="BY28" s="52">
        <f t="shared" si="23"/>
        <v>401946893.83795393</v>
      </c>
      <c r="BZ28" s="52">
        <f t="shared" si="23"/>
        <v>418185604.83683813</v>
      </c>
      <c r="CA28" s="52">
        <f t="shared" si="23"/>
        <v>434166107.79310703</v>
      </c>
      <c r="CB28" s="52">
        <f t="shared" si="23"/>
        <v>449894173.29039776</v>
      </c>
      <c r="CC28" s="52">
        <f t="shared" si="23"/>
        <v>465375402.12857032</v>
      </c>
      <c r="CD28" s="52">
        <f t="shared" si="23"/>
        <v>480615231.61895174</v>
      </c>
      <c r="CE28" s="52">
        <f t="shared" si="23"/>
        <v>495618941.59830558</v>
      </c>
      <c r="CF28" s="52">
        <f t="shared" si="23"/>
        <v>510391660.17615354</v>
      </c>
      <c r="CG28" s="52">
        <f t="shared" si="23"/>
        <v>524938369.22920406</v>
      </c>
      <c r="CH28" s="52">
        <f t="shared" si="23"/>
        <v>539263909.6558429</v>
      </c>
      <c r="CI28" s="52">
        <f t="shared" si="23"/>
        <v>553372986.40288544</v>
      </c>
      <c r="CJ28" s="52">
        <f t="shared" si="23"/>
        <v>567270173.27608275</v>
      </c>
      <c r="CK28" s="52">
        <f t="shared" si="23"/>
        <v>580959917.54521799</v>
      </c>
      <c r="CL28" s="52">
        <f t="shared" si="23"/>
        <v>594446544.35400867</v>
      </c>
      <c r="CM28" s="52">
        <f>SUM(CM17:CM22,CM24)</f>
        <v>607734260.94445908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activeCell="E16" sqref="E16"/>
    </sheetView>
  </sheetViews>
  <sheetFormatPr defaultRowHeight="15" x14ac:dyDescent="0.25"/>
  <cols>
    <col min="2" max="2" width="9.85546875" bestFit="1" customWidth="1"/>
    <col min="5" max="5" width="19.5703125" bestFit="1" customWidth="1"/>
    <col min="6" max="6" width="11.28515625" bestFit="1" customWidth="1"/>
  </cols>
  <sheetData>
    <row r="1" spans="1:6" x14ac:dyDescent="0.25">
      <c r="A1" s="50"/>
      <c r="B1" s="50"/>
      <c r="C1" s="50" t="s">
        <v>68</v>
      </c>
      <c r="D1" s="50" t="s">
        <v>36</v>
      </c>
      <c r="E1" s="50" t="s">
        <v>69</v>
      </c>
      <c r="F1" s="50" t="s">
        <v>58</v>
      </c>
    </row>
    <row r="2" spans="1:6" x14ac:dyDescent="0.25">
      <c r="A2" s="50" t="s">
        <v>38</v>
      </c>
      <c r="B2" s="50" t="s">
        <v>70</v>
      </c>
      <c r="C2" s="49">
        <f>'RUN SPECS'!I8/1000000</f>
        <v>160.40880000000001</v>
      </c>
      <c r="D2" s="49">
        <f>'RUN SPECS'!J8/1000000</f>
        <v>265.02019999999999</v>
      </c>
      <c r="E2" s="49">
        <f>'RUN SPECS'!K8/1000000</f>
        <v>297.10700000000003</v>
      </c>
      <c r="F2" s="49">
        <f>'RUN SPECS'!L8/1000000</f>
        <v>19.190000000000001</v>
      </c>
    </row>
    <row r="3" spans="1:6" x14ac:dyDescent="0.25">
      <c r="A3" s="50" t="s">
        <v>71</v>
      </c>
      <c r="B3" s="50" t="s">
        <v>70</v>
      </c>
      <c r="C3" s="49">
        <f>'RUN SPECS'!I29/1000000</f>
        <v>1320.710315</v>
      </c>
      <c r="D3" s="49">
        <f>'RUN SPECS'!J29/1000000</f>
        <v>3044.0605409999998</v>
      </c>
      <c r="E3" s="49">
        <f>'RUN SPECS'!K29/1000000</f>
        <v>3868.0574299999998</v>
      </c>
      <c r="F3" s="49">
        <f>'RUN SPECS'!L29/1000000</f>
        <v>414.8</v>
      </c>
    </row>
    <row r="4" spans="1:6" x14ac:dyDescent="0.25">
      <c r="A4" s="50" t="s">
        <v>72</v>
      </c>
      <c r="B4" s="50" t="s">
        <v>70</v>
      </c>
      <c r="C4" s="51">
        <f>SUM(C2:C3)</f>
        <v>1481.119115</v>
      </c>
      <c r="D4" s="51">
        <f>SUM(D2:D3)</f>
        <v>3309.0807409999998</v>
      </c>
      <c r="E4" s="51">
        <f>SUM(E2:E3)</f>
        <v>4165.1644299999998</v>
      </c>
      <c r="F4" s="51">
        <f>SUM(F2:F3)</f>
        <v>433.99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70"/>
  <sheetViews>
    <sheetView topLeftCell="BB1" workbookViewId="0">
      <selection activeCell="BU18" sqref="BU18"/>
    </sheetView>
  </sheetViews>
  <sheetFormatPr defaultRowHeight="15" x14ac:dyDescent="0.25"/>
  <cols>
    <col min="1" max="1" width="8.42578125" bestFit="1" customWidth="1"/>
    <col min="2" max="2" width="26.140625" style="54" bestFit="1" customWidth="1"/>
    <col min="3" max="3" width="15.7109375" bestFit="1" customWidth="1"/>
    <col min="4" max="4" width="12" bestFit="1" customWidth="1"/>
    <col min="21" max="22" width="12" bestFit="1" customWidth="1"/>
    <col min="33" max="33" width="12" bestFit="1" customWidth="1"/>
    <col min="65" max="65" width="8.42578125" bestFit="1" customWidth="1"/>
    <col min="66" max="66" width="26.140625" bestFit="1" customWidth="1"/>
    <col min="67" max="73" width="5" bestFit="1" customWidth="1"/>
    <col min="75" max="75" width="10" style="54" bestFit="1" customWidth="1"/>
  </cols>
  <sheetData>
    <row r="1" spans="1:78" x14ac:dyDescent="0.25">
      <c r="A1" s="52" t="s">
        <v>93</v>
      </c>
      <c r="B1" s="54" t="s">
        <v>94</v>
      </c>
      <c r="C1" s="52" t="s">
        <v>73</v>
      </c>
      <c r="D1" s="52">
        <v>1991</v>
      </c>
      <c r="E1" s="52">
        <v>1992</v>
      </c>
      <c r="F1" s="52">
        <v>1993</v>
      </c>
      <c r="G1" s="52">
        <v>1994</v>
      </c>
      <c r="H1" s="52">
        <v>1995</v>
      </c>
      <c r="I1" s="52">
        <v>1996</v>
      </c>
      <c r="J1" s="52">
        <v>1997</v>
      </c>
      <c r="K1" s="52">
        <v>1998</v>
      </c>
      <c r="L1" s="52">
        <v>1999</v>
      </c>
      <c r="M1" s="52">
        <v>2000</v>
      </c>
      <c r="N1" s="52">
        <v>2001</v>
      </c>
      <c r="O1" s="52">
        <v>2002</v>
      </c>
      <c r="P1" s="52">
        <v>2003</v>
      </c>
      <c r="Q1" s="52">
        <v>2004</v>
      </c>
      <c r="R1" s="52">
        <v>2005</v>
      </c>
      <c r="S1" s="52">
        <v>2006</v>
      </c>
      <c r="T1" s="52">
        <v>2007</v>
      </c>
      <c r="U1" s="52">
        <v>2008</v>
      </c>
      <c r="V1" s="52">
        <v>2009</v>
      </c>
      <c r="W1" s="52">
        <v>2010</v>
      </c>
      <c r="X1" s="52">
        <v>2011</v>
      </c>
      <c r="Y1" s="52">
        <v>2012</v>
      </c>
      <c r="Z1" s="52">
        <v>2013</v>
      </c>
      <c r="AA1" s="52">
        <v>2014</v>
      </c>
      <c r="AB1" s="52">
        <v>2015</v>
      </c>
      <c r="AC1" s="52">
        <v>2016</v>
      </c>
      <c r="AD1" s="52">
        <v>2017</v>
      </c>
      <c r="AE1" s="52">
        <v>2018</v>
      </c>
      <c r="AF1" s="52">
        <v>2019</v>
      </c>
      <c r="AG1" s="52">
        <v>2020</v>
      </c>
      <c r="AH1" s="52">
        <v>2021</v>
      </c>
      <c r="AI1" s="52">
        <v>2022</v>
      </c>
      <c r="AJ1" s="52">
        <v>2023</v>
      </c>
      <c r="AK1" s="52">
        <v>2024</v>
      </c>
      <c r="AL1" s="52">
        <v>2025</v>
      </c>
      <c r="AM1" s="52">
        <v>2026</v>
      </c>
      <c r="AN1" s="52">
        <v>2027</v>
      </c>
      <c r="AO1" s="52">
        <v>2028</v>
      </c>
      <c r="AP1" s="52">
        <v>2029</v>
      </c>
      <c r="AQ1" s="52">
        <v>2030</v>
      </c>
      <c r="AR1" s="52">
        <v>2031</v>
      </c>
      <c r="AS1" s="52">
        <v>2032</v>
      </c>
      <c r="AT1" s="52">
        <v>2033</v>
      </c>
      <c r="AU1" s="52">
        <v>2034</v>
      </c>
      <c r="AV1" s="52">
        <v>2035</v>
      </c>
      <c r="AW1" s="52">
        <v>2036</v>
      </c>
      <c r="AX1" s="52">
        <v>2037</v>
      </c>
      <c r="AY1" s="52">
        <v>2038</v>
      </c>
      <c r="AZ1" s="52">
        <v>2039</v>
      </c>
      <c r="BA1" s="52">
        <v>2040</v>
      </c>
      <c r="BB1" s="52">
        <v>2041</v>
      </c>
      <c r="BC1" s="52">
        <v>2042</v>
      </c>
      <c r="BD1" s="52">
        <v>2043</v>
      </c>
      <c r="BE1" s="52">
        <v>2044</v>
      </c>
      <c r="BF1" s="52">
        <v>2045</v>
      </c>
      <c r="BG1" s="52">
        <v>2046</v>
      </c>
      <c r="BH1" s="52">
        <v>2047</v>
      </c>
      <c r="BI1" s="52">
        <v>2048</v>
      </c>
      <c r="BJ1" s="52">
        <v>2049</v>
      </c>
      <c r="BK1" s="52">
        <v>2050</v>
      </c>
      <c r="BM1" s="60" t="s">
        <v>93</v>
      </c>
      <c r="BN1" s="60" t="s">
        <v>94</v>
      </c>
      <c r="BO1" s="60">
        <v>1991</v>
      </c>
      <c r="BP1" s="60">
        <v>2000</v>
      </c>
      <c r="BQ1" s="60">
        <v>2010</v>
      </c>
      <c r="BR1" s="60">
        <v>2020</v>
      </c>
      <c r="BS1" s="60">
        <v>2030</v>
      </c>
      <c r="BT1" s="60">
        <v>2040</v>
      </c>
      <c r="BU1" s="60">
        <v>2050</v>
      </c>
      <c r="BV1" s="54" t="s">
        <v>135</v>
      </c>
      <c r="BW1" s="54" t="s">
        <v>138</v>
      </c>
      <c r="BX1" s="54" t="s">
        <v>134</v>
      </c>
    </row>
    <row r="2" spans="1:78" x14ac:dyDescent="0.25">
      <c r="A2" s="52" t="s">
        <v>71</v>
      </c>
      <c r="B2" s="54" t="s">
        <v>96</v>
      </c>
      <c r="C2" s="52" t="s">
        <v>92</v>
      </c>
      <c r="D2" s="53">
        <f>'LUC-2012-08-10-Run1'!AF2</f>
        <v>1.0508415631190336E-5</v>
      </c>
      <c r="E2" s="53">
        <f>'LUC-2012-08-10-Run1'!AG2</f>
        <v>1.0527618537027347E-5</v>
      </c>
      <c r="F2" s="53">
        <f>'LUC-2012-08-10-Run1'!AH2</f>
        <v>1.0524144816427411E-5</v>
      </c>
      <c r="G2" s="53">
        <f>'LUC-2012-08-10-Run1'!AI2</f>
        <v>1.0522462802637258E-5</v>
      </c>
      <c r="H2" s="53">
        <f>'LUC-2012-08-10-Run1'!AJ2</f>
        <v>1.05226809524005E-5</v>
      </c>
      <c r="I2" s="53">
        <f>'LUC-2012-08-10-Run1'!AK2</f>
        <v>1.0524797835739828E-5</v>
      </c>
      <c r="J2" s="53">
        <f>'LUC-2012-08-10-Run1'!AL2</f>
        <v>1.0528848568531622E-5</v>
      </c>
      <c r="K2" s="53">
        <f>'LUC-2012-08-10-Run1'!AM2</f>
        <v>1.0535257891350468E-5</v>
      </c>
      <c r="L2" s="53">
        <f>'LUC-2012-08-10-Run1'!AN2</f>
        <v>1.0544407835154982E-5</v>
      </c>
      <c r="M2" s="53">
        <f>'LUC-2012-08-10-Run1'!AO2</f>
        <v>1.0556611219831291E-5</v>
      </c>
      <c r="N2" s="53">
        <f>'LUC-2012-08-10-Run1'!AP2</f>
        <v>1.0571844928448045E-5</v>
      </c>
      <c r="O2" s="53">
        <f>'LUC-2012-08-10-Run1'!AQ2</f>
        <v>1.0589980349233616E-5</v>
      </c>
      <c r="P2" s="53">
        <f>'LUC-2012-08-10-Run1'!AR2</f>
        <v>1.0610719107102551E-5</v>
      </c>
      <c r="Q2" s="53">
        <f>'LUC-2012-08-10-Run1'!AS2</f>
        <v>1.0633798162037924E-5</v>
      </c>
      <c r="R2" s="53">
        <f>'LUC-2012-08-10-Run1'!AT2</f>
        <v>1.0658934712118934E-5</v>
      </c>
      <c r="S2" s="53">
        <f>'LUC-2012-08-10-Run1'!AU2</f>
        <v>1.0686103454816139E-5</v>
      </c>
      <c r="T2" s="53">
        <f>'LUC-2012-08-10-Run1'!AV2</f>
        <v>1.0706788216627059E-5</v>
      </c>
      <c r="U2" s="53">
        <f>'LUC-2012-08-10-Run1'!AW2</f>
        <v>1.0728456082251589E-5</v>
      </c>
      <c r="V2" s="53">
        <f>'LUC-2012-08-10-Run1'!AX2</f>
        <v>1.0751065831749288E-5</v>
      </c>
      <c r="W2" s="53">
        <f>'LUC-2012-08-10-Run1'!AY2</f>
        <v>1.0774563840598372E-5</v>
      </c>
      <c r="X2" s="53">
        <f>'LUC-2012-08-10-Run1'!AZ2</f>
        <v>1.0798960435799681E-5</v>
      </c>
      <c r="Y2" s="53">
        <f>'LUC-2012-08-10-Run1'!BA2</f>
        <v>1.0824295861764934E-5</v>
      </c>
      <c r="Z2" s="53">
        <f>'LUC-2012-08-10-Run1'!BB2</f>
        <v>1.0850592739258354E-5</v>
      </c>
      <c r="AA2" s="53">
        <f>'LUC-2012-08-10-Run1'!BC2</f>
        <v>1.087794097409725E-5</v>
      </c>
      <c r="AB2" s="53">
        <f>'LUC-2012-08-10-Run1'!BD2</f>
        <v>1.0906365789103285E-5</v>
      </c>
      <c r="AC2" s="53">
        <f>'LUC-2012-08-10-Run1'!BE2</f>
        <v>1.0935892652571851E-5</v>
      </c>
      <c r="AD2" s="53">
        <f>'LUC-2012-08-10-Run1'!BF2</f>
        <v>1.0966502632073501E-5</v>
      </c>
      <c r="AE2" s="53">
        <f>'LUC-2012-08-10-Run1'!BG2</f>
        <v>1.0998165758669703E-5</v>
      </c>
      <c r="AF2" s="53">
        <f>'LUC-2012-08-10-Run1'!BH2</f>
        <v>1.1030890589946637E-5</v>
      </c>
      <c r="AG2" s="53">
        <f>'LUC-2012-08-10-Run1'!BI2</f>
        <v>1.1064614208349465E-5</v>
      </c>
      <c r="AH2" s="53">
        <f>'LUC-2012-08-10-Run1'!BJ2</f>
        <v>1.1099352516874274E-5</v>
      </c>
      <c r="AI2" s="53">
        <f>'LUC-2012-08-10-Run1'!BK2</f>
        <v>1.1135071273339653E-5</v>
      </c>
      <c r="AJ2" s="53">
        <f>'LUC-2012-08-10-Run1'!BL2</f>
        <v>1.1171768757387381E-5</v>
      </c>
      <c r="AK2" s="53">
        <f>'LUC-2012-08-10-Run1'!BM2</f>
        <v>1.1209435882853366E-5</v>
      </c>
      <c r="AL2" s="53">
        <f>'LUC-2012-08-10-Run1'!BN2</f>
        <v>1.1248082102841903E-5</v>
      </c>
      <c r="AM2" s="53">
        <f>'LUC-2012-08-10-Run1'!BO2</f>
        <v>1.1287650747779458E-5</v>
      </c>
      <c r="AN2" s="53">
        <f>'LUC-2012-08-10-Run1'!BP2</f>
        <v>1.1328155361841512E-5</v>
      </c>
      <c r="AO2" s="53">
        <f>'LUC-2012-08-10-Run1'!BQ2</f>
        <v>1.1369577202897563E-5</v>
      </c>
      <c r="AP2" s="53">
        <f>'LUC-2012-08-10-Run1'!BR2</f>
        <v>1.14119698203685E-5</v>
      </c>
      <c r="AQ2" s="53">
        <f>'LUC-2012-08-10-Run1'!BS2</f>
        <v>1.1455315468409502E-5</v>
      </c>
      <c r="AR2" s="53">
        <f>'LUC-2012-08-10-Run1'!BT2</f>
        <v>1.149961791242872E-5</v>
      </c>
      <c r="AS2" s="53">
        <f>'LUC-2012-08-10-Run1'!BU2</f>
        <v>1.1544883091286491E-5</v>
      </c>
      <c r="AT2" s="53">
        <f>'LUC-2012-08-10-Run1'!BV2</f>
        <v>1.1591014547387159E-5</v>
      </c>
      <c r="AU2" s="53">
        <f>'LUC-2012-08-10-Run1'!BW2</f>
        <v>1.1637937189213889E-5</v>
      </c>
      <c r="AV2" s="53">
        <f>'LUC-2012-08-10-Run1'!BX2</f>
        <v>1.1685595032168294E-5</v>
      </c>
      <c r="AW2" s="53">
        <f>'LUC-2012-08-10-Run1'!BY2</f>
        <v>1.1733977016655489E-5</v>
      </c>
      <c r="AX2" s="53">
        <f>'LUC-2012-08-10-Run1'!BZ2</f>
        <v>1.1783073058060966E-5</v>
      </c>
      <c r="AY2" s="53">
        <f>'LUC-2012-08-10-Run1'!CA2</f>
        <v>1.1832927264751691E-5</v>
      </c>
      <c r="AZ2" s="53">
        <f>'LUC-2012-08-10-Run1'!CB2</f>
        <v>1.1883595175689448E-5</v>
      </c>
      <c r="BA2" s="53">
        <f>'LUC-2012-08-10-Run1'!CC2</f>
        <v>1.1935118009080345E-5</v>
      </c>
      <c r="BB2" s="53">
        <f>'LUC-2012-08-10-Run1'!CD2</f>
        <v>1.1987488987436226E-5</v>
      </c>
      <c r="BC2" s="53">
        <f>'LUC-2012-08-10-Run1'!CE2</f>
        <v>1.204072754074284E-5</v>
      </c>
      <c r="BD2" s="53">
        <f>'LUC-2012-08-10-Run1'!CF2</f>
        <v>1.2094807145257598E-5</v>
      </c>
      <c r="BE2" s="53">
        <f>'LUC-2012-08-10-Run1'!CG2</f>
        <v>1.2149716763064159E-5</v>
      </c>
      <c r="BF2" s="53">
        <f>'LUC-2012-08-10-Run1'!CH2</f>
        <v>1.2205477055080803E-5</v>
      </c>
      <c r="BG2" s="53">
        <f>'LUC-2012-08-10-Run1'!CI2</f>
        <v>1.2262068474249293E-5</v>
      </c>
      <c r="BH2" s="53">
        <f>'LUC-2012-08-10-Run1'!CJ2</f>
        <v>1.2319520822137554E-5</v>
      </c>
      <c r="BI2" s="53">
        <f>'LUC-2012-08-10-Run1'!CK2</f>
        <v>1.237786806722634E-5</v>
      </c>
      <c r="BJ2" s="53">
        <f>'LUC-2012-08-10-Run1'!CL2</f>
        <v>1.2437151013296541E-5</v>
      </c>
      <c r="BK2" s="53">
        <f>'LUC-2012-08-10-Run1'!CM2</f>
        <v>1.2497422526767769E-5</v>
      </c>
      <c r="BM2" s="106" t="s">
        <v>71</v>
      </c>
      <c r="BN2" s="54" t="s">
        <v>96</v>
      </c>
      <c r="BO2" s="68">
        <f>D2*1000000</f>
        <v>10.508415631190337</v>
      </c>
      <c r="BP2" s="68">
        <f t="shared" ref="BP2:BP12" si="0">M2*1000000</f>
        <v>10.556611219831291</v>
      </c>
      <c r="BQ2" s="68">
        <f t="shared" ref="BQ2:BQ12" si="1">W2*1000000</f>
        <v>10.774563840598372</v>
      </c>
      <c r="BR2" s="68">
        <f t="shared" ref="BR2:BR12" si="2">AG2*1000000</f>
        <v>11.064614208349465</v>
      </c>
      <c r="BS2" s="68">
        <f t="shared" ref="BS2:BS12" si="3">AQ2*1000000</f>
        <v>11.455315468409502</v>
      </c>
      <c r="BT2" s="68">
        <f t="shared" ref="BT2:BT12" si="4">BA2*1000000</f>
        <v>11.935118009080345</v>
      </c>
      <c r="BU2" s="68">
        <f t="shared" ref="BU2:BU12" si="5">BK2*1000000</f>
        <v>12.497422526767769</v>
      </c>
      <c r="BV2" s="51">
        <f>SUM(M2:M5)*1000000</f>
        <v>108.18871139589582</v>
      </c>
      <c r="BW2" s="51">
        <f>SUM(BU2:BU5)</f>
        <v>141.3925712411785</v>
      </c>
      <c r="BX2" s="100">
        <f t="shared" ref="BX2:BX12" si="6">(BK2-R2)/R2</f>
        <v>0.17248326069194531</v>
      </c>
    </row>
    <row r="3" spans="1:78" x14ac:dyDescent="0.25">
      <c r="A3" s="54" t="s">
        <v>71</v>
      </c>
      <c r="B3" s="54" t="s">
        <v>97</v>
      </c>
      <c r="C3" s="52" t="s">
        <v>92</v>
      </c>
      <c r="D3" s="53">
        <f>'LUC-2012-08-10-Run1'!AF3</f>
        <v>7.0000430409191978E-5</v>
      </c>
      <c r="E3" s="53">
        <f>'LUC-2012-08-10-Run1'!AG3</f>
        <v>7.0630961246729871E-5</v>
      </c>
      <c r="F3" s="53">
        <f>'LUC-2012-08-10-Run1'!AH3</f>
        <v>7.1066274150239037E-5</v>
      </c>
      <c r="G3" s="53">
        <f>'LUC-2012-08-10-Run1'!AI3</f>
        <v>7.150778011594632E-5</v>
      </c>
      <c r="H3" s="53">
        <f>'LUC-2012-08-10-Run1'!AJ3</f>
        <v>7.1952944698856812E-5</v>
      </c>
      <c r="I3" s="53">
        <f>'LUC-2012-08-10-Run1'!AK3</f>
        <v>7.2400861735737981E-5</v>
      </c>
      <c r="J3" s="53">
        <f>'LUC-2012-08-10-Run1'!AL3</f>
        <v>7.285284622485931E-5</v>
      </c>
      <c r="K3" s="53">
        <f>'LUC-2012-08-10-Run1'!AM3</f>
        <v>7.3313273932656012E-5</v>
      </c>
      <c r="L3" s="53">
        <f>'LUC-2012-08-10-Run1'!AN3</f>
        <v>7.3787111123243884E-5</v>
      </c>
      <c r="M3" s="53">
        <f>'LUC-2012-08-10-Run1'!AO3</f>
        <v>7.4277957562576602E-5</v>
      </c>
      <c r="N3" s="53">
        <f>'LUC-2012-08-10-Run1'!AP3</f>
        <v>7.478586235260993E-5</v>
      </c>
      <c r="O3" s="53">
        <f>'LUC-2012-08-10-Run1'!AQ3</f>
        <v>7.5308758342790844E-5</v>
      </c>
      <c r="P3" s="53">
        <f>'LUC-2012-08-10-Run1'!AR3</f>
        <v>7.5842609785929511E-5</v>
      </c>
      <c r="Q3" s="53">
        <f>'LUC-2012-08-10-Run1'!AS3</f>
        <v>7.6383079700261544E-5</v>
      </c>
      <c r="R3" s="53">
        <f>'LUC-2012-08-10-Run1'!AT3</f>
        <v>7.6926134271035562E-5</v>
      </c>
      <c r="S3" s="53">
        <f>'LUC-2012-08-10-Run1'!AU3</f>
        <v>7.74708096795645E-5</v>
      </c>
      <c r="T3" s="53">
        <f>'LUC-2012-08-10-Run1'!AV3</f>
        <v>7.7835708482740454E-5</v>
      </c>
      <c r="U3" s="53">
        <f>'LUC-2012-08-10-Run1'!AW3</f>
        <v>7.8201471463656532E-5</v>
      </c>
      <c r="V3" s="53">
        <f>'LUC-2012-08-10-Run1'!AX3</f>
        <v>7.8567368679820893E-5</v>
      </c>
      <c r="W3" s="53">
        <f>'LUC-2012-08-10-Run1'!AY3</f>
        <v>7.8932911450597094E-5</v>
      </c>
      <c r="X3" s="53">
        <f>'LUC-2012-08-10-Run1'!AZ3</f>
        <v>7.9297852098800776E-5</v>
      </c>
      <c r="Y3" s="53">
        <f>'LUC-2012-08-10-Run1'!BA3</f>
        <v>7.9662257933066125E-5</v>
      </c>
      <c r="Z3" s="53">
        <f>'LUC-2012-08-10-Run1'!BB3</f>
        <v>8.0026718781396811E-5</v>
      </c>
      <c r="AA3" s="53">
        <f>'LUC-2012-08-10-Run1'!BC3</f>
        <v>8.0392479033655488E-5</v>
      </c>
      <c r="AB3" s="53">
        <f>'LUC-2012-08-10-Run1'!BD3</f>
        <v>8.0760241330582992E-5</v>
      </c>
      <c r="AC3" s="53">
        <f>'LUC-2012-08-10-Run1'!BE3</f>
        <v>8.1130206649503354E-5</v>
      </c>
      <c r="AD3" s="53">
        <f>'LUC-2012-08-10-Run1'!BF3</f>
        <v>8.1502220208843951E-5</v>
      </c>
      <c r="AE3" s="53">
        <f>'LUC-2012-08-10-Run1'!BG3</f>
        <v>8.1876586623157236E-5</v>
      </c>
      <c r="AF3" s="53">
        <f>'LUC-2012-08-10-Run1'!BH3</f>
        <v>8.2253773652320511E-5</v>
      </c>
      <c r="AG3" s="53">
        <f>'LUC-2012-08-10-Run1'!BI3</f>
        <v>8.2633805686775901E-5</v>
      </c>
      <c r="AH3" s="53">
        <f>'LUC-2012-08-10-Run1'!BJ3</f>
        <v>8.3016912391095407E-5</v>
      </c>
      <c r="AI3" s="53">
        <f>'LUC-2012-08-10-Run1'!BK3</f>
        <v>8.3402934492782065E-5</v>
      </c>
      <c r="AJ3" s="53">
        <f>'LUC-2012-08-10-Run1'!BL3</f>
        <v>8.379154793872499E-5</v>
      </c>
      <c r="AK3" s="53">
        <f>'LUC-2012-08-10-Run1'!BM3</f>
        <v>8.4182322844702172E-5</v>
      </c>
      <c r="AL3" s="53">
        <f>'LUC-2012-08-10-Run1'!BN3</f>
        <v>8.4575119602724896E-5</v>
      </c>
      <c r="AM3" s="53">
        <f>'LUC-2012-08-10-Run1'!BO3</f>
        <v>8.4969477988109616E-5</v>
      </c>
      <c r="AN3" s="53">
        <f>'LUC-2012-08-10-Run1'!BP3</f>
        <v>8.5365604263626746E-5</v>
      </c>
      <c r="AO3" s="53">
        <f>'LUC-2012-08-10-Run1'!BQ3</f>
        <v>8.5763088438758648E-5</v>
      </c>
      <c r="AP3" s="53">
        <f>'LUC-2012-08-10-Run1'!BR3</f>
        <v>8.6162014741530959E-5</v>
      </c>
      <c r="AQ3" s="53">
        <f>'LUC-2012-08-10-Run1'!BS3</f>
        <v>8.6562046837841089E-5</v>
      </c>
      <c r="AR3" s="53">
        <f>'LUC-2012-08-10-Run1'!BT3</f>
        <v>8.6909831975358727E-5</v>
      </c>
      <c r="AS3" s="53">
        <f>'LUC-2012-08-10-Run1'!BU3</f>
        <v>8.7260257869877498E-5</v>
      </c>
      <c r="AT3" s="53">
        <f>'LUC-2012-08-10-Run1'!BV3</f>
        <v>8.7612980013969039E-5</v>
      </c>
      <c r="AU3" s="53">
        <f>'LUC-2012-08-10-Run1'!BW3</f>
        <v>8.7968210364206207E-5</v>
      </c>
      <c r="AV3" s="53">
        <f>'LUC-2012-08-10-Run1'!BX3</f>
        <v>8.8325924179781699E-5</v>
      </c>
      <c r="AW3" s="53">
        <f>'LUC-2012-08-10-Run1'!BY3</f>
        <v>8.8686259003845197E-5</v>
      </c>
      <c r="AX3" s="53">
        <f>'LUC-2012-08-10-Run1'!BZ3</f>
        <v>8.9048882229405665E-5</v>
      </c>
      <c r="AY3" s="53">
        <f>'LUC-2012-08-10-Run1'!CA3</f>
        <v>8.9414053805702252E-5</v>
      </c>
      <c r="AZ3" s="53">
        <f>'LUC-2012-08-10-Run1'!CB3</f>
        <v>8.9781752363607951E-5</v>
      </c>
      <c r="BA3" s="53">
        <f>'LUC-2012-08-10-Run1'!CC3</f>
        <v>9.0152000277690048E-5</v>
      </c>
      <c r="BB3" s="53">
        <f>'LUC-2012-08-10-Run1'!CD3</f>
        <v>9.0524660714826535E-5</v>
      </c>
      <c r="BC3" s="53">
        <f>'LUC-2012-08-10-Run1'!CE3</f>
        <v>9.0899780625042673E-5</v>
      </c>
      <c r="BD3" s="53">
        <f>'LUC-2012-08-10-Run1'!CF3</f>
        <v>9.1277330608923702E-5</v>
      </c>
      <c r="BE3" s="53">
        <f>'LUC-2012-08-10-Run1'!CG3</f>
        <v>9.1657233421723404E-5</v>
      </c>
      <c r="BF3" s="53">
        <f>'LUC-2012-08-10-Run1'!CH3</f>
        <v>9.2039602584603042E-5</v>
      </c>
      <c r="BG3" s="53">
        <f>'LUC-2012-08-10-Run1'!CI3</f>
        <v>9.242432100084031E-5</v>
      </c>
      <c r="BH3" s="53">
        <f>'LUC-2012-08-10-Run1'!CJ3</f>
        <v>9.2811362732216811E-5</v>
      </c>
      <c r="BI3" s="53">
        <f>'LUC-2012-08-10-Run1'!CK3</f>
        <v>9.3200498186654245E-5</v>
      </c>
      <c r="BJ3" s="53">
        <f>'LUC-2012-08-10-Run1'!CL3</f>
        <v>9.3591909887886761E-5</v>
      </c>
      <c r="BK3" s="53">
        <f>'LUC-2012-08-10-Run1'!CM3</f>
        <v>9.3985309441606062E-5</v>
      </c>
      <c r="BM3" s="107"/>
      <c r="BN3" s="54" t="s">
        <v>97</v>
      </c>
      <c r="BO3" s="68">
        <f t="shared" ref="BO3:BO12" si="7">D3*1000000</f>
        <v>70.000430409191978</v>
      </c>
      <c r="BP3" s="68">
        <f t="shared" si="0"/>
        <v>74.277957562576603</v>
      </c>
      <c r="BQ3" s="68">
        <f t="shared" si="1"/>
        <v>78.932911450597089</v>
      </c>
      <c r="BR3" s="68">
        <f t="shared" si="2"/>
        <v>82.633805686775901</v>
      </c>
      <c r="BS3" s="68">
        <f t="shared" si="3"/>
        <v>86.562046837841095</v>
      </c>
      <c r="BT3" s="68">
        <f t="shared" si="4"/>
        <v>90.15200027769005</v>
      </c>
      <c r="BU3" s="68">
        <f t="shared" si="5"/>
        <v>93.985309441606063</v>
      </c>
      <c r="BV3" s="54"/>
      <c r="BX3" s="100">
        <f t="shared" si="6"/>
        <v>0.2217604632317221</v>
      </c>
    </row>
    <row r="4" spans="1:78" x14ac:dyDescent="0.25">
      <c r="A4" s="54" t="s">
        <v>71</v>
      </c>
      <c r="B4" s="54" t="s">
        <v>95</v>
      </c>
      <c r="C4" s="52" t="s">
        <v>92</v>
      </c>
      <c r="D4" s="53">
        <f>'LUC-2012-08-10-Run1'!AF4</f>
        <v>1.3228986578653787E-5</v>
      </c>
      <c r="E4" s="53">
        <f>'LUC-2012-08-10-Run1'!AG4</f>
        <v>1.3351004035312167E-5</v>
      </c>
      <c r="F4" s="53">
        <f>'LUC-2012-08-10-Run1'!AH4</f>
        <v>1.3448210690384045E-5</v>
      </c>
      <c r="G4" s="53">
        <f>'LUC-2012-08-10-Run1'!AI4</f>
        <v>1.3548882358160103E-5</v>
      </c>
      <c r="H4" s="53">
        <f>'LUC-2012-08-10-Run1'!AJ4</f>
        <v>1.365327018224468E-5</v>
      </c>
      <c r="I4" s="53">
        <f>'LUC-2012-08-10-Run1'!AK4</f>
        <v>1.3761500883312822E-5</v>
      </c>
      <c r="J4" s="53">
        <f>'LUC-2012-08-10-Run1'!AL4</f>
        <v>1.387370090955609E-5</v>
      </c>
      <c r="K4" s="53">
        <f>'LUC-2012-08-10-Run1'!AM4</f>
        <v>1.3990474699641369E-5</v>
      </c>
      <c r="L4" s="53">
        <f>'LUC-2012-08-10-Run1'!AN4</f>
        <v>1.4112378817260886E-5</v>
      </c>
      <c r="M4" s="53">
        <f>'LUC-2012-08-10-Run1'!AO4</f>
        <v>1.4239928335395459E-5</v>
      </c>
      <c r="N4" s="53">
        <f>'LUC-2012-08-10-Run1'!AP4</f>
        <v>1.4373258842965937E-5</v>
      </c>
      <c r="O4" s="53">
        <f>'LUC-2012-08-10-Run1'!AQ4</f>
        <v>1.4512396972370334E-5</v>
      </c>
      <c r="P4" s="53">
        <f>'LUC-2012-08-10-Run1'!AR4</f>
        <v>1.4657165111117269E-5</v>
      </c>
      <c r="Q4" s="53">
        <f>'LUC-2012-08-10-Run1'!AS4</f>
        <v>1.4807426681632889E-5</v>
      </c>
      <c r="R4" s="53">
        <f>'LUC-2012-08-10-Run1'!AT4</f>
        <v>1.4962997035753534E-5</v>
      </c>
      <c r="S4" s="53">
        <f>'LUC-2012-08-10-Run1'!AU4</f>
        <v>1.5124019551113483E-5</v>
      </c>
      <c r="T4" s="53">
        <f>'LUC-2012-08-10-Run1'!AV4</f>
        <v>1.5129679469184749E-5</v>
      </c>
      <c r="U4" s="53">
        <f>'LUC-2012-08-10-Run1'!AW4</f>
        <v>1.5136668183505505E-5</v>
      </c>
      <c r="V4" s="53">
        <f>'LUC-2012-08-10-Run1'!AX4</f>
        <v>1.5144948109290246E-5</v>
      </c>
      <c r="W4" s="53">
        <f>'LUC-2012-08-10-Run1'!AY4</f>
        <v>1.5154462024834499E-5</v>
      </c>
      <c r="X4" s="53">
        <f>'LUC-2012-08-10-Run1'!AZ4</f>
        <v>1.5165243320731007E-5</v>
      </c>
      <c r="Y4" s="53">
        <f>'LUC-2012-08-10-Run1'!BA4</f>
        <v>1.5177362977126023E-5</v>
      </c>
      <c r="Z4" s="53">
        <f>'LUC-2012-08-10-Run1'!BB4</f>
        <v>1.5190865046527137E-5</v>
      </c>
      <c r="AA4" s="53">
        <f>'LUC-2012-08-10-Run1'!BC4</f>
        <v>1.5205885679193845E-5</v>
      </c>
      <c r="AB4" s="53">
        <f>'LUC-2012-08-10-Run1'!BD4</f>
        <v>1.5222476092568192E-5</v>
      </c>
      <c r="AC4" s="53">
        <f>'LUC-2012-08-10-Run1'!BE4</f>
        <v>1.5240690367872361E-5</v>
      </c>
      <c r="AD4" s="53">
        <f>'LUC-2012-08-10-Run1'!BF4</f>
        <v>1.5260525310550297E-5</v>
      </c>
      <c r="AE4" s="53">
        <f>'LUC-2012-08-10-Run1'!BG4</f>
        <v>1.5281970137911179E-5</v>
      </c>
      <c r="AF4" s="53">
        <f>'LUC-2012-08-10-Run1'!BH4</f>
        <v>1.5305072604409572E-5</v>
      </c>
      <c r="AG4" s="53">
        <f>'LUC-2012-08-10-Run1'!BI4</f>
        <v>1.5329779965360515E-5</v>
      </c>
      <c r="AH4" s="53">
        <f>'LUC-2012-08-10-Run1'!BJ4</f>
        <v>1.5356153846789519E-5</v>
      </c>
      <c r="AI4" s="53">
        <f>'LUC-2012-08-10-Run1'!BK4</f>
        <v>1.5384179273723803E-5</v>
      </c>
      <c r="AJ4" s="53">
        <f>'LUC-2012-08-10-Run1'!BL4</f>
        <v>1.5413889957734609E-5</v>
      </c>
      <c r="AK4" s="53">
        <f>'LUC-2012-08-10-Run1'!BM4</f>
        <v>1.5445306992464522E-5</v>
      </c>
      <c r="AL4" s="53">
        <f>'LUC-2012-08-10-Run1'!BN4</f>
        <v>1.5478482896908194E-5</v>
      </c>
      <c r="AM4" s="53">
        <f>'LUC-2012-08-10-Run1'!BO4</f>
        <v>1.5513378357914852E-5</v>
      </c>
      <c r="AN4" s="53">
        <f>'LUC-2012-08-10-Run1'!BP4</f>
        <v>1.555004767317005E-5</v>
      </c>
      <c r="AO4" s="53">
        <f>'LUC-2012-08-10-Run1'!BQ4</f>
        <v>1.5588500151053576E-5</v>
      </c>
      <c r="AP4" s="53">
        <f>'LUC-2012-08-10-Run1'!BR4</f>
        <v>1.5628829986834069E-5</v>
      </c>
      <c r="AQ4" s="53">
        <f>'LUC-2012-08-10-Run1'!BS4</f>
        <v>1.567104412217074E-5</v>
      </c>
      <c r="AR4" s="53">
        <f>'LUC-2012-08-10-Run1'!BT4</f>
        <v>1.5715175740897283E-5</v>
      </c>
      <c r="AS4" s="53">
        <f>'LUC-2012-08-10-Run1'!BU4</f>
        <v>1.576127411843068E-5</v>
      </c>
      <c r="AT4" s="53">
        <f>'LUC-2012-08-10-Run1'!BV4</f>
        <v>1.5809239413469278E-5</v>
      </c>
      <c r="AU4" s="53">
        <f>'LUC-2012-08-10-Run1'!BW4</f>
        <v>1.5859003238648446E-5</v>
      </c>
      <c r="AV4" s="53">
        <f>'LUC-2012-08-10-Run1'!BX4</f>
        <v>1.5910525374817119E-5</v>
      </c>
      <c r="AW4" s="53">
        <f>'LUC-2012-08-10-Run1'!BY4</f>
        <v>1.5963826475578374E-5</v>
      </c>
      <c r="AX4" s="53">
        <f>'LUC-2012-08-10-Run1'!BZ4</f>
        <v>1.6018932390953672E-5</v>
      </c>
      <c r="AY4" s="53">
        <f>'LUC-2012-08-10-Run1'!CA4</f>
        <v>1.6075946092514357E-5</v>
      </c>
      <c r="AZ4" s="53">
        <f>'LUC-2012-08-10-Run1'!CB4</f>
        <v>1.6134996204646558E-5</v>
      </c>
      <c r="BA4" s="53">
        <f>'LUC-2012-08-10-Run1'!CC4</f>
        <v>1.619617700250283E-5</v>
      </c>
      <c r="BB4" s="53">
        <f>'LUC-2012-08-10-Run1'!CD4</f>
        <v>1.6259530794417312E-5</v>
      </c>
      <c r="BC4" s="53">
        <f>'LUC-2012-08-10-Run1'!CE4</f>
        <v>1.6325137705062302E-5</v>
      </c>
      <c r="BD4" s="53">
        <f>'LUC-2012-08-10-Run1'!CF4</f>
        <v>1.6393003462244631E-5</v>
      </c>
      <c r="BE4" s="53">
        <f>'LUC-2012-08-10-Run1'!CG4</f>
        <v>1.646317079761857E-5</v>
      </c>
      <c r="BF4" s="53">
        <f>'LUC-2012-08-10-Run1'!CH4</f>
        <v>1.6535713142124513E-5</v>
      </c>
      <c r="BG4" s="53">
        <f>'LUC-2012-08-10-Run1'!CI4</f>
        <v>1.6610675973681363E-5</v>
      </c>
      <c r="BH4" s="53">
        <f>'LUC-2012-08-10-Run1'!CJ4</f>
        <v>1.6688154385214631E-5</v>
      </c>
      <c r="BI4" s="53">
        <f>'LUC-2012-08-10-Run1'!CK4</f>
        <v>1.6768272358873779E-5</v>
      </c>
      <c r="BJ4" s="53">
        <f>'LUC-2012-08-10-Run1'!CL4</f>
        <v>1.6851146193557374E-5</v>
      </c>
      <c r="BK4" s="53">
        <f>'LUC-2012-08-10-Run1'!CM4</f>
        <v>1.6936941244662474E-5</v>
      </c>
      <c r="BM4" s="107"/>
      <c r="BN4" s="54" t="s">
        <v>95</v>
      </c>
      <c r="BO4" s="68">
        <f t="shared" si="7"/>
        <v>13.228986578653787</v>
      </c>
      <c r="BP4" s="68">
        <f t="shared" si="0"/>
        <v>14.23992833539546</v>
      </c>
      <c r="BQ4" s="68">
        <f t="shared" si="1"/>
        <v>15.154462024834499</v>
      </c>
      <c r="BR4" s="68">
        <f t="shared" si="2"/>
        <v>15.329779965360515</v>
      </c>
      <c r="BS4" s="68">
        <f t="shared" si="3"/>
        <v>15.671044122170739</v>
      </c>
      <c r="BT4" s="68">
        <f t="shared" si="4"/>
        <v>16.196177002502829</v>
      </c>
      <c r="BU4" s="68">
        <f t="shared" si="5"/>
        <v>16.936941244662474</v>
      </c>
      <c r="BV4" s="54"/>
      <c r="BX4" s="100">
        <f t="shared" si="6"/>
        <v>0.13192171355726881</v>
      </c>
    </row>
    <row r="5" spans="1:78" x14ac:dyDescent="0.25">
      <c r="A5" s="54" t="s">
        <v>71</v>
      </c>
      <c r="B5" s="54" t="s">
        <v>98</v>
      </c>
      <c r="C5" s="52" t="s">
        <v>92</v>
      </c>
      <c r="D5" s="53">
        <f>'LUC-2012-08-10-Run1'!AF5</f>
        <v>7.0121002027183778E-6</v>
      </c>
      <c r="E5" s="53">
        <f>'LUC-2012-08-10-Run1'!AG5</f>
        <v>7.2210894119728063E-6</v>
      </c>
      <c r="F5" s="53">
        <f>'LUC-2012-08-10-Run1'!AH5</f>
        <v>7.4202145751621905E-6</v>
      </c>
      <c r="G5" s="53">
        <f>'LUC-2012-08-10-Run1'!AI5</f>
        <v>7.6288203120131999E-6</v>
      </c>
      <c r="H5" s="53">
        <f>'LUC-2012-08-10-Run1'!AJ5</f>
        <v>7.8474396653895003E-6</v>
      </c>
      <c r="I5" s="53">
        <f>'LUC-2012-08-10-Run1'!AK5</f>
        <v>8.0765895476182639E-6</v>
      </c>
      <c r="J5" s="53">
        <f>'LUC-2012-08-10-Run1'!AL5</f>
        <v>8.3168765465417997E-6</v>
      </c>
      <c r="K5" s="53">
        <f>'LUC-2012-08-10-Run1'!AM5</f>
        <v>8.569263350893212E-6</v>
      </c>
      <c r="L5" s="53">
        <f>'LUC-2012-08-10-Run1'!AN5</f>
        <v>8.8347261253526665E-6</v>
      </c>
      <c r="M5" s="53">
        <f>'LUC-2012-08-10-Run1'!AO5</f>
        <v>9.11421427809247E-6</v>
      </c>
      <c r="N5" s="53">
        <f>'LUC-2012-08-10-Run1'!AP5</f>
        <v>9.4084016592827995E-6</v>
      </c>
      <c r="O5" s="53">
        <f>'LUC-2012-08-10-Run1'!AQ5</f>
        <v>9.7178946223932155E-6</v>
      </c>
      <c r="P5" s="53">
        <f>'LUC-2012-08-10-Run1'!AR5</f>
        <v>1.0043173749519153E-5</v>
      </c>
      <c r="Q5" s="53">
        <f>'LUC-2012-08-10-Run1'!AS5</f>
        <v>1.0384788452865011E-5</v>
      </c>
      <c r="R5" s="53">
        <f>'LUC-2012-08-10-Run1'!AT5</f>
        <v>1.0743308883754397E-5</v>
      </c>
      <c r="S5" s="53">
        <f>'LUC-2012-08-10-Run1'!AU5</f>
        <v>1.1119589377810111E-5</v>
      </c>
      <c r="T5" s="53">
        <f>'LUC-2012-08-10-Run1'!AV5</f>
        <v>1.1213796586475904E-5</v>
      </c>
      <c r="U5" s="53">
        <f>'LUC-2012-08-10-Run1'!AW5</f>
        <v>1.1310063229022583E-5</v>
      </c>
      <c r="V5" s="53">
        <f>'LUC-2012-08-10-Run1'!AX5</f>
        <v>1.1408394646721938E-5</v>
      </c>
      <c r="W5" s="53">
        <f>'LUC-2012-08-10-Run1'!AY5</f>
        <v>1.1508780806381498E-5</v>
      </c>
      <c r="X5" s="53">
        <f>'LUC-2012-08-10-Run1'!AZ5</f>
        <v>1.1611279737027922E-5</v>
      </c>
      <c r="Y5" s="53">
        <f>'LUC-2012-08-10-Run1'!BA5</f>
        <v>1.1715979237498833E-5</v>
      </c>
      <c r="Z5" s="53">
        <f>'LUC-2012-08-10-Run1'!BB5</f>
        <v>1.1822947929307411E-5</v>
      </c>
      <c r="AA5" s="53">
        <f>'LUC-2012-08-10-Run1'!BC5</f>
        <v>1.1932326332599029E-5</v>
      </c>
      <c r="AB5" s="53">
        <f>'LUC-2012-08-10-Run1'!BD5</f>
        <v>1.2044191881680218E-5</v>
      </c>
      <c r="AC5" s="53">
        <f>'LUC-2012-08-10-Run1'!BE5</f>
        <v>1.2158625474257043E-5</v>
      </c>
      <c r="AD5" s="53">
        <f>'LUC-2012-08-10-Run1'!BF5</f>
        <v>1.2275663650896177E-5</v>
      </c>
      <c r="AE5" s="53">
        <f>'LUC-2012-08-10-Run1'!BG5</f>
        <v>1.2395333374645749E-5</v>
      </c>
      <c r="AF5" s="53">
        <f>'LUC-2012-08-10-Run1'!BH5</f>
        <v>1.2517706778337661E-5</v>
      </c>
      <c r="AG5" s="53">
        <f>'LUC-2012-08-10-Run1'!BI5</f>
        <v>1.2642778251082926E-5</v>
      </c>
      <c r="AH5" s="53">
        <f>'LUC-2012-08-10-Run1'!BJ5</f>
        <v>1.2770631328073203E-5</v>
      </c>
      <c r="AI5" s="53">
        <f>'LUC-2012-08-10-Run1'!BK5</f>
        <v>1.2901293894719471E-5</v>
      </c>
      <c r="AJ5" s="53">
        <f>'LUC-2012-08-10-Run1'!BL5</f>
        <v>1.3034830919942682E-5</v>
      </c>
      <c r="AK5" s="53">
        <f>'LUC-2012-08-10-Run1'!BM5</f>
        <v>1.3171300126526274E-5</v>
      </c>
      <c r="AL5" s="53">
        <f>'LUC-2012-08-10-Run1'!BN5</f>
        <v>1.3310782826788613E-5</v>
      </c>
      <c r="AM5" s="53">
        <f>'LUC-2012-08-10-Run1'!BO5</f>
        <v>1.3453288136796965E-5</v>
      </c>
      <c r="AN5" s="53">
        <f>'LUC-2012-08-10-Run1'!BP5</f>
        <v>1.3598902811408791E-5</v>
      </c>
      <c r="AO5" s="53">
        <f>'LUC-2012-08-10-Run1'!BQ5</f>
        <v>1.3747680101340874E-5</v>
      </c>
      <c r="AP5" s="53">
        <f>'LUC-2012-08-10-Run1'!BR5</f>
        <v>1.3899750761434954E-5</v>
      </c>
      <c r="AQ5" s="53">
        <f>'LUC-2012-08-10-Run1'!BS5</f>
        <v>1.4055169790404232E-5</v>
      </c>
      <c r="AR5" s="53">
        <f>'LUC-2012-08-10-Run1'!BT5</f>
        <v>1.4214018533221651E-5</v>
      </c>
      <c r="AS5" s="53">
        <f>'LUC-2012-08-10-Run1'!BU5</f>
        <v>1.4376384341841042E-5</v>
      </c>
      <c r="AT5" s="53">
        <f>'LUC-2012-08-10-Run1'!BV5</f>
        <v>1.454223838780701E-5</v>
      </c>
      <c r="AU5" s="53">
        <f>'LUC-2012-08-10-Run1'!BW5</f>
        <v>1.4711573778200049E-5</v>
      </c>
      <c r="AV5" s="53">
        <f>'LUC-2012-08-10-Run1'!BX5</f>
        <v>1.4884409820544955E-5</v>
      </c>
      <c r="AW5" s="53">
        <f>'LUC-2012-08-10-Run1'!BY5</f>
        <v>1.5060817919501827E-5</v>
      </c>
      <c r="AX5" s="53">
        <f>'LUC-2012-08-10-Run1'!BZ5</f>
        <v>1.5240874558207107E-5</v>
      </c>
      <c r="AY5" s="53">
        <f>'LUC-2012-08-10-Run1'!CA5</f>
        <v>1.5424723193414205E-5</v>
      </c>
      <c r="AZ5" s="53">
        <f>'LUC-2012-08-10-Run1'!CB5</f>
        <v>1.5612527123797715E-5</v>
      </c>
      <c r="BA5" s="53">
        <f>'LUC-2012-08-10-Run1'!CC5</f>
        <v>1.5804430627085273E-5</v>
      </c>
      <c r="BB5" s="53">
        <f>'LUC-2012-08-10-Run1'!CD5</f>
        <v>1.6000527546420064E-5</v>
      </c>
      <c r="BC5" s="53">
        <f>'LUC-2012-08-10-Run1'!CE5</f>
        <v>1.6200948175775143E-5</v>
      </c>
      <c r="BD5" s="53">
        <f>'LUC-2012-08-10-Run1'!CF5</f>
        <v>1.6405763465364506E-5</v>
      </c>
      <c r="BE5" s="53">
        <f>'LUC-2012-08-10-Run1'!CG5</f>
        <v>1.6615072156938698E-5</v>
      </c>
      <c r="BF5" s="53">
        <f>'LUC-2012-08-10-Run1'!CH5</f>
        <v>1.6829007697501241E-5</v>
      </c>
      <c r="BG5" s="53">
        <f>'LUC-2012-08-10-Run1'!CI5</f>
        <v>1.7047670489944911E-5</v>
      </c>
      <c r="BH5" s="53">
        <f>'LUC-2012-08-10-Run1'!CJ5</f>
        <v>1.7271213764054107E-5</v>
      </c>
      <c r="BI5" s="53">
        <f>'LUC-2012-08-10-Run1'!CK5</f>
        <v>1.7499810138009306E-5</v>
      </c>
      <c r="BJ5" s="53">
        <f>'LUC-2012-08-10-Run1'!CL5</f>
        <v>1.7733635779794166E-5</v>
      </c>
      <c r="BK5" s="53">
        <f>'LUC-2012-08-10-Run1'!CM5</f>
        <v>1.7972898028142205E-5</v>
      </c>
      <c r="BM5" s="107"/>
      <c r="BN5" s="54" t="s">
        <v>98</v>
      </c>
      <c r="BO5" s="86">
        <f t="shared" si="7"/>
        <v>7.0121002027183774</v>
      </c>
      <c r="BP5" s="86">
        <f t="shared" si="0"/>
        <v>9.1142142780924704</v>
      </c>
      <c r="BQ5" s="68">
        <f t="shared" si="1"/>
        <v>11.508780806381498</v>
      </c>
      <c r="BR5" s="68">
        <f t="shared" si="2"/>
        <v>12.642778251082925</v>
      </c>
      <c r="BS5" s="68">
        <f t="shared" si="3"/>
        <v>14.055169790404232</v>
      </c>
      <c r="BT5" s="68">
        <f t="shared" si="4"/>
        <v>15.804430627085273</v>
      </c>
      <c r="BU5" s="68">
        <f t="shared" si="5"/>
        <v>17.972898028142204</v>
      </c>
      <c r="BV5" s="54"/>
      <c r="BX5" s="100">
        <f t="shared" si="6"/>
        <v>0.67293877729980422</v>
      </c>
      <c r="BZ5" s="51"/>
    </row>
    <row r="6" spans="1:78" x14ac:dyDescent="0.25">
      <c r="A6" s="54" t="s">
        <v>71</v>
      </c>
      <c r="B6" s="54" t="s">
        <v>99</v>
      </c>
      <c r="C6" s="52" t="s">
        <v>92</v>
      </c>
      <c r="D6" s="53">
        <f>'LUC-2012-08-10-Run1'!AF7</f>
        <v>3.6843336955314182E-5</v>
      </c>
      <c r="E6" s="53">
        <f>'LUC-2012-08-10-Run1'!AG7</f>
        <v>3.6790336088918271E-5</v>
      </c>
      <c r="F6" s="53">
        <f>'LUC-2012-08-10-Run1'!AH7</f>
        <v>3.6735360620641035E-5</v>
      </c>
      <c r="G6" s="53">
        <f>'LUC-2012-08-10-Run1'!AI7</f>
        <v>3.667954216924579E-5</v>
      </c>
      <c r="H6" s="53">
        <f>'LUC-2012-08-10-Run1'!AJ7</f>
        <v>3.6623172446285202E-5</v>
      </c>
      <c r="I6" s="53">
        <f>'LUC-2012-08-10-Run1'!AK7</f>
        <v>3.6566333390967918E-5</v>
      </c>
      <c r="J6" s="53">
        <f>'LUC-2012-08-10-Run1'!AL7</f>
        <v>3.6509049093726465E-5</v>
      </c>
      <c r="K6" s="53">
        <f>'LUC-2012-08-10-Run1'!AM7</f>
        <v>3.6451465927738483E-5</v>
      </c>
      <c r="L6" s="53">
        <f>'LUC-2012-08-10-Run1'!AN7</f>
        <v>3.6393772236650164E-5</v>
      </c>
      <c r="M6" s="53">
        <f>'LUC-2012-08-10-Run1'!AO7</f>
        <v>3.6336058437465606E-5</v>
      </c>
      <c r="N6" s="53">
        <f>'LUC-2012-08-10-Run1'!AP7</f>
        <v>3.6278480991528786E-5</v>
      </c>
      <c r="O6" s="53">
        <f>'LUC-2012-08-10-Run1'!AQ7</f>
        <v>3.6221086104825362E-5</v>
      </c>
      <c r="P6" s="53">
        <f>'LUC-2012-08-10-Run1'!AR7</f>
        <v>3.6163908142653389E-5</v>
      </c>
      <c r="Q6" s="53">
        <f>'LUC-2012-08-10-Run1'!AS7</f>
        <v>3.6106967137093158E-5</v>
      </c>
      <c r="R6" s="53">
        <f>'LUC-2012-08-10-Run1'!AT7</f>
        <v>3.6050252332744931E-5</v>
      </c>
      <c r="S6" s="53">
        <f>'LUC-2012-08-10-Run1'!AU7</f>
        <v>3.5993815782955002E-5</v>
      </c>
      <c r="T6" s="53">
        <f>'LUC-2012-08-10-Run1'!AV7</f>
        <v>3.6240761422145941E-5</v>
      </c>
      <c r="U6" s="53">
        <f>'LUC-2012-08-10-Run1'!AW7</f>
        <v>3.6488319224976524E-5</v>
      </c>
      <c r="V6" s="53">
        <f>'LUC-2012-08-10-Run1'!AX7</f>
        <v>3.6736401572061515E-5</v>
      </c>
      <c r="W6" s="53">
        <f>'LUC-2012-08-10-Run1'!AY7</f>
        <v>3.6984942058821465E-5</v>
      </c>
      <c r="X6" s="53">
        <f>'LUC-2012-08-10-Run1'!AZ7</f>
        <v>3.7233916194726742E-5</v>
      </c>
      <c r="Y6" s="53">
        <f>'LUC-2012-08-10-Run1'!BA7</f>
        <v>3.7483340931640341E-5</v>
      </c>
      <c r="Z6" s="53">
        <f>'LUC-2012-08-10-Run1'!BB7</f>
        <v>3.7733264583550239E-5</v>
      </c>
      <c r="AA6" s="53">
        <f>'LUC-2012-08-10-Run1'!BC7</f>
        <v>3.7983771721610727E-5</v>
      </c>
      <c r="AB6" s="53">
        <f>'LUC-2012-08-10-Run1'!BD7</f>
        <v>3.8234915476011561E-5</v>
      </c>
      <c r="AC6" s="53">
        <f>'LUC-2012-08-10-Run1'!BE7</f>
        <v>3.8486709306004642E-5</v>
      </c>
      <c r="AD6" s="53">
        <f>'LUC-2012-08-10-Run1'!BF7</f>
        <v>3.8739112982091046E-5</v>
      </c>
      <c r="AE6" s="53">
        <f>'LUC-2012-08-10-Run1'!BG7</f>
        <v>3.8992095716647596E-5</v>
      </c>
      <c r="AF6" s="53">
        <f>'LUC-2012-08-10-Run1'!BH7</f>
        <v>3.924562373175183E-5</v>
      </c>
      <c r="AG6" s="53">
        <f>'LUC-2012-08-10-Run1'!BI7</f>
        <v>3.9499678545098855E-5</v>
      </c>
      <c r="AH6" s="53">
        <f>'LUC-2012-08-10-Run1'!BJ7</f>
        <v>3.9754240321908044E-5</v>
      </c>
      <c r="AI6" s="53">
        <f>'LUC-2012-08-10-Run1'!BK7</f>
        <v>4.000932417248637E-5</v>
      </c>
      <c r="AJ6" s="53">
        <f>'LUC-2012-08-10-Run1'!BL7</f>
        <v>4.026490274229546E-5</v>
      </c>
      <c r="AK6" s="53">
        <f>'LUC-2012-08-10-Run1'!BM7</f>
        <v>4.0520979757742613E-5</v>
      </c>
      <c r="AL6" s="53">
        <f>'LUC-2012-08-10-Run1'!BN7</f>
        <v>4.077753345059938E-5</v>
      </c>
      <c r="AM6" s="53">
        <f>'LUC-2012-08-10-Run1'!BO7</f>
        <v>4.103455970645964E-5</v>
      </c>
      <c r="AN6" s="53">
        <f>'LUC-2012-08-10-Run1'!BP7</f>
        <v>4.1292070796830004E-5</v>
      </c>
      <c r="AO6" s="53">
        <f>'LUC-2012-08-10-Run1'!BQ7</f>
        <v>4.1550084585070373E-5</v>
      </c>
      <c r="AP6" s="53">
        <f>'LUC-2012-08-10-Run1'!BR7</f>
        <v>4.1808652143139597E-5</v>
      </c>
      <c r="AQ6" s="53">
        <f>'LUC-2012-08-10-Run1'!BS7</f>
        <v>4.2067777718082665E-5</v>
      </c>
      <c r="AR6" s="53">
        <f>'LUC-2012-08-10-Run1'!BT7</f>
        <v>4.205732655042336E-5</v>
      </c>
      <c r="AS6" s="53">
        <f>'LUC-2012-08-10-Run1'!BU7</f>
        <v>4.20475698536695E-5</v>
      </c>
      <c r="AT6" s="53">
        <f>'LUC-2012-08-10-Run1'!BV7</f>
        <v>4.2038515839406725E-5</v>
      </c>
      <c r="AU6" s="53">
        <f>'LUC-2012-08-10-Run1'!BW7</f>
        <v>4.2030165165065959E-5</v>
      </c>
      <c r="AV6" s="53">
        <f>'LUC-2012-08-10-Run1'!BX7</f>
        <v>4.2022517883421977E-5</v>
      </c>
      <c r="AW6" s="53">
        <f>'LUC-2012-08-10-Run1'!BY7</f>
        <v>4.2015578646874784E-5</v>
      </c>
      <c r="AX6" s="53">
        <f>'LUC-2012-08-10-Run1'!BZ7</f>
        <v>4.2009349904398449E-5</v>
      </c>
      <c r="AY6" s="53">
        <f>'LUC-2012-08-10-Run1'!CA7</f>
        <v>4.2003839410619271E-5</v>
      </c>
      <c r="AZ6" s="53">
        <f>'LUC-2012-08-10-Run1'!CB7</f>
        <v>4.1999035700128213E-5</v>
      </c>
      <c r="BA6" s="53">
        <f>'LUC-2012-08-10-Run1'!CC7</f>
        <v>4.1994954482370675E-5</v>
      </c>
      <c r="BB6" s="53">
        <f>'LUC-2012-08-10-Run1'!CD7</f>
        <v>4.1991583571040976E-5</v>
      </c>
      <c r="BC6" s="53">
        <f>'LUC-2012-08-10-Run1'!CE7</f>
        <v>4.198892315455593E-5</v>
      </c>
      <c r="BD6" s="53">
        <f>'LUC-2012-08-10-Run1'!CF7</f>
        <v>4.1986974316149639E-5</v>
      </c>
      <c r="BE6" s="53">
        <f>'LUC-2012-08-10-Run1'!CG7</f>
        <v>4.1985724723765034E-5</v>
      </c>
      <c r="BF6" s="53">
        <f>'LUC-2012-08-10-Run1'!CH7</f>
        <v>4.1985181176711097E-5</v>
      </c>
      <c r="BG6" s="53">
        <f>'LUC-2012-08-10-Run1'!CI7</f>
        <v>4.1985334042555348E-5</v>
      </c>
      <c r="BH6" s="53">
        <f>'LUC-2012-08-10-Run1'!CJ7</f>
        <v>4.1986179969974803E-5</v>
      </c>
      <c r="BI6" s="53">
        <f>'LUC-2012-08-10-Run1'!CK7</f>
        <v>4.1987715798084247E-5</v>
      </c>
      <c r="BJ6" s="53">
        <f>'LUC-2012-08-10-Run1'!CL7</f>
        <v>4.1989957362986156E-5</v>
      </c>
      <c r="BK6" s="53">
        <f>'LUC-2012-08-10-Run1'!CM7</f>
        <v>4.1992888143846221E-5</v>
      </c>
      <c r="BM6" s="107"/>
      <c r="BN6" s="54" t="s">
        <v>99</v>
      </c>
      <c r="BO6" s="68">
        <f t="shared" si="7"/>
        <v>36.843336955314179</v>
      </c>
      <c r="BP6" s="68">
        <f t="shared" si="0"/>
        <v>36.33605843746561</v>
      </c>
      <c r="BQ6" s="68">
        <f t="shared" si="1"/>
        <v>36.984942058821467</v>
      </c>
      <c r="BR6" s="68">
        <f t="shared" si="2"/>
        <v>39.499678545098853</v>
      </c>
      <c r="BS6" s="68">
        <f t="shared" si="3"/>
        <v>42.067777718082667</v>
      </c>
      <c r="BT6" s="68">
        <f t="shared" si="4"/>
        <v>41.994954482370673</v>
      </c>
      <c r="BU6" s="68">
        <f t="shared" si="5"/>
        <v>41.992888143846223</v>
      </c>
      <c r="BV6" s="51">
        <f>SUM(M6:M12)*1000000</f>
        <v>263.99050229103472</v>
      </c>
      <c r="BW6" s="51">
        <f>SUM(BU6:BU12)</f>
        <v>284.80837594322986</v>
      </c>
      <c r="BX6" s="100">
        <f t="shared" si="6"/>
        <v>0.16484311278186292</v>
      </c>
    </row>
    <row r="7" spans="1:78" x14ac:dyDescent="0.25">
      <c r="A7" s="54" t="s">
        <v>71</v>
      </c>
      <c r="B7" s="54" t="s">
        <v>100</v>
      </c>
      <c r="C7" s="52" t="s">
        <v>92</v>
      </c>
      <c r="D7" s="53">
        <f>'LUC-2012-08-10-Run1'!AF8</f>
        <v>5.2769166477933858E-5</v>
      </c>
      <c r="E7" s="53">
        <f>'LUC-2012-08-10-Run1'!AG8</f>
        <v>5.2693255559611984E-5</v>
      </c>
      <c r="F7" s="53">
        <f>'LUC-2012-08-10-Run1'!AH8</f>
        <v>5.2614516501821335E-5</v>
      </c>
      <c r="G7" s="53">
        <f>'LUC-2012-08-10-Run1'!AI8</f>
        <v>5.25345700746617E-5</v>
      </c>
      <c r="H7" s="53">
        <f>'LUC-2012-08-10-Run1'!AJ8</f>
        <v>5.2453834084356881E-5</v>
      </c>
      <c r="I7" s="53">
        <f>'LUC-2012-08-10-Run1'!AK8</f>
        <v>5.2372425888999203E-5</v>
      </c>
      <c r="J7" s="53">
        <f>'LUC-2012-08-10-Run1'!AL8</f>
        <v>5.2290379992305006E-5</v>
      </c>
      <c r="K7" s="53">
        <f>'LUC-2012-08-10-Run1'!AM8</f>
        <v>5.2207906038438337E-5</v>
      </c>
      <c r="L7" s="53">
        <f>'LUC-2012-08-10-Run1'!AN8</f>
        <v>5.2125273784105413E-5</v>
      </c>
      <c r="M7" s="53">
        <f>'LUC-2012-08-10-Run1'!AO8</f>
        <v>5.204261272978946E-5</v>
      </c>
      <c r="N7" s="53">
        <f>'LUC-2012-08-10-Run1'!AP8</f>
        <v>5.1960146968512207E-5</v>
      </c>
      <c r="O7" s="53">
        <f>'LUC-2012-08-10-Run1'!AQ8</f>
        <v>5.187794267916924E-5</v>
      </c>
      <c r="P7" s="53">
        <f>'LUC-2012-08-10-Run1'!AR8</f>
        <v>5.1796049081735804E-5</v>
      </c>
      <c r="Q7" s="53">
        <f>'LUC-2012-08-10-Run1'!AS8</f>
        <v>5.1714494867320529E-5</v>
      </c>
      <c r="R7" s="53">
        <f>'LUC-2012-08-10-Run1'!AT8</f>
        <v>5.1633264631415317E-5</v>
      </c>
      <c r="S7" s="53">
        <f>'LUC-2012-08-10-Run1'!AU8</f>
        <v>5.1552432927845249E-5</v>
      </c>
      <c r="T7" s="53">
        <f>'LUC-2012-08-10-Run1'!AV8</f>
        <v>5.1426673049312509E-5</v>
      </c>
      <c r="U7" s="53">
        <f>'LUC-2012-08-10-Run1'!AW8</f>
        <v>5.1301940254642099E-5</v>
      </c>
      <c r="V7" s="53">
        <f>'LUC-2012-08-10-Run1'!AX8</f>
        <v>5.1178110902497184E-5</v>
      </c>
      <c r="W7" s="53">
        <f>'LUC-2012-08-10-Run1'!AY8</f>
        <v>5.105509507926116E-5</v>
      </c>
      <c r="X7" s="53">
        <f>'LUC-2012-08-10-Run1'!AZ8</f>
        <v>5.0932863792962064E-5</v>
      </c>
      <c r="Y7" s="53">
        <f>'LUC-2012-08-10-Run1'!BA8</f>
        <v>5.0811445390446209E-5</v>
      </c>
      <c r="Z7" s="53">
        <f>'LUC-2012-08-10-Run1'!BB8</f>
        <v>5.0690909576079458E-5</v>
      </c>
      <c r="AA7" s="53">
        <f>'LUC-2012-08-10-Run1'!BC8</f>
        <v>5.0571372672563091E-5</v>
      </c>
      <c r="AB7" s="53">
        <f>'LUC-2012-08-10-Run1'!BD8</f>
        <v>5.0452904928954989E-5</v>
      </c>
      <c r="AC7" s="53">
        <f>'LUC-2012-08-10-Run1'!BE8</f>
        <v>5.0335521782884781E-5</v>
      </c>
      <c r="AD7" s="53">
        <f>'LUC-2012-08-10-Run1'!BF8</f>
        <v>5.0219168035245482E-5</v>
      </c>
      <c r="AE7" s="53">
        <f>'LUC-2012-08-10-Run1'!BG8</f>
        <v>5.0103801412425793E-5</v>
      </c>
      <c r="AF7" s="53">
        <f>'LUC-2012-08-10-Run1'!BH8</f>
        <v>4.9989377866887931E-5</v>
      </c>
      <c r="AG7" s="53">
        <f>'LUC-2012-08-10-Run1'!BI8</f>
        <v>4.9875873697931907E-5</v>
      </c>
      <c r="AH7" s="53">
        <f>'LUC-2012-08-10-Run1'!BJ8</f>
        <v>4.9763264739644714E-5</v>
      </c>
      <c r="AI7" s="53">
        <f>'LUC-2012-08-10-Run1'!BK8</f>
        <v>4.9651571402519582E-5</v>
      </c>
      <c r="AJ7" s="53">
        <f>'LUC-2012-08-10-Run1'!BL8</f>
        <v>4.9540760809332245E-5</v>
      </c>
      <c r="AK7" s="53">
        <f>'LUC-2012-08-10-Run1'!BM8</f>
        <v>4.9430839326372468E-5</v>
      </c>
      <c r="AL7" s="53">
        <f>'LUC-2012-08-10-Run1'!BN8</f>
        <v>4.9321782578794245E-5</v>
      </c>
      <c r="AM7" s="53">
        <f>'LUC-2012-08-10-Run1'!BO8</f>
        <v>4.921358818595785E-5</v>
      </c>
      <c r="AN7" s="53">
        <f>'LUC-2012-08-10-Run1'!BP8</f>
        <v>4.9106274165759208E-5</v>
      </c>
      <c r="AO7" s="53">
        <f>'LUC-2012-08-10-Run1'!BQ8</f>
        <v>4.8999864266282466E-5</v>
      </c>
      <c r="AP7" s="53">
        <f>'LUC-2012-08-10-Run1'!BR8</f>
        <v>4.8894420639971825E-5</v>
      </c>
      <c r="AQ7" s="53">
        <f>'LUC-2012-08-10-Run1'!BS8</f>
        <v>4.878994838437421E-5</v>
      </c>
      <c r="AR7" s="53">
        <f>'LUC-2012-08-10-Run1'!BT8</f>
        <v>4.8777827184769348E-5</v>
      </c>
      <c r="AS7" s="53">
        <f>'LUC-2012-08-10-Run1'!BU8</f>
        <v>4.8766511428224931E-5</v>
      </c>
      <c r="AT7" s="53">
        <f>'LUC-2012-08-10-Run1'!BV8</f>
        <v>4.8756010638487174E-5</v>
      </c>
      <c r="AU7" s="53">
        <f>'LUC-2012-08-10-Run1'!BW8</f>
        <v>4.8746325578040402E-5</v>
      </c>
      <c r="AV7" s="53">
        <f>'LUC-2012-08-10-Run1'!BX8</f>
        <v>4.8737456308092499E-5</v>
      </c>
      <c r="AW7" s="53">
        <f>'LUC-2012-08-10-Run1'!BY8</f>
        <v>4.872940822446818E-5</v>
      </c>
      <c r="AX7" s="53">
        <f>'LUC-2012-08-10-Run1'!BZ8</f>
        <v>4.8722184167472422E-5</v>
      </c>
      <c r="AY7" s="53">
        <f>'LUC-2012-08-10-Run1'!CA8</f>
        <v>4.8715793130872858E-5</v>
      </c>
      <c r="AZ7" s="53">
        <f>'LUC-2012-08-10-Run1'!CB8</f>
        <v>4.8710221817159014E-5</v>
      </c>
      <c r="BA7" s="53">
        <f>'LUC-2012-08-10-Run1'!CC8</f>
        <v>4.8705488446048469E-5</v>
      </c>
      <c r="BB7" s="53">
        <f>'LUC-2012-08-10-Run1'!CD8</f>
        <v>4.8701578883939272E-5</v>
      </c>
      <c r="BC7" s="53">
        <f>'LUC-2012-08-10-Run1'!CE8</f>
        <v>4.8698493349356099E-5</v>
      </c>
      <c r="BD7" s="53">
        <f>'LUC-2012-08-10-Run1'!CF8</f>
        <v>4.8696233098627154E-5</v>
      </c>
      <c r="BE7" s="53">
        <f>'LUC-2012-08-10-Run1'!CG8</f>
        <v>4.8694783829108917E-5</v>
      </c>
      <c r="BF7" s="53">
        <f>'LUC-2012-08-10-Run1'!CH8</f>
        <v>4.8694153426597895E-5</v>
      </c>
      <c r="BG7" s="53">
        <f>'LUC-2012-08-10-Run1'!CI8</f>
        <v>4.8694330719458511E-5</v>
      </c>
      <c r="BH7" s="53">
        <f>'LUC-2012-08-10-Run1'!CJ8</f>
        <v>4.8695311820847057E-5</v>
      </c>
      <c r="BI7" s="53">
        <f>'LUC-2012-08-10-Run1'!CK8</f>
        <v>4.8697093064788418E-5</v>
      </c>
      <c r="BJ7" s="53">
        <f>'LUC-2012-08-10-Run1'!CL8</f>
        <v>4.8699692817896317E-5</v>
      </c>
      <c r="BK7" s="53">
        <f>'LUC-2012-08-10-Run1'!CM8</f>
        <v>4.870309191940927E-5</v>
      </c>
      <c r="BM7" s="107"/>
      <c r="BN7" s="57" t="s">
        <v>100</v>
      </c>
      <c r="BO7" s="65">
        <f t="shared" si="7"/>
        <v>52.769166477933858</v>
      </c>
      <c r="BP7" s="65">
        <f t="shared" si="0"/>
        <v>52.042612729789461</v>
      </c>
      <c r="BQ7" s="65">
        <f t="shared" si="1"/>
        <v>51.055095079261157</v>
      </c>
      <c r="BR7" s="65">
        <f t="shared" si="2"/>
        <v>49.875873697931908</v>
      </c>
      <c r="BS7" s="65">
        <f t="shared" si="3"/>
        <v>48.789948384374213</v>
      </c>
      <c r="BT7" s="65">
        <f t="shared" si="4"/>
        <v>48.70548844604847</v>
      </c>
      <c r="BU7" s="65">
        <f t="shared" si="5"/>
        <v>48.703091919409268</v>
      </c>
      <c r="BV7" s="54"/>
      <c r="BX7" s="100">
        <f t="shared" si="6"/>
        <v>-5.6749708408389839E-2</v>
      </c>
    </row>
    <row r="8" spans="1:78" x14ac:dyDescent="0.25">
      <c r="A8" s="54" t="s">
        <v>71</v>
      </c>
      <c r="B8" s="54" t="s">
        <v>101</v>
      </c>
      <c r="C8" s="52" t="s">
        <v>92</v>
      </c>
      <c r="D8" s="53">
        <f>'LUC-2012-08-10-Run1'!AF9</f>
        <v>3.755643379961059E-5</v>
      </c>
      <c r="E8" s="53">
        <f>'LUC-2012-08-10-Run1'!AG9</f>
        <v>3.7502407109994121E-5</v>
      </c>
      <c r="F8" s="53">
        <f>'LUC-2012-08-10-Run1'!AH9</f>
        <v>3.7446367600395375E-5</v>
      </c>
      <c r="G8" s="53">
        <f>'LUC-2012-08-10-Run1'!AI9</f>
        <v>3.7389468791876361E-5</v>
      </c>
      <c r="H8" s="53">
        <f>'LUC-2012-08-10-Run1'!AJ9</f>
        <v>3.7332008042019762E-5</v>
      </c>
      <c r="I8" s="53">
        <f>'LUC-2012-08-10-Run1'!AK9</f>
        <v>3.7274068875954395E-5</v>
      </c>
      <c r="J8" s="53">
        <f>'LUC-2012-08-10-Run1'!AL9</f>
        <v>3.7215675850379237E-5</v>
      </c>
      <c r="K8" s="53">
        <f>'LUC-2012-08-10-Run1'!AM9</f>
        <v>3.7156978171501163E-5</v>
      </c>
      <c r="L8" s="53">
        <f>'LUC-2012-08-10-Run1'!AN9</f>
        <v>3.7098167828327268E-5</v>
      </c>
      <c r="M8" s="53">
        <f>'LUC-2012-08-10-Run1'!AO9</f>
        <v>3.7039336987868168E-5</v>
      </c>
      <c r="N8" s="53">
        <f>'LUC-2012-08-10-Run1'!AP9</f>
        <v>3.6980645139751931E-5</v>
      </c>
      <c r="O8" s="53">
        <f>'LUC-2012-08-10-Run1'!AQ9</f>
        <v>3.692213938427361E-5</v>
      </c>
      <c r="P8" s="53">
        <f>'LUC-2012-08-10-Run1'!AR9</f>
        <v>3.6863854751866036E-5</v>
      </c>
      <c r="Q8" s="53">
        <f>'LUC-2012-08-10-Run1'!AS9</f>
        <v>3.6805811662327231E-5</v>
      </c>
      <c r="R8" s="53">
        <f>'LUC-2012-08-10-Run1'!AT9</f>
        <v>3.6747999152088383E-5</v>
      </c>
      <c r="S8" s="53">
        <f>'LUC-2012-08-10-Run1'!AU9</f>
        <v>3.6690470281979947E-5</v>
      </c>
      <c r="T8" s="53">
        <f>'LUC-2012-08-10-Run1'!AV9</f>
        <v>3.6554387193524668E-5</v>
      </c>
      <c r="U8" s="53">
        <f>'LUC-2012-08-10-Run1'!AW9</f>
        <v>3.6419049694988411E-5</v>
      </c>
      <c r="V8" s="53">
        <f>'LUC-2012-08-10-Run1'!AX9</f>
        <v>3.6284369969327323E-5</v>
      </c>
      <c r="W8" s="53">
        <f>'LUC-2012-08-10-Run1'!AY9</f>
        <v>3.6150284528647284E-5</v>
      </c>
      <c r="X8" s="53">
        <f>'LUC-2012-08-10-Run1'!AZ9</f>
        <v>3.6016773330156356E-5</v>
      </c>
      <c r="Y8" s="53">
        <f>'LUC-2012-08-10-Run1'!BA9</f>
        <v>3.5883856943783344E-5</v>
      </c>
      <c r="Z8" s="53">
        <f>'LUC-2012-08-10-Run1'!BB9</f>
        <v>3.5751585028125387E-5</v>
      </c>
      <c r="AA8" s="53">
        <f>'LUC-2012-08-10-Run1'!BC9</f>
        <v>3.5620039904606293E-5</v>
      </c>
      <c r="AB8" s="53">
        <f>'LUC-2012-08-10-Run1'!BD9</f>
        <v>3.5489271002261883E-5</v>
      </c>
      <c r="AC8" s="53">
        <f>'LUC-2012-08-10-Run1'!BE9</f>
        <v>3.5359288935229114E-5</v>
      </c>
      <c r="AD8" s="53">
        <f>'LUC-2012-08-10-Run1'!BF9</f>
        <v>3.5230054652750892E-5</v>
      </c>
      <c r="AE8" s="53">
        <f>'LUC-2012-08-10-Run1'!BG9</f>
        <v>3.510153824522978E-5</v>
      </c>
      <c r="AF8" s="53">
        <f>'LUC-2012-08-10-Run1'!BH9</f>
        <v>3.497370878428771E-5</v>
      </c>
      <c r="AG8" s="53">
        <f>'LUC-2012-08-10-Run1'!BI9</f>
        <v>3.4846549671034063E-5</v>
      </c>
      <c r="AH8" s="53">
        <f>'LUC-2012-08-10-Run1'!BJ9</f>
        <v>3.4720044118473136E-5</v>
      </c>
      <c r="AI8" s="53">
        <f>'LUC-2012-08-10-Run1'!BK9</f>
        <v>3.4594206533365417E-5</v>
      </c>
      <c r="AJ8" s="53">
        <f>'LUC-2012-08-10-Run1'!BL9</f>
        <v>3.4469014128796276E-5</v>
      </c>
      <c r="AK8" s="53">
        <f>'LUC-2012-08-10-Run1'!BM9</f>
        <v>3.434447153570656E-5</v>
      </c>
      <c r="AL8" s="53">
        <f>'LUC-2012-08-10-Run1'!BN9</f>
        <v>3.4220562067128782E-5</v>
      </c>
      <c r="AM8" s="53">
        <f>'LUC-2012-08-10-Run1'!BO9</f>
        <v>3.4097284369947345E-5</v>
      </c>
      <c r="AN8" s="53">
        <f>'LUC-2012-08-10-Run1'!BP9</f>
        <v>3.3974651310643246E-5</v>
      </c>
      <c r="AO8" s="53">
        <f>'LUC-2012-08-10-Run1'!BQ9</f>
        <v>3.3852679612556282E-5</v>
      </c>
      <c r="AP8" s="53">
        <f>'LUC-2012-08-10-Run1'!BR9</f>
        <v>3.3731412442074227E-5</v>
      </c>
      <c r="AQ8" s="53">
        <f>'LUC-2012-08-10-Run1'!BS9</f>
        <v>3.3610853331457794E-5</v>
      </c>
      <c r="AR8" s="53">
        <f>'LUC-2012-08-10-Run1'!BT9</f>
        <v>3.3602503171729998E-5</v>
      </c>
      <c r="AS8" s="53">
        <f>'LUC-2012-08-10-Run1'!BU9</f>
        <v>3.359470787277717E-5</v>
      </c>
      <c r="AT8" s="53">
        <f>'LUC-2012-08-10-Run1'!BV9</f>
        <v>3.3587473995402277E-5</v>
      </c>
      <c r="AU8" s="53">
        <f>'LUC-2012-08-10-Run1'!BW9</f>
        <v>3.3580802064872276E-5</v>
      </c>
      <c r="AV8" s="53">
        <f>'LUC-2012-08-10-Run1'!BX9</f>
        <v>3.3574692123352602E-5</v>
      </c>
      <c r="AW8" s="53">
        <f>'LUC-2012-08-10-Run1'!BY9</f>
        <v>3.3569147887966958E-5</v>
      </c>
      <c r="AX8" s="53">
        <f>'LUC-2012-08-10-Run1'!BZ9</f>
        <v>3.3564171315369903E-5</v>
      </c>
      <c r="AY8" s="53">
        <f>'LUC-2012-08-10-Run1'!CA9</f>
        <v>3.3559768601267973E-5</v>
      </c>
      <c r="AZ8" s="53">
        <f>'LUC-2012-08-10-Run1'!CB9</f>
        <v>3.3555930585153986E-5</v>
      </c>
      <c r="BA8" s="53">
        <f>'LUC-2012-08-10-Run1'!CC9</f>
        <v>3.3552669818388946E-5</v>
      </c>
      <c r="BB8" s="53">
        <f>'LUC-2012-08-10-Run1'!CD9</f>
        <v>3.3549976564491491E-5</v>
      </c>
      <c r="BC8" s="53">
        <f>'LUC-2012-08-10-Run1'!CE9</f>
        <v>3.3547850974000863E-5</v>
      </c>
      <c r="BD8" s="53">
        <f>'LUC-2012-08-10-Run1'!CF9</f>
        <v>3.3546293912387592E-5</v>
      </c>
      <c r="BE8" s="53">
        <f>'LUC-2012-08-10-Run1'!CG9</f>
        <v>3.3545295526719481E-5</v>
      </c>
      <c r="BF8" s="53">
        <f>'LUC-2012-08-10-Run1'!CH9</f>
        <v>3.3544861249434111E-5</v>
      </c>
      <c r="BG8" s="53">
        <f>'LUC-2012-08-10-Run1'!CI9</f>
        <v>3.354498338451587E-5</v>
      </c>
      <c r="BH8" s="53">
        <f>'LUC-2012-08-10-Run1'!CJ9</f>
        <v>3.3545659254361305E-5</v>
      </c>
      <c r="BI8" s="53">
        <f>'LUC-2012-08-10-Run1'!CK9</f>
        <v>3.3546886333520914E-5</v>
      </c>
      <c r="BJ8" s="53">
        <f>'LUC-2012-08-10-Run1'!CL9</f>
        <v>3.3548677274550791E-5</v>
      </c>
      <c r="BK8" s="53">
        <f>'LUC-2012-08-10-Run1'!CM9</f>
        <v>3.3551018877815263E-5</v>
      </c>
      <c r="BM8" s="107"/>
      <c r="BN8" s="57" t="s">
        <v>101</v>
      </c>
      <c r="BO8" s="65">
        <f t="shared" si="7"/>
        <v>37.556433799610588</v>
      </c>
      <c r="BP8" s="65">
        <f t="shared" si="0"/>
        <v>37.039336987868168</v>
      </c>
      <c r="BQ8" s="65">
        <f t="shared" si="1"/>
        <v>36.150284528647283</v>
      </c>
      <c r="BR8" s="65">
        <f t="shared" si="2"/>
        <v>34.846549671034062</v>
      </c>
      <c r="BS8" s="65">
        <f t="shared" si="3"/>
        <v>33.610853331457797</v>
      </c>
      <c r="BT8" s="65">
        <f t="shared" si="4"/>
        <v>33.552669818388949</v>
      </c>
      <c r="BU8" s="65">
        <f t="shared" si="5"/>
        <v>33.551018877815267</v>
      </c>
      <c r="BV8" s="54"/>
      <c r="BX8" s="100">
        <f t="shared" si="6"/>
        <v>-8.6997397083901792E-2</v>
      </c>
    </row>
    <row r="9" spans="1:78" x14ac:dyDescent="0.25">
      <c r="A9" s="54" t="s">
        <v>71</v>
      </c>
      <c r="B9" s="54" t="s">
        <v>111</v>
      </c>
      <c r="C9" s="52" t="s">
        <v>92</v>
      </c>
      <c r="D9" s="53">
        <f>'LUC-2012-08-10-Run1'!AF10</f>
        <v>3.2802454837634565E-5</v>
      </c>
      <c r="E9" s="53">
        <f>'LUC-2012-08-10-Run1'!AG10</f>
        <v>3.2755266969488529E-5</v>
      </c>
      <c r="F9" s="53">
        <f>'LUC-2012-08-10-Run1'!AH10</f>
        <v>3.2706321068699752E-5</v>
      </c>
      <c r="G9" s="53">
        <f>'LUC-2012-08-10-Run1'!AI10</f>
        <v>3.2656624641005933E-5</v>
      </c>
      <c r="H9" s="53">
        <f>'LUC-2012-08-10-Run1'!AJ10</f>
        <v>3.260643740378941E-5</v>
      </c>
      <c r="I9" s="53">
        <f>'LUC-2012-08-10-Run1'!AK10</f>
        <v>3.2555832309377881E-5</v>
      </c>
      <c r="J9" s="53">
        <f>'LUC-2012-08-10-Run1'!AL10</f>
        <v>3.2504830806027448E-5</v>
      </c>
      <c r="K9" s="53">
        <f>'LUC-2012-08-10-Run1'!AM10</f>
        <v>3.2453563213083297E-5</v>
      </c>
      <c r="L9" s="53">
        <f>'LUC-2012-08-10-Run1'!AN10</f>
        <v>3.2402197217146604E-5</v>
      </c>
      <c r="M9" s="53">
        <f>'LUC-2012-08-10-Run1'!AO10</f>
        <v>3.2350813318517766E-5</v>
      </c>
      <c r="N9" s="53">
        <f>'LUC-2012-08-10-Run1'!AP10</f>
        <v>3.2299550818264349E-5</v>
      </c>
      <c r="O9" s="53">
        <f>'LUC-2012-08-10-Run1'!AQ10</f>
        <v>3.2248450854618708E-5</v>
      </c>
      <c r="P9" s="53">
        <f>'LUC-2012-08-10-Run1'!AR10</f>
        <v>3.2197544023781722E-5</v>
      </c>
      <c r="Q9" s="53">
        <f>'LUC-2012-08-10-Run1'!AS10</f>
        <v>3.2146848160766819E-5</v>
      </c>
      <c r="R9" s="53">
        <f>'LUC-2012-08-10-Run1'!AT10</f>
        <v>3.2096353689798707E-5</v>
      </c>
      <c r="S9" s="53">
        <f>'LUC-2012-08-10-Run1'!AU10</f>
        <v>3.2046106955147048E-5</v>
      </c>
      <c r="T9" s="53">
        <f>'LUC-2012-08-10-Run1'!AV10</f>
        <v>3.2141497387667968E-5</v>
      </c>
      <c r="U9" s="53">
        <f>'LUC-2012-08-10-Run1'!AW10</f>
        <v>3.2237471864924206E-5</v>
      </c>
      <c r="V9" s="53">
        <f>'LUC-2012-08-10-Run1'!AX10</f>
        <v>3.2333952858260567E-5</v>
      </c>
      <c r="W9" s="53">
        <f>'LUC-2012-08-10-Run1'!AY10</f>
        <v>3.2430882594832423E-5</v>
      </c>
      <c r="X9" s="53">
        <f>'LUC-2012-08-10-Run1'!AZ10</f>
        <v>3.252824084985104E-5</v>
      </c>
      <c r="Y9" s="53">
        <f>'LUC-2012-08-10-Run1'!BA10</f>
        <v>3.2626043771889077E-5</v>
      </c>
      <c r="Z9" s="53">
        <f>'LUC-2012-08-10-Run1'!BB10</f>
        <v>3.2724334507413949E-5</v>
      </c>
      <c r="AA9" s="53">
        <f>'LUC-2012-08-10-Run1'!BC10</f>
        <v>3.2823187104594656E-5</v>
      </c>
      <c r="AB9" s="53">
        <f>'LUC-2012-08-10-Run1'!BD10</f>
        <v>3.2922647348466289E-5</v>
      </c>
      <c r="AC9" s="53">
        <f>'LUC-2012-08-10-Run1'!BE10</f>
        <v>3.3022726225326942E-5</v>
      </c>
      <c r="AD9" s="53">
        <f>'LUC-2012-08-10-Run1'!BF10</f>
        <v>3.3123388546184533E-5</v>
      </c>
      <c r="AE9" s="53">
        <f>'LUC-2012-08-10-Run1'!BG10</f>
        <v>3.322460737319037E-5</v>
      </c>
      <c r="AF9" s="53">
        <f>'LUC-2012-08-10-Run1'!BH10</f>
        <v>3.3326353757518896E-5</v>
      </c>
      <c r="AG9" s="53">
        <f>'LUC-2012-08-10-Run1'!BI10</f>
        <v>3.3428611963271228E-5</v>
      </c>
      <c r="AH9" s="53">
        <f>'LUC-2012-08-10-Run1'!BJ10</f>
        <v>3.3531365432526505E-5</v>
      </c>
      <c r="AI9" s="53">
        <f>'LUC-2012-08-10-Run1'!BK10</f>
        <v>3.3634627298655102E-5</v>
      </c>
      <c r="AJ9" s="53">
        <f>'LUC-2012-08-10-Run1'!BL10</f>
        <v>3.3738374843246775E-5</v>
      </c>
      <c r="AK9" s="53">
        <f>'LUC-2012-08-10-Run1'!BM10</f>
        <v>3.3842611651175989E-5</v>
      </c>
      <c r="AL9" s="53">
        <f>'LUC-2012-08-10-Run1'!BN10</f>
        <v>3.3947320107804405E-5</v>
      </c>
      <c r="AM9" s="53">
        <f>'LUC-2012-08-10-Run1'!BO10</f>
        <v>3.4052497461805553E-5</v>
      </c>
      <c r="AN9" s="53">
        <f>'LUC-2012-08-10-Run1'!BP10</f>
        <v>3.4158154753509541E-5</v>
      </c>
      <c r="AO9" s="53">
        <f>'LUC-2012-08-10-Run1'!BQ10</f>
        <v>3.4264307410199167E-5</v>
      </c>
      <c r="AP9" s="53">
        <f>'LUC-2012-08-10-Run1'!BR10</f>
        <v>3.4370998047757487E-5</v>
      </c>
      <c r="AQ9" s="53">
        <f>'LUC-2012-08-10-Run1'!BS10</f>
        <v>3.4478230191624447E-5</v>
      </c>
      <c r="AR9" s="53">
        <f>'LUC-2012-08-10-Run1'!BT10</f>
        <v>3.4469664543903668E-5</v>
      </c>
      <c r="AS9" s="53">
        <f>'LUC-2012-08-10-Run1'!BU10</f>
        <v>3.4461668075945619E-5</v>
      </c>
      <c r="AT9" s="53">
        <f>'LUC-2012-08-10-Run1'!BV10</f>
        <v>3.4454247517864263E-5</v>
      </c>
      <c r="AU9" s="53">
        <f>'LUC-2012-08-10-Run1'!BW10</f>
        <v>3.4447403408481883E-5</v>
      </c>
      <c r="AV9" s="53">
        <f>'LUC-2012-08-10-Run1'!BX10</f>
        <v>3.4441135791052025E-5</v>
      </c>
      <c r="AW9" s="53">
        <f>'LUC-2012-08-10-Run1'!BY10</f>
        <v>3.4435448478624177E-5</v>
      </c>
      <c r="AX9" s="53">
        <f>'LUC-2012-08-10-Run1'!BZ10</f>
        <v>3.4430343478347179E-5</v>
      </c>
      <c r="AY9" s="53">
        <f>'LUC-2012-08-10-Run1'!CA10</f>
        <v>3.4425827145816816E-5</v>
      </c>
      <c r="AZ9" s="53">
        <f>'LUC-2012-08-10-Run1'!CB10</f>
        <v>3.4421890084125702E-5</v>
      </c>
      <c r="BA9" s="53">
        <f>'LUC-2012-08-10-Run1'!CC10</f>
        <v>3.4418545168540914E-5</v>
      </c>
      <c r="BB9" s="53">
        <f>'LUC-2012-08-10-Run1'!CD10</f>
        <v>3.4415782411317079E-5</v>
      </c>
      <c r="BC9" s="53">
        <f>'LUC-2012-08-10-Run1'!CE10</f>
        <v>3.4413601966878305E-5</v>
      </c>
      <c r="BD9" s="53">
        <f>'LUC-2012-08-10-Run1'!CF10</f>
        <v>3.4412004723029851E-5</v>
      </c>
      <c r="BE9" s="53">
        <f>'LUC-2012-08-10-Run1'!CG10</f>
        <v>3.4410980572570303E-5</v>
      </c>
      <c r="BF9" s="53">
        <f>'LUC-2012-08-10-Run1'!CH10</f>
        <v>3.4410535088129198E-5</v>
      </c>
      <c r="BG9" s="53">
        <f>'LUC-2012-08-10-Run1'!CI10</f>
        <v>3.4410660375084007E-5</v>
      </c>
      <c r="BH9" s="53">
        <f>'LUC-2012-08-10-Run1'!CJ10</f>
        <v>3.441135368673192E-5</v>
      </c>
      <c r="BI9" s="53">
        <f>'LUC-2012-08-10-Run1'!CK10</f>
        <v>3.4412612432450478E-5</v>
      </c>
      <c r="BJ9" s="53">
        <f>'LUC-2012-08-10-Run1'!CL10</f>
        <v>3.4414449591313397E-5</v>
      </c>
      <c r="BK9" s="53">
        <f>'LUC-2012-08-10-Run1'!CM10</f>
        <v>3.4416851623049204E-5</v>
      </c>
      <c r="BM9" s="107"/>
      <c r="BN9" s="57" t="s">
        <v>111</v>
      </c>
      <c r="BO9" s="65">
        <f t="shared" si="7"/>
        <v>32.802454837634563</v>
      </c>
      <c r="BP9" s="65">
        <f t="shared" si="0"/>
        <v>32.350813318517766</v>
      </c>
      <c r="BQ9" s="65">
        <f t="shared" si="1"/>
        <v>32.430882594832426</v>
      </c>
      <c r="BR9" s="65">
        <f t="shared" si="2"/>
        <v>33.42861196327123</v>
      </c>
      <c r="BS9" s="65">
        <f t="shared" si="3"/>
        <v>34.478230191624448</v>
      </c>
      <c r="BT9" s="65">
        <f t="shared" si="4"/>
        <v>34.418545168540916</v>
      </c>
      <c r="BU9" s="65">
        <f t="shared" si="5"/>
        <v>34.416851623049205</v>
      </c>
      <c r="BV9" s="54"/>
      <c r="BX9" s="100">
        <f t="shared" si="6"/>
        <v>7.2297867716606984E-2</v>
      </c>
    </row>
    <row r="10" spans="1:78" x14ac:dyDescent="0.25">
      <c r="A10" s="54" t="s">
        <v>71</v>
      </c>
      <c r="B10" s="54" t="s">
        <v>102</v>
      </c>
      <c r="C10" s="52" t="s">
        <v>92</v>
      </c>
      <c r="D10" s="53">
        <f>'LUC-2012-08-10-Run1'!AF11</f>
        <v>9.854236723099179E-6</v>
      </c>
      <c r="E10" s="53">
        <f>'LUC-2012-08-10-Run1'!AG11</f>
        <v>9.9823313516283816E-6</v>
      </c>
      <c r="F10" s="53">
        <f>'LUC-2012-08-10-Run1'!AH11</f>
        <v>1.0100376622903003E-5</v>
      </c>
      <c r="G10" s="53">
        <f>'LUC-2012-08-10-Run1'!AI11</f>
        <v>1.0217954371032664E-5</v>
      </c>
      <c r="H10" s="53">
        <f>'LUC-2012-08-10-Run1'!AJ11</f>
        <v>1.0335036222756833E-5</v>
      </c>
      <c r="I10" s="53">
        <f>'LUC-2012-08-10-Run1'!AK11</f>
        <v>1.0451609591361124E-5</v>
      </c>
      <c r="J10" s="53">
        <f>'LUC-2012-08-10-Run1'!AL11</f>
        <v>1.0567721275233579E-5</v>
      </c>
      <c r="K10" s="53">
        <f>'LUC-2012-08-10-Run1'!AM11</f>
        <v>1.0683584645201572E-5</v>
      </c>
      <c r="L10" s="53">
        <f>'LUC-2012-08-10-Run1'!AN11</f>
        <v>1.0799445063931594E-5</v>
      </c>
      <c r="M10" s="53">
        <f>'LUC-2012-08-10-Run1'!AO11</f>
        <v>1.0915504194081234E-5</v>
      </c>
      <c r="N10" s="53">
        <f>'LUC-2012-08-10-Run1'!AP11</f>
        <v>1.1031807456688384E-5</v>
      </c>
      <c r="O10" s="53">
        <f>'LUC-2012-08-10-Run1'!AQ11</f>
        <v>1.1148309525294568E-5</v>
      </c>
      <c r="P10" s="53">
        <f>'LUC-2012-08-10-Run1'!AR11</f>
        <v>1.1264870100794226E-5</v>
      </c>
      <c r="Q10" s="53">
        <f>'LUC-2012-08-10-Run1'!AS11</f>
        <v>1.1381328286422772E-5</v>
      </c>
      <c r="R10" s="53">
        <f>'LUC-2012-08-10-Run1'!AT11</f>
        <v>1.1497512483415883E-5</v>
      </c>
      <c r="S10" s="53">
        <f>'LUC-2012-08-10-Run1'!AU11</f>
        <v>1.1613397424679677E-5</v>
      </c>
      <c r="T10" s="53">
        <f>'LUC-2012-08-10-Run1'!AV11</f>
        <v>1.1713798570050842E-5</v>
      </c>
      <c r="U10" s="53">
        <f>'LUC-2012-08-10-Run1'!AW11</f>
        <v>1.1814470296277969E-5</v>
      </c>
      <c r="V10" s="53">
        <f>'LUC-2012-08-10-Run1'!AX11</f>
        <v>1.191534638981658E-5</v>
      </c>
      <c r="W10" s="53">
        <f>'LUC-2012-08-10-Run1'!AY11</f>
        <v>1.2016381020005536E-5</v>
      </c>
      <c r="X10" s="53">
        <f>'LUC-2012-08-10-Run1'!AZ11</f>
        <v>1.2117558271218646E-5</v>
      </c>
      <c r="Y10" s="53">
        <f>'LUC-2012-08-10-Run1'!BA11</f>
        <v>1.2218890985596653E-5</v>
      </c>
      <c r="Z10" s="53">
        <f>'LUC-2012-08-10-Run1'!BB11</f>
        <v>1.2320406157975561E-5</v>
      </c>
      <c r="AA10" s="53">
        <f>'LUC-2012-08-10-Run1'!BC11</f>
        <v>1.2422163359147807E-5</v>
      </c>
      <c r="AB10" s="53">
        <f>'LUC-2012-08-10-Run1'!BD11</f>
        <v>1.2524187390788021E-5</v>
      </c>
      <c r="AC10" s="53">
        <f>'LUC-2012-08-10-Run1'!BE11</f>
        <v>1.2626483878628047E-5</v>
      </c>
      <c r="AD10" s="53">
        <f>'LUC-2012-08-10-Run1'!BF11</f>
        <v>1.2729030779148932E-5</v>
      </c>
      <c r="AE10" s="53">
        <f>'LUC-2012-08-10-Run1'!BG11</f>
        <v>1.2831824775562305E-5</v>
      </c>
      <c r="AF10" s="53">
        <f>'LUC-2012-08-10-Run1'!BH11</f>
        <v>1.293486824139877E-5</v>
      </c>
      <c r="AG10" s="53">
        <f>'LUC-2012-08-10-Run1'!BI11</f>
        <v>1.3038141931290572E-5</v>
      </c>
      <c r="AH10" s="53">
        <f>'LUC-2012-08-10-Run1'!BJ11</f>
        <v>1.3141646057248452E-5</v>
      </c>
      <c r="AI10" s="53">
        <f>'LUC-2012-08-10-Run1'!BK11</f>
        <v>1.324536198402301E-5</v>
      </c>
      <c r="AJ10" s="53">
        <f>'LUC-2012-08-10-Run1'!BL11</f>
        <v>1.3349273223858244E-5</v>
      </c>
      <c r="AK10" s="53">
        <f>'LUC-2012-08-10-Run1'!BM11</f>
        <v>1.3453362055576217E-5</v>
      </c>
      <c r="AL10" s="53">
        <f>'LUC-2012-08-10-Run1'!BN11</f>
        <v>1.3557618363085972E-5</v>
      </c>
      <c r="AM10" s="53">
        <f>'LUC-2012-08-10-Run1'!BO11</f>
        <v>1.3662013491165603E-5</v>
      </c>
      <c r="AN10" s="53">
        <f>'LUC-2012-08-10-Run1'!BP11</f>
        <v>1.3766547886425956E-5</v>
      </c>
      <c r="AO10" s="53">
        <f>'LUC-2012-08-10-Run1'!BQ11</f>
        <v>1.3871201491620626E-5</v>
      </c>
      <c r="AP10" s="53">
        <f>'LUC-2012-08-10-Run1'!BR11</f>
        <v>1.3975979456877814E-5</v>
      </c>
      <c r="AQ10" s="53">
        <f>'LUC-2012-08-10-Run1'!BS11</f>
        <v>1.408086503385868E-5</v>
      </c>
      <c r="AR10" s="53">
        <f>'LUC-2012-08-10-Run1'!BT11</f>
        <v>1.4176705987784486E-5</v>
      </c>
      <c r="AS10" s="53">
        <f>'LUC-2012-08-10-Run1'!BU11</f>
        <v>1.4272897661288029E-5</v>
      </c>
      <c r="AT10" s="53">
        <f>'LUC-2012-08-10-Run1'!BV11</f>
        <v>1.4369405170972683E-5</v>
      </c>
      <c r="AU10" s="53">
        <f>'LUC-2012-08-10-Run1'!BW11</f>
        <v>1.4466221110106797E-5</v>
      </c>
      <c r="AV10" s="53">
        <f>'LUC-2012-08-10-Run1'!BX11</f>
        <v>1.4563333182956466E-5</v>
      </c>
      <c r="AW10" s="53">
        <f>'LUC-2012-08-10-Run1'!BY11</f>
        <v>1.4660743453509237E-5</v>
      </c>
      <c r="AX10" s="53">
        <f>'LUC-2012-08-10-Run1'!BZ11</f>
        <v>1.4758440388510096E-5</v>
      </c>
      <c r="AY10" s="53">
        <f>'LUC-2012-08-10-Run1'!CA11</f>
        <v>1.485643337428682E-5</v>
      </c>
      <c r="AZ10" s="53">
        <f>'LUC-2012-08-10-Run1'!CB11</f>
        <v>1.4954723711917591E-5</v>
      </c>
      <c r="BA10" s="53">
        <f>'LUC-2012-08-10-Run1'!CC11</f>
        <v>1.5053310912873919E-5</v>
      </c>
      <c r="BB10" s="53">
        <f>'LUC-2012-08-10-Run1'!CD11</f>
        <v>1.5152187297695958E-5</v>
      </c>
      <c r="BC10" s="53">
        <f>'LUC-2012-08-10-Run1'!CE11</f>
        <v>1.5251347954090991E-5</v>
      </c>
      <c r="BD10" s="53">
        <f>'LUC-2012-08-10-Run1'!CF11</f>
        <v>1.535078884672587E-5</v>
      </c>
      <c r="BE10" s="53">
        <f>'LUC-2012-08-10-Run1'!CG11</f>
        <v>1.5450503085557794E-5</v>
      </c>
      <c r="BF10" s="53">
        <f>'LUC-2012-08-10-Run1'!CH11</f>
        <v>1.5550493837403647E-5</v>
      </c>
      <c r="BG10" s="53">
        <f>'LUC-2012-08-10-Run1'!CI11</f>
        <v>1.5650748955160461E-5</v>
      </c>
      <c r="BH10" s="53">
        <f>'LUC-2012-08-10-Run1'!CJ11</f>
        <v>1.5751267258813495E-5</v>
      </c>
      <c r="BI10" s="53">
        <f>'LUC-2012-08-10-Run1'!CK11</f>
        <v>1.5852032855683394E-5</v>
      </c>
      <c r="BJ10" s="53">
        <f>'LUC-2012-08-10-Run1'!CL11</f>
        <v>1.5953046526604541E-5</v>
      </c>
      <c r="BK10" s="53">
        <f>'LUC-2012-08-10-Run1'!CM11</f>
        <v>1.6054290103878199E-5</v>
      </c>
      <c r="BM10" s="107"/>
      <c r="BN10" s="57" t="s">
        <v>102</v>
      </c>
      <c r="BO10" s="65">
        <f t="shared" si="7"/>
        <v>9.854236723099179</v>
      </c>
      <c r="BP10" s="65">
        <f t="shared" si="0"/>
        <v>10.915504194081233</v>
      </c>
      <c r="BQ10" s="65">
        <f t="shared" si="1"/>
        <v>12.016381020005536</v>
      </c>
      <c r="BR10" s="65">
        <f t="shared" si="2"/>
        <v>13.038141931290573</v>
      </c>
      <c r="BS10" s="65">
        <f t="shared" si="3"/>
        <v>14.08086503385868</v>
      </c>
      <c r="BT10" s="65">
        <f t="shared" si="4"/>
        <v>15.053310912873918</v>
      </c>
      <c r="BU10" s="65">
        <f t="shared" si="5"/>
        <v>16.054290103878198</v>
      </c>
      <c r="BV10" s="54"/>
      <c r="BX10" s="100">
        <f t="shared" si="6"/>
        <v>0.39632726009517738</v>
      </c>
    </row>
    <row r="11" spans="1:78" x14ac:dyDescent="0.25">
      <c r="A11" s="54" t="s">
        <v>71</v>
      </c>
      <c r="B11" s="54" t="s">
        <v>103</v>
      </c>
      <c r="C11" s="52" t="s">
        <v>92</v>
      </c>
      <c r="D11" s="53">
        <f>'LUC-2012-08-10-Run1'!AF12</f>
        <v>2.1546611417777664E-5</v>
      </c>
      <c r="E11" s="53">
        <f>'LUC-2012-08-10-Run1'!AG12</f>
        <v>2.1548776353901259E-5</v>
      </c>
      <c r="F11" s="53">
        <f>'LUC-2012-08-10-Run1'!AH12</f>
        <v>2.1529813843228388E-5</v>
      </c>
      <c r="G11" s="53">
        <f>'LUC-2012-08-10-Run1'!AI12</f>
        <v>2.1511796280261009E-5</v>
      </c>
      <c r="H11" s="53">
        <f>'LUC-2012-08-10-Run1'!AJ12</f>
        <v>2.1494294630538175E-5</v>
      </c>
      <c r="I11" s="53">
        <f>'LUC-2012-08-10-Run1'!AK12</f>
        <v>2.1477258718884035E-5</v>
      </c>
      <c r="J11" s="53">
        <f>'LUC-2012-08-10-Run1'!AL12</f>
        <v>2.1460780711870611E-5</v>
      </c>
      <c r="K11" s="53">
        <f>'LUC-2012-08-10-Run1'!AM12</f>
        <v>2.1445238306112089E-5</v>
      </c>
      <c r="L11" s="53">
        <f>'LUC-2012-08-10-Run1'!AN12</f>
        <v>2.1430974190250699E-5</v>
      </c>
      <c r="M11" s="53">
        <f>'LUC-2012-08-10-Run1'!AO12</f>
        <v>2.1418246228484336E-5</v>
      </c>
      <c r="N11" s="53">
        <f>'LUC-2012-08-10-Run1'!AP12</f>
        <v>2.1406989135757382E-5</v>
      </c>
      <c r="O11" s="53">
        <f>'LUC-2012-08-10-Run1'!AQ12</f>
        <v>2.1396971476561034E-5</v>
      </c>
      <c r="P11" s="53">
        <f>'LUC-2012-08-10-Run1'!AR12</f>
        <v>2.1387819441490876E-5</v>
      </c>
      <c r="Q11" s="53">
        <f>'LUC-2012-08-10-Run1'!AS12</f>
        <v>2.1379160748666734E-5</v>
      </c>
      <c r="R11" s="53">
        <f>'LUC-2012-08-10-Run1'!AT12</f>
        <v>2.1370586114888923E-5</v>
      </c>
      <c r="S11" s="53">
        <f>'LUC-2012-08-10-Run1'!AU12</f>
        <v>2.136207988774734E-5</v>
      </c>
      <c r="T11" s="53">
        <f>'LUC-2012-08-10-Run1'!AV12</f>
        <v>2.1431219936181367E-5</v>
      </c>
      <c r="U11" s="53">
        <f>'LUC-2012-08-10-Run1'!AW12</f>
        <v>2.1500621928855455E-5</v>
      </c>
      <c r="V11" s="53">
        <f>'LUC-2012-08-10-Run1'!AX12</f>
        <v>2.1570179413566521E-5</v>
      </c>
      <c r="W11" s="53">
        <f>'LUC-2012-08-10-Run1'!AY12</f>
        <v>2.1639821924105715E-5</v>
      </c>
      <c r="X11" s="53">
        <f>'LUC-2012-08-10-Run1'!AZ12</f>
        <v>2.1709567707921659E-5</v>
      </c>
      <c r="Y11" s="53">
        <f>'LUC-2012-08-10-Run1'!BA12</f>
        <v>2.1779462959994464E-5</v>
      </c>
      <c r="Z11" s="53">
        <f>'LUC-2012-08-10-Run1'!BB12</f>
        <v>2.1849626776714623E-5</v>
      </c>
      <c r="AA11" s="53">
        <f>'LUC-2012-08-10-Run1'!BC12</f>
        <v>2.1920278464497534E-5</v>
      </c>
      <c r="AB11" s="53">
        <f>'LUC-2012-08-10-Run1'!BD12</f>
        <v>2.1991551238002374E-5</v>
      </c>
      <c r="AC11" s="53">
        <f>'LUC-2012-08-10-Run1'!BE12</f>
        <v>2.2063475894961098E-5</v>
      </c>
      <c r="AD11" s="53">
        <f>'LUC-2012-08-10-Run1'!BF12</f>
        <v>2.2136022770592723E-5</v>
      </c>
      <c r="AE11" s="53">
        <f>'LUC-2012-08-10-Run1'!BG12</f>
        <v>2.2209233349265895E-5</v>
      </c>
      <c r="AF11" s="53">
        <f>'LUC-2012-08-10-Run1'!BH12</f>
        <v>2.2283196844612381E-5</v>
      </c>
      <c r="AG11" s="53">
        <f>'LUC-2012-08-10-Run1'!BI12</f>
        <v>2.2357890539718146E-5</v>
      </c>
      <c r="AH11" s="53">
        <f>'LUC-2012-08-10-Run1'!BJ12</f>
        <v>2.2433347003655922E-5</v>
      </c>
      <c r="AI11" s="53">
        <f>'LUC-2012-08-10-Run1'!BK12</f>
        <v>2.2509532403832295E-5</v>
      </c>
      <c r="AJ11" s="53">
        <f>'LUC-2012-08-10-Run1'!BL12</f>
        <v>2.2586360106813801E-5</v>
      </c>
      <c r="AK11" s="53">
        <f>'LUC-2012-08-10-Run1'!BM12</f>
        <v>2.266373951206043E-5</v>
      </c>
      <c r="AL11" s="53">
        <f>'LUC-2012-08-10-Run1'!BN12</f>
        <v>2.2741629068060705E-5</v>
      </c>
      <c r="AM11" s="53">
        <f>'LUC-2012-08-10-Run1'!BO12</f>
        <v>2.2819945752611374E-5</v>
      </c>
      <c r="AN11" s="53">
        <f>'LUC-2012-08-10-Run1'!BP12</f>
        <v>2.2898700583336664E-5</v>
      </c>
      <c r="AO11" s="53">
        <f>'LUC-2012-08-10-Run1'!BQ12</f>
        <v>2.2977838939417841E-5</v>
      </c>
      <c r="AP11" s="53">
        <f>'LUC-2012-08-10-Run1'!BR12</f>
        <v>2.3057373635006435E-5</v>
      </c>
      <c r="AQ11" s="53">
        <f>'LUC-2012-08-10-Run1'!BS12</f>
        <v>2.3137229080172518E-5</v>
      </c>
      <c r="AR11" s="53">
        <f>'LUC-2012-08-10-Run1'!BT12</f>
        <v>2.322088460377657E-5</v>
      </c>
      <c r="AS11" s="53">
        <f>'LUC-2012-08-10-Run1'!BU12</f>
        <v>2.3304856513304948E-5</v>
      </c>
      <c r="AT11" s="53">
        <f>'LUC-2012-08-10-Run1'!BV12</f>
        <v>2.3389124320775309E-5</v>
      </c>
      <c r="AU11" s="53">
        <f>'LUC-2012-08-10-Run1'!BW12</f>
        <v>2.3473652943025843E-5</v>
      </c>
      <c r="AV11" s="53">
        <f>'LUC-2012-08-10-Run1'!BX12</f>
        <v>2.3558450585572394E-5</v>
      </c>
      <c r="AW11" s="53">
        <f>'LUC-2012-08-10-Run1'!BY12</f>
        <v>2.3643525071400696E-5</v>
      </c>
      <c r="AX11" s="53">
        <f>'LUC-2012-08-10-Run1'!BZ12</f>
        <v>2.3728839924302104E-5</v>
      </c>
      <c r="AY11" s="53">
        <f>'LUC-2012-08-10-Run1'!CA12</f>
        <v>2.3814449363319564E-5</v>
      </c>
      <c r="AZ11" s="53">
        <f>'LUC-2012-08-10-Run1'!CB12</f>
        <v>2.3900368603731259E-5</v>
      </c>
      <c r="BA11" s="53">
        <f>'LUC-2012-08-10-Run1'!CC12</f>
        <v>2.398661922121495E-5</v>
      </c>
      <c r="BB11" s="53">
        <f>'LUC-2012-08-10-Run1'!CD12</f>
        <v>2.4073166653929001E-5</v>
      </c>
      <c r="BC11" s="53">
        <f>'LUC-2012-08-10-Run1'!CE12</f>
        <v>2.4160049413654472E-5</v>
      </c>
      <c r="BD11" s="53">
        <f>'LUC-2012-08-10-Run1'!CF12</f>
        <v>2.4247233568978547E-5</v>
      </c>
      <c r="BE11" s="53">
        <f>'LUC-2012-08-10-Run1'!CG12</f>
        <v>2.4334710078056624E-5</v>
      </c>
      <c r="BF11" s="53">
        <f>'LUC-2012-08-10-Run1'!CH12</f>
        <v>2.4422475304205185E-5</v>
      </c>
      <c r="BG11" s="53">
        <f>'LUC-2012-08-10-Run1'!CI12</f>
        <v>2.4510534334148943E-5</v>
      </c>
      <c r="BH11" s="53">
        <f>'LUC-2012-08-10-Run1'!CJ12</f>
        <v>2.4598868961428005E-5</v>
      </c>
      <c r="BI11" s="53">
        <f>'LUC-2012-08-10-Run1'!CK12</f>
        <v>2.4687474773804851E-5</v>
      </c>
      <c r="BJ11" s="53">
        <f>'LUC-2012-08-10-Run1'!CL12</f>
        <v>2.4776359815924639E-5</v>
      </c>
      <c r="BK11" s="53">
        <f>'LUC-2012-08-10-Run1'!CM12</f>
        <v>2.4865496205584895E-5</v>
      </c>
      <c r="BM11" s="107"/>
      <c r="BN11" s="57" t="s">
        <v>103</v>
      </c>
      <c r="BO11" s="65">
        <f t="shared" si="7"/>
        <v>21.546611417777665</v>
      </c>
      <c r="BP11" s="65">
        <f t="shared" si="0"/>
        <v>21.418246228484335</v>
      </c>
      <c r="BQ11" s="65">
        <f t="shared" si="1"/>
        <v>21.639821924105714</v>
      </c>
      <c r="BR11" s="65">
        <f t="shared" si="2"/>
        <v>22.357890539718145</v>
      </c>
      <c r="BS11" s="65">
        <f t="shared" si="3"/>
        <v>23.137229080172517</v>
      </c>
      <c r="BT11" s="65">
        <f t="shared" si="4"/>
        <v>23.986619221214951</v>
      </c>
      <c r="BU11" s="65">
        <f t="shared" si="5"/>
        <v>24.865496205584893</v>
      </c>
      <c r="BV11" s="54"/>
      <c r="BX11" s="100">
        <f t="shared" si="6"/>
        <v>0.16353833591213776</v>
      </c>
    </row>
    <row r="12" spans="1:78" x14ac:dyDescent="0.25">
      <c r="A12" s="52" t="s">
        <v>71</v>
      </c>
      <c r="B12" s="54" t="s">
        <v>104</v>
      </c>
      <c r="C12" s="52" t="s">
        <v>92</v>
      </c>
      <c r="D12" s="53">
        <f>'LUC-2012-08-10-Run1'!AF14</f>
        <v>7.2579400635636128E-5</v>
      </c>
      <c r="E12" s="53">
        <f>'LUC-2012-08-10-Run1'!AG14</f>
        <v>7.2710750357848772E-5</v>
      </c>
      <c r="F12" s="53">
        <f>'LUC-2012-08-10-Run1'!AH14</f>
        <v>7.2835631481469562E-5</v>
      </c>
      <c r="G12" s="53">
        <f>'LUC-2012-08-10-Run1'!AI14</f>
        <v>7.2966844650889425E-5</v>
      </c>
      <c r="H12" s="53">
        <f>'LUC-2012-08-10-Run1'!AJ14</f>
        <v>7.3104359921105733E-5</v>
      </c>
      <c r="I12" s="53">
        <f>'LUC-2012-08-10-Run1'!AK14</f>
        <v>7.3248246864508071E-5</v>
      </c>
      <c r="J12" s="53">
        <f>'LUC-2012-08-10-Run1'!AL14</f>
        <v>7.3398754505103175E-5</v>
      </c>
      <c r="K12" s="53">
        <f>'LUC-2012-08-10-Run1'!AM14</f>
        <v>7.3555626460515322E-5</v>
      </c>
      <c r="L12" s="53">
        <f>'LUC-2012-08-10-Run1'!AN14</f>
        <v>7.3718630250443402E-5</v>
      </c>
      <c r="M12" s="53">
        <f>'LUC-2012-08-10-Run1'!AO14</f>
        <v>7.3887930394828121E-5</v>
      </c>
      <c r="N12" s="53">
        <f>'LUC-2012-08-10-Run1'!AP14</f>
        <v>7.4063048210976443E-5</v>
      </c>
      <c r="O12" s="53">
        <f>'LUC-2012-08-10-Run1'!AQ14</f>
        <v>7.4244147109695115E-5</v>
      </c>
      <c r="P12" s="53">
        <f>'LUC-2012-08-10-Run1'!AR14</f>
        <v>7.4431632375143155E-5</v>
      </c>
      <c r="Q12" s="53">
        <f>'LUC-2012-08-10-Run1'!AS14</f>
        <v>7.4625871636400709E-5</v>
      </c>
      <c r="R12" s="53">
        <f>'LUC-2012-08-10-Run1'!AT14</f>
        <v>7.4827372348252132E-5</v>
      </c>
      <c r="S12" s="53">
        <f>'LUC-2012-08-10-Run1'!AU14</f>
        <v>7.5036047961920654E-5</v>
      </c>
      <c r="T12" s="53">
        <f>'LUC-2012-08-10-Run1'!AV14</f>
        <v>7.5196129754424222E-5</v>
      </c>
      <c r="U12" s="53">
        <f>'LUC-2012-08-10-Run1'!AW14</f>
        <v>7.5362226892668419E-5</v>
      </c>
      <c r="V12" s="53">
        <f>'LUC-2012-08-10-Run1'!AX14</f>
        <v>7.5533423136030673E-5</v>
      </c>
      <c r="W12" s="53">
        <f>'LUC-2012-08-10-Run1'!AY14</f>
        <v>7.570918252286068E-5</v>
      </c>
      <c r="X12" s="53">
        <f>'LUC-2012-08-10-Run1'!AZ14</f>
        <v>7.5889042320633371E-5</v>
      </c>
      <c r="Y12" s="53">
        <f>'LUC-2012-08-10-Run1'!BA14</f>
        <v>7.6072967370297419E-5</v>
      </c>
      <c r="Z12" s="53">
        <f>'LUC-2012-08-10-Run1'!BB14</f>
        <v>7.6260690065726422E-5</v>
      </c>
      <c r="AA12" s="53">
        <f>'LUC-2012-08-10-Run1'!BC14</f>
        <v>7.6451712192685824E-5</v>
      </c>
      <c r="AB12" s="53">
        <f>'LUC-2012-08-10-Run1'!BD14</f>
        <v>7.6645708716077289E-5</v>
      </c>
      <c r="AC12" s="53">
        <f>'LUC-2012-08-10-Run1'!BE14</f>
        <v>7.6842653727074298E-5</v>
      </c>
      <c r="AD12" s="53">
        <f>'LUC-2012-08-10-Run1'!BF14</f>
        <v>7.7042342470197924E-5</v>
      </c>
      <c r="AE12" s="53">
        <f>'LUC-2012-08-10-Run1'!BG14</f>
        <v>7.724507134193393E-5</v>
      </c>
      <c r="AF12" s="53">
        <f>'LUC-2012-08-10-Run1'!BH14</f>
        <v>7.7450697007099199E-5</v>
      </c>
      <c r="AG12" s="53">
        <f>'LUC-2012-08-10-Run1'!BI14</f>
        <v>7.7659336093488269E-5</v>
      </c>
      <c r="AH12" s="53">
        <f>'LUC-2012-08-10-Run1'!BJ14</f>
        <v>7.7871119041523682E-5</v>
      </c>
      <c r="AI12" s="53">
        <f>'LUC-2012-08-10-Run1'!BK14</f>
        <v>7.8085962512260875E-5</v>
      </c>
      <c r="AJ12" s="53">
        <f>'LUC-2012-08-10-Run1'!BL14</f>
        <v>7.8304194048995108E-5</v>
      </c>
      <c r="AK12" s="53">
        <f>'LUC-2012-08-10-Run1'!BM14</f>
        <v>7.8526200171564843E-5</v>
      </c>
      <c r="AL12" s="53">
        <f>'LUC-2012-08-10-Run1'!BN14</f>
        <v>7.8752113447964735E-5</v>
      </c>
      <c r="AM12" s="53">
        <f>'LUC-2012-08-10-Run1'!BO14</f>
        <v>7.8982140394694782E-5</v>
      </c>
      <c r="AN12" s="53">
        <f>'LUC-2012-08-10-Run1'!BP14</f>
        <v>7.9215967873173866E-5</v>
      </c>
      <c r="AO12" s="53">
        <f>'LUC-2012-08-10-Run1'!BQ14</f>
        <v>7.9453663292605763E-5</v>
      </c>
      <c r="AP12" s="53">
        <f>'LUC-2012-08-10-Run1'!BR14</f>
        <v>7.9694685625893665E-5</v>
      </c>
      <c r="AQ12" s="53">
        <f>'LUC-2012-08-10-Run1'!BS14</f>
        <v>8.0939140319541284E-5</v>
      </c>
      <c r="AR12" s="53">
        <f>'LUC-2012-08-10-Run1'!BT14</f>
        <v>8.1144580689791697E-5</v>
      </c>
      <c r="AS12" s="53">
        <f>'LUC-2012-08-10-Run1'!BU14</f>
        <v>8.1352255328899303E-5</v>
      </c>
      <c r="AT12" s="53">
        <f>'LUC-2012-08-10-Run1'!BV14</f>
        <v>8.1561589635048809E-5</v>
      </c>
      <c r="AU12" s="53">
        <f>'LUC-2012-08-10-Run1'!BW14</f>
        <v>8.1772238866018886E-5</v>
      </c>
      <c r="AV12" s="53">
        <f>'LUC-2012-08-10-Run1'!BX14</f>
        <v>8.1983732728382883E-5</v>
      </c>
      <c r="AW12" s="53">
        <f>'LUC-2012-08-10-Run1'!BY14</f>
        <v>8.2195784794655147E-5</v>
      </c>
      <c r="AX12" s="53">
        <f>'LUC-2012-08-10-Run1'!BZ14</f>
        <v>8.240854022039316E-5</v>
      </c>
      <c r="AY12" s="53">
        <f>'LUC-2012-08-10-Run1'!CA14</f>
        <v>8.2621769860770545E-5</v>
      </c>
      <c r="AZ12" s="53">
        <f>'LUC-2012-08-10-Run1'!CB14</f>
        <v>8.2835636290142024E-5</v>
      </c>
      <c r="BA12" s="53">
        <f>'LUC-2012-08-10-Run1'!CC14</f>
        <v>8.3049975000763771E-5</v>
      </c>
      <c r="BB12" s="53">
        <f>'LUC-2012-08-10-Run1'!CD14</f>
        <v>8.3264965361052375E-5</v>
      </c>
      <c r="BC12" s="53">
        <f>'LUC-2012-08-10-Run1'!CE14</f>
        <v>8.3480476330671094E-5</v>
      </c>
      <c r="BD12" s="53">
        <f>'LUC-2012-08-10-Run1'!CF14</f>
        <v>8.3696427440170748E-5</v>
      </c>
      <c r="BE12" s="53">
        <f>'LUC-2012-08-10-Run1'!CG14</f>
        <v>8.3912861801149424E-5</v>
      </c>
      <c r="BF12" s="53">
        <f>'LUC-2012-08-10-Run1'!CH14</f>
        <v>8.4129687508903073E-5</v>
      </c>
      <c r="BG12" s="53">
        <f>'LUC-2012-08-10-Run1'!CI14</f>
        <v>8.4347050159480082E-5</v>
      </c>
      <c r="BH12" s="53">
        <f>'LUC-2012-08-10-Run1'!CJ14</f>
        <v>8.4564999780692071E-5</v>
      </c>
      <c r="BI12" s="53">
        <f>'LUC-2012-08-10-Run1'!CK14</f>
        <v>8.4783852786025421E-5</v>
      </c>
      <c r="BJ12" s="53">
        <f>'LUC-2012-08-10-Run1'!CL14</f>
        <v>8.5003601175681514E-5</v>
      </c>
      <c r="BK12" s="53">
        <f>'LUC-2012-08-10-Run1'!CM14</f>
        <v>8.5224739069646827E-5</v>
      </c>
      <c r="BM12" s="105"/>
      <c r="BN12" s="58" t="s">
        <v>104</v>
      </c>
      <c r="BO12" s="66">
        <f t="shared" si="7"/>
        <v>72.579400635636134</v>
      </c>
      <c r="BP12" s="66">
        <f t="shared" si="0"/>
        <v>73.887930394828118</v>
      </c>
      <c r="BQ12" s="66">
        <f t="shared" si="1"/>
        <v>75.709182522860687</v>
      </c>
      <c r="BR12" s="66">
        <f t="shared" si="2"/>
        <v>77.659336093488264</v>
      </c>
      <c r="BS12" s="66">
        <f t="shared" si="3"/>
        <v>80.939140319541281</v>
      </c>
      <c r="BT12" s="66">
        <f t="shared" si="4"/>
        <v>83.049975000763766</v>
      </c>
      <c r="BU12" s="66">
        <f t="shared" si="5"/>
        <v>85.22473906964683</v>
      </c>
      <c r="BV12" s="54"/>
      <c r="BX12" s="100">
        <f t="shared" si="6"/>
        <v>0.13895138095995915</v>
      </c>
      <c r="BY12" s="100">
        <f>SUM(BX2:BX12)</f>
        <v>1.9913150667541932</v>
      </c>
      <c r="BZ12">
        <f>BY12/12</f>
        <v>0.16594292222951609</v>
      </c>
    </row>
    <row r="13" spans="1:78" x14ac:dyDescent="0.25">
      <c r="BM13" s="106" t="s">
        <v>38</v>
      </c>
      <c r="BN13" s="59" t="s">
        <v>96</v>
      </c>
      <c r="BO13" s="64">
        <f t="shared" ref="BO13:BO23" si="8">D14*1000000</f>
        <v>26.047124150016419</v>
      </c>
      <c r="BP13" s="64">
        <f t="shared" ref="BP13:BP23" si="9">M14*1000000</f>
        <v>25.027577905867933</v>
      </c>
      <c r="BQ13" s="64">
        <f t="shared" ref="BQ13:BQ23" si="10">W14*1000000</f>
        <v>24.404981033839864</v>
      </c>
      <c r="BR13" s="64">
        <f t="shared" ref="BR13:BR23" si="11">AG14*1000000</f>
        <v>24.492279269285369</v>
      </c>
      <c r="BS13" s="64">
        <f t="shared" ref="BS13:BS23" si="12">AQ14*1000000</f>
        <v>24.579889776307784</v>
      </c>
      <c r="BT13" s="64">
        <f t="shared" ref="BT13:BT23" si="13">BA14*1000000</f>
        <v>24.667813671923248</v>
      </c>
      <c r="BU13" s="64">
        <f t="shared" ref="BU13:BU23" si="14">BK14*1000000</f>
        <v>24.756052077143536</v>
      </c>
      <c r="BV13" s="51">
        <f>SUM(M14:M17)*1000000</f>
        <v>280.89504032553498</v>
      </c>
      <c r="BW13" s="51">
        <f>SUM(BU13:BU16)</f>
        <v>314.2519950251185</v>
      </c>
      <c r="BX13" s="100">
        <f t="shared" ref="BX13:BX23" si="15">(BK14-R14)/R14</f>
        <v>1.1338245888622396E-2</v>
      </c>
    </row>
    <row r="14" spans="1:78" x14ac:dyDescent="0.25">
      <c r="A14" s="52" t="s">
        <v>38</v>
      </c>
      <c r="B14" s="54" t="s">
        <v>96</v>
      </c>
      <c r="C14" s="52" t="s">
        <v>92</v>
      </c>
      <c r="D14" s="53">
        <f>'LUC-2012-08-10-Run1'!AF16</f>
        <v>2.6047124150016419E-5</v>
      </c>
      <c r="E14" s="53">
        <f>'LUC-2012-08-10-Run1'!AG16</f>
        <v>2.5931820509822103E-5</v>
      </c>
      <c r="F14" s="53">
        <f>'LUC-2012-08-10-Run1'!AH16</f>
        <v>2.5817027287951345E-5</v>
      </c>
      <c r="G14" s="53">
        <f>'LUC-2012-08-10-Run1'!AI16</f>
        <v>2.5702742224918969E-5</v>
      </c>
      <c r="H14" s="53">
        <f>'LUC-2012-08-10-Run1'!AJ16</f>
        <v>2.5588963071241946E-5</v>
      </c>
      <c r="I14" s="53">
        <f>'LUC-2012-08-10-Run1'!AK16</f>
        <v>2.5475687587395098E-5</v>
      </c>
      <c r="J14" s="53">
        <f>'LUC-2012-08-10-Run1'!AL16</f>
        <v>2.5362913543767027E-5</v>
      </c>
      <c r="K14" s="53">
        <f>'LUC-2012-08-10-Run1'!AM16</f>
        <v>2.5250638720616227E-5</v>
      </c>
      <c r="L14" s="53">
        <f>'LUC-2012-08-10-Run1'!AN16</f>
        <v>2.5138860908027395E-5</v>
      </c>
      <c r="M14" s="53">
        <f>'LUC-2012-08-10-Run1'!AO16</f>
        <v>2.5027577905867931E-5</v>
      </c>
      <c r="N14" s="53">
        <f>'LUC-2012-08-10-Run1'!AP16</f>
        <v>2.4916787523744632E-5</v>
      </c>
      <c r="O14" s="53">
        <f>'LUC-2012-08-10-Run1'!AQ16</f>
        <v>2.4806487580960574E-5</v>
      </c>
      <c r="P14" s="53">
        <f>'LUC-2012-08-10-Run1'!AR16</f>
        <v>2.4696675906472202E-5</v>
      </c>
      <c r="Q14" s="53">
        <f>'LUC-2012-08-10-Run1'!AS16</f>
        <v>2.4587350338846587E-5</v>
      </c>
      <c r="R14" s="53">
        <f>'LUC-2012-08-10-Run1'!AT16</f>
        <v>2.4478508726218878E-5</v>
      </c>
      <c r="S14" s="53">
        <f>'LUC-2012-08-10-Run1'!AU16</f>
        <v>2.4370148926249962E-5</v>
      </c>
      <c r="T14" s="53">
        <f>'LUC-2012-08-10-Run1'!AV16</f>
        <v>2.4378852289661097E-5</v>
      </c>
      <c r="U14" s="53">
        <f>'LUC-2012-08-10-Run1'!AW16</f>
        <v>2.438755876132302E-5</v>
      </c>
      <c r="V14" s="53">
        <f>'LUC-2012-08-10-Run1'!AX16</f>
        <v>2.4396268342345792E-5</v>
      </c>
      <c r="W14" s="53">
        <f>'LUC-2012-08-10-Run1'!AY16</f>
        <v>2.4404981033839863E-5</v>
      </c>
      <c r="X14" s="53">
        <f>'LUC-2012-08-10-Run1'!AZ16</f>
        <v>2.4413696836916083E-5</v>
      </c>
      <c r="Y14" s="53">
        <f>'LUC-2012-08-10-Run1'!BA16</f>
        <v>2.4422415752685697E-5</v>
      </c>
      <c r="Z14" s="53">
        <f>'LUC-2012-08-10-Run1'!BB16</f>
        <v>2.443113778226035E-5</v>
      </c>
      <c r="AA14" s="53">
        <f>'LUC-2012-08-10-Run1'!BC16</f>
        <v>2.4439862926752079E-5</v>
      </c>
      <c r="AB14" s="53">
        <f>'LUC-2012-08-10-Run1'!BD16</f>
        <v>2.4448591187273323E-5</v>
      </c>
      <c r="AC14" s="53">
        <f>'LUC-2012-08-10-Run1'!BE16</f>
        <v>2.4457322564936916E-5</v>
      </c>
      <c r="AD14" s="53">
        <f>'LUC-2012-08-10-Run1'!BF16</f>
        <v>2.4466057060856087E-5</v>
      </c>
      <c r="AE14" s="53">
        <f>'LUC-2012-08-10-Run1'!BG16</f>
        <v>2.4474794676144469E-5</v>
      </c>
      <c r="AF14" s="53">
        <f>'LUC-2012-08-10-Run1'!BH16</f>
        <v>2.4483535411916089E-5</v>
      </c>
      <c r="AG14" s="53">
        <f>'LUC-2012-08-10-Run1'!BI16</f>
        <v>2.4492279269285369E-5</v>
      </c>
      <c r="AH14" s="53">
        <f>'LUC-2012-08-10-Run1'!BJ16</f>
        <v>2.4501026249367136E-5</v>
      </c>
      <c r="AI14" s="53">
        <f>'LUC-2012-08-10-Run1'!BK16</f>
        <v>2.4509776353276607E-5</v>
      </c>
      <c r="AJ14" s="53">
        <f>'LUC-2012-08-10-Run1'!BL16</f>
        <v>2.4518529582129402E-5</v>
      </c>
      <c r="AK14" s="53">
        <f>'LUC-2012-08-10-Run1'!BM16</f>
        <v>2.4527285937041538E-5</v>
      </c>
      <c r="AL14" s="53">
        <f>'LUC-2012-08-10-Run1'!BN16</f>
        <v>2.4536045419129436E-5</v>
      </c>
      <c r="AM14" s="53">
        <f>'LUC-2012-08-10-Run1'!BO16</f>
        <v>2.4544808029509907E-5</v>
      </c>
      <c r="AN14" s="53">
        <f>'LUC-2012-08-10-Run1'!BP16</f>
        <v>2.4553573769300165E-5</v>
      </c>
      <c r="AO14" s="53">
        <f>'LUC-2012-08-10-Run1'!BQ16</f>
        <v>2.4562342639617823E-5</v>
      </c>
      <c r="AP14" s="53">
        <f>'LUC-2012-08-10-Run1'!BR16</f>
        <v>2.4571114641580892E-5</v>
      </c>
      <c r="AQ14" s="53">
        <f>'LUC-2012-08-10-Run1'!BS16</f>
        <v>2.4579889776307785E-5</v>
      </c>
      <c r="AR14" s="53">
        <f>'LUC-2012-08-10-Run1'!BT16</f>
        <v>2.4588668044917313E-5</v>
      </c>
      <c r="AS14" s="53">
        <f>'LUC-2012-08-10-Run1'!BU16</f>
        <v>2.4597449448528686E-5</v>
      </c>
      <c r="AT14" s="53">
        <f>'LUC-2012-08-10-Run1'!BV16</f>
        <v>2.460623398826151E-5</v>
      </c>
      <c r="AU14" s="53">
        <f>'LUC-2012-08-10-Run1'!BW16</f>
        <v>2.4615021665235799E-5</v>
      </c>
      <c r="AV14" s="53">
        <f>'LUC-2012-08-10-Run1'!BX16</f>
        <v>2.4623812480571962E-5</v>
      </c>
      <c r="AW14" s="53">
        <f>'LUC-2012-08-10-Run1'!BY16</f>
        <v>2.463260643539081E-5</v>
      </c>
      <c r="AX14" s="53">
        <f>'LUC-2012-08-10-Run1'!BZ16</f>
        <v>2.4641403530813551E-5</v>
      </c>
      <c r="AY14" s="53">
        <f>'LUC-2012-08-10-Run1'!CA16</f>
        <v>2.4650203767961796E-5</v>
      </c>
      <c r="AZ14" s="53">
        <f>'LUC-2012-08-10-Run1'!CB16</f>
        <v>2.4659007147957558E-5</v>
      </c>
      <c r="BA14" s="53">
        <f>'LUC-2012-08-10-Run1'!CC16</f>
        <v>2.4667813671923248E-5</v>
      </c>
      <c r="BB14" s="53">
        <f>'LUC-2012-08-10-Run1'!CD16</f>
        <v>2.4676623340981674E-5</v>
      </c>
      <c r="BC14" s="53">
        <f>'LUC-2012-08-10-Run1'!CE16</f>
        <v>2.4685436156256055E-5</v>
      </c>
      <c r="BD14" s="53">
        <f>'LUC-2012-08-10-Run1'!CF16</f>
        <v>2.4694252118870006E-5</v>
      </c>
      <c r="BE14" s="53">
        <f>'LUC-2012-08-10-Run1'!CG16</f>
        <v>2.4703071229947542E-5</v>
      </c>
      <c r="BF14" s="53">
        <f>'LUC-2012-08-10-Run1'!CH16</f>
        <v>2.4711893490613081E-5</v>
      </c>
      <c r="BG14" s="53">
        <f>'LUC-2012-08-10-Run1'!CI16</f>
        <v>2.4720718901991441E-5</v>
      </c>
      <c r="BH14" s="53">
        <f>'LUC-2012-08-10-Run1'!CJ16</f>
        <v>2.4729547465207841E-5</v>
      </c>
      <c r="BI14" s="53">
        <f>'LUC-2012-08-10-Run1'!CK16</f>
        <v>2.4738379181387907E-5</v>
      </c>
      <c r="BJ14" s="53">
        <f>'LUC-2012-08-10-Run1'!CL16</f>
        <v>2.4747214051657664E-5</v>
      </c>
      <c r="BK14" s="53">
        <f>'LUC-2012-08-10-Run1'!CM16</f>
        <v>2.4756052077143536E-5</v>
      </c>
      <c r="BM14" s="104"/>
      <c r="BN14" s="57" t="s">
        <v>97</v>
      </c>
      <c r="BO14" s="65">
        <f t="shared" si="8"/>
        <v>201</v>
      </c>
      <c r="BP14" s="65">
        <f t="shared" si="9"/>
        <v>201.6</v>
      </c>
      <c r="BQ14" s="65">
        <f t="shared" si="10"/>
        <v>204.16666666666669</v>
      </c>
      <c r="BR14" s="65">
        <f t="shared" si="11"/>
        <v>209.58333333333331</v>
      </c>
      <c r="BS14" s="65">
        <f t="shared" si="12"/>
        <v>215</v>
      </c>
      <c r="BT14" s="65">
        <f t="shared" si="13"/>
        <v>218.5</v>
      </c>
      <c r="BU14" s="65">
        <f t="shared" si="14"/>
        <v>222</v>
      </c>
      <c r="BV14" s="54"/>
      <c r="BX14" s="100">
        <f t="shared" si="15"/>
        <v>9.937273027401787E-2</v>
      </c>
    </row>
    <row r="15" spans="1:78" x14ac:dyDescent="0.25">
      <c r="A15" s="54" t="s">
        <v>38</v>
      </c>
      <c r="B15" s="54" t="s">
        <v>97</v>
      </c>
      <c r="C15" s="52" t="s">
        <v>92</v>
      </c>
      <c r="D15" s="53">
        <f>'LUC-2012-08-10-Run1'!AF17</f>
        <v>2.0100000000000001E-4</v>
      </c>
      <c r="E15" s="53">
        <f>'LUC-2012-08-10-Run1'!AG17</f>
        <v>2.0106666666666668E-4</v>
      </c>
      <c r="F15" s="53">
        <f>'LUC-2012-08-10-Run1'!AH17</f>
        <v>2.0113333333333333E-4</v>
      </c>
      <c r="G15" s="53">
        <f>'LUC-2012-08-10-Run1'!AI17</f>
        <v>2.0120000000000001E-4</v>
      </c>
      <c r="H15" s="53">
        <f>'LUC-2012-08-10-Run1'!AJ17</f>
        <v>2.0126666666666666E-4</v>
      </c>
      <c r="I15" s="53">
        <f>'LUC-2012-08-10-Run1'!AK17</f>
        <v>2.0133333333333334E-4</v>
      </c>
      <c r="J15" s="53">
        <f>'LUC-2012-08-10-Run1'!AL17</f>
        <v>2.0140000000000002E-4</v>
      </c>
      <c r="K15" s="53">
        <f>'LUC-2012-08-10-Run1'!AM17</f>
        <v>2.0146666666666667E-4</v>
      </c>
      <c r="L15" s="53">
        <f>'LUC-2012-08-10-Run1'!AN17</f>
        <v>2.0153333333333334E-4</v>
      </c>
      <c r="M15" s="53">
        <f>'LUC-2012-08-10-Run1'!AO17</f>
        <v>2.0159999999999999E-4</v>
      </c>
      <c r="N15" s="53">
        <f>'LUC-2012-08-10-Run1'!AP17</f>
        <v>2.0166666666666667E-4</v>
      </c>
      <c r="O15" s="53">
        <f>'LUC-2012-08-10-Run1'!AQ17</f>
        <v>2.0173333333333335E-4</v>
      </c>
      <c r="P15" s="53">
        <f>'LUC-2012-08-10-Run1'!AR17</f>
        <v>2.018E-4</v>
      </c>
      <c r="Q15" s="53">
        <f>'LUC-2012-08-10-Run1'!AS17</f>
        <v>2.0186666666666668E-4</v>
      </c>
      <c r="R15" s="53">
        <f>'LUC-2012-08-10-Run1'!AT17</f>
        <v>2.0193333333333333E-4</v>
      </c>
      <c r="S15" s="53">
        <f>'LUC-2012-08-10-Run1'!AU17</f>
        <v>2.02E-4</v>
      </c>
      <c r="T15" s="53">
        <f>'LUC-2012-08-10-Run1'!AV17</f>
        <v>2.0254166666666668E-4</v>
      </c>
      <c r="U15" s="53">
        <f>'LUC-2012-08-10-Run1'!AW17</f>
        <v>2.0308333333333333E-4</v>
      </c>
      <c r="V15" s="53">
        <f>'LUC-2012-08-10-Run1'!AX17</f>
        <v>2.03625E-4</v>
      </c>
      <c r="W15" s="53">
        <f>'LUC-2012-08-10-Run1'!AY17</f>
        <v>2.0416666666666668E-4</v>
      </c>
      <c r="X15" s="53">
        <f>'LUC-2012-08-10-Run1'!AZ17</f>
        <v>2.0470833333333333E-4</v>
      </c>
      <c r="Y15" s="53">
        <f>'LUC-2012-08-10-Run1'!BA17</f>
        <v>2.0525E-4</v>
      </c>
      <c r="Z15" s="53">
        <f>'LUC-2012-08-10-Run1'!BB17</f>
        <v>2.0579166666666668E-4</v>
      </c>
      <c r="AA15" s="53">
        <f>'LUC-2012-08-10-Run1'!BC17</f>
        <v>2.0633333333333333E-4</v>
      </c>
      <c r="AB15" s="53">
        <f>'LUC-2012-08-10-Run1'!BD17</f>
        <v>2.06875E-4</v>
      </c>
      <c r="AC15" s="53">
        <f>'LUC-2012-08-10-Run1'!BE17</f>
        <v>2.0741666666666668E-4</v>
      </c>
      <c r="AD15" s="53">
        <f>'LUC-2012-08-10-Run1'!BF17</f>
        <v>2.0795833333333332E-4</v>
      </c>
      <c r="AE15" s="53">
        <f>'LUC-2012-08-10-Run1'!BG17</f>
        <v>2.085E-4</v>
      </c>
      <c r="AF15" s="53">
        <f>'LUC-2012-08-10-Run1'!BH17</f>
        <v>2.0904166666666667E-4</v>
      </c>
      <c r="AG15" s="53">
        <f>'LUC-2012-08-10-Run1'!BI17</f>
        <v>2.0958333333333332E-4</v>
      </c>
      <c r="AH15" s="53">
        <f>'LUC-2012-08-10-Run1'!BJ17</f>
        <v>2.10125E-4</v>
      </c>
      <c r="AI15" s="53">
        <f>'LUC-2012-08-10-Run1'!BK17</f>
        <v>2.1066666666666667E-4</v>
      </c>
      <c r="AJ15" s="53">
        <f>'LUC-2012-08-10-Run1'!BL17</f>
        <v>2.1120833333333332E-4</v>
      </c>
      <c r="AK15" s="53">
        <f>'LUC-2012-08-10-Run1'!BM17</f>
        <v>2.1175E-4</v>
      </c>
      <c r="AL15" s="53">
        <f>'LUC-2012-08-10-Run1'!BN17</f>
        <v>2.1229166666666667E-4</v>
      </c>
      <c r="AM15" s="53">
        <f>'LUC-2012-08-10-Run1'!BO17</f>
        <v>2.1283333333333332E-4</v>
      </c>
      <c r="AN15" s="53">
        <f>'LUC-2012-08-10-Run1'!BP17</f>
        <v>2.13375E-4</v>
      </c>
      <c r="AO15" s="53">
        <f>'LUC-2012-08-10-Run1'!BQ17</f>
        <v>2.1391666666666667E-4</v>
      </c>
      <c r="AP15" s="53">
        <f>'LUC-2012-08-10-Run1'!BR17</f>
        <v>2.1445833333333332E-4</v>
      </c>
      <c r="AQ15" s="53">
        <f>'LUC-2012-08-10-Run1'!BS17</f>
        <v>2.1499999999999999E-4</v>
      </c>
      <c r="AR15" s="53">
        <f>'LUC-2012-08-10-Run1'!BT17</f>
        <v>2.1535E-4</v>
      </c>
      <c r="AS15" s="53">
        <f>'LUC-2012-08-10-Run1'!BU17</f>
        <v>2.1569999999999998E-4</v>
      </c>
      <c r="AT15" s="53">
        <f>'LUC-2012-08-10-Run1'!BV17</f>
        <v>2.1604999999999999E-4</v>
      </c>
      <c r="AU15" s="53">
        <f>'LUC-2012-08-10-Run1'!BW17</f>
        <v>2.164E-4</v>
      </c>
      <c r="AV15" s="53">
        <f>'LUC-2012-08-10-Run1'!BX17</f>
        <v>2.1674999999999998E-4</v>
      </c>
      <c r="AW15" s="53">
        <f>'LUC-2012-08-10-Run1'!BY17</f>
        <v>2.1709999999999999E-4</v>
      </c>
      <c r="AX15" s="53">
        <f>'LUC-2012-08-10-Run1'!BZ17</f>
        <v>2.1745E-4</v>
      </c>
      <c r="AY15" s="53">
        <f>'LUC-2012-08-10-Run1'!CA17</f>
        <v>2.1780000000000001E-4</v>
      </c>
      <c r="AZ15" s="53">
        <f>'LUC-2012-08-10-Run1'!CB17</f>
        <v>2.1814999999999999E-4</v>
      </c>
      <c r="BA15" s="53">
        <f>'LUC-2012-08-10-Run1'!CC17</f>
        <v>2.185E-4</v>
      </c>
      <c r="BB15" s="53">
        <f>'LUC-2012-08-10-Run1'!CD17</f>
        <v>2.1885000000000001E-4</v>
      </c>
      <c r="BC15" s="53">
        <f>'LUC-2012-08-10-Run1'!CE17</f>
        <v>2.1919999999999999E-4</v>
      </c>
      <c r="BD15" s="53">
        <f>'LUC-2012-08-10-Run1'!CF17</f>
        <v>2.1955E-4</v>
      </c>
      <c r="BE15" s="53">
        <f>'LUC-2012-08-10-Run1'!CG17</f>
        <v>2.1990000000000001E-4</v>
      </c>
      <c r="BF15" s="53">
        <f>'LUC-2012-08-10-Run1'!CH17</f>
        <v>2.2025000000000001E-4</v>
      </c>
      <c r="BG15" s="53">
        <f>'LUC-2012-08-10-Run1'!CI17</f>
        <v>2.206E-4</v>
      </c>
      <c r="BH15" s="53">
        <f>'LUC-2012-08-10-Run1'!CJ17</f>
        <v>2.2095E-4</v>
      </c>
      <c r="BI15" s="53">
        <f>'LUC-2012-08-10-Run1'!CK17</f>
        <v>2.2130000000000001E-4</v>
      </c>
      <c r="BJ15" s="53">
        <f>'LUC-2012-08-10-Run1'!CL17</f>
        <v>2.2164999999999999E-4</v>
      </c>
      <c r="BK15" s="53">
        <f>'LUC-2012-08-10-Run1'!CM17</f>
        <v>2.22E-4</v>
      </c>
      <c r="BM15" s="104"/>
      <c r="BN15" s="57" t="s">
        <v>95</v>
      </c>
      <c r="BO15" s="65">
        <f t="shared" si="8"/>
        <v>31.090007506599417</v>
      </c>
      <c r="BP15" s="65">
        <f t="shared" si="9"/>
        <v>32.23196487380563</v>
      </c>
      <c r="BQ15" s="65">
        <f t="shared" si="10"/>
        <v>33.148742683513476</v>
      </c>
      <c r="BR15" s="65">
        <f t="shared" si="11"/>
        <v>33.481725788588086</v>
      </c>
      <c r="BS15" s="65">
        <f t="shared" si="12"/>
        <v>33.818053748981164</v>
      </c>
      <c r="BT15" s="65">
        <f t="shared" si="13"/>
        <v>34.157760164166447</v>
      </c>
      <c r="BU15" s="65">
        <f t="shared" si="14"/>
        <v>34.500878971128458</v>
      </c>
      <c r="BV15" s="54"/>
      <c r="BX15" s="100">
        <f t="shared" si="15"/>
        <v>4.9156004863560004E-2</v>
      </c>
      <c r="BY15" s="51"/>
      <c r="BZ15" s="51"/>
    </row>
    <row r="16" spans="1:78" x14ac:dyDescent="0.25">
      <c r="A16" s="54" t="s">
        <v>38</v>
      </c>
      <c r="B16" s="54" t="s">
        <v>95</v>
      </c>
      <c r="C16" s="52" t="s">
        <v>92</v>
      </c>
      <c r="D16" s="53">
        <f>'LUC-2012-08-10-Run1'!AF18</f>
        <v>3.1090007506599416E-5</v>
      </c>
      <c r="E16" s="53">
        <f>'LUC-2012-08-10-Run1'!AG18</f>
        <v>3.1214866974497405E-5</v>
      </c>
      <c r="F16" s="53">
        <f>'LUC-2012-08-10-Run1'!AH18</f>
        <v>3.1340227886041568E-5</v>
      </c>
      <c r="G16" s="53">
        <f>'LUC-2012-08-10-Run1'!AI18</f>
        <v>3.1466092255061819E-5</v>
      </c>
      <c r="H16" s="53">
        <f>'LUC-2012-08-10-Run1'!AJ18</f>
        <v>3.1592462103475722E-5</v>
      </c>
      <c r="I16" s="53">
        <f>'LUC-2012-08-10-Run1'!AK18</f>
        <v>3.1719339461321004E-5</v>
      </c>
      <c r="J16" s="53">
        <f>'LUC-2012-08-10-Run1'!AL18</f>
        <v>3.1846726366788155E-5</v>
      </c>
      <c r="K16" s="53">
        <f>'LUC-2012-08-10-Run1'!AM18</f>
        <v>3.1974624866253171E-5</v>
      </c>
      <c r="L16" s="53">
        <f>'LUC-2012-08-10-Run1'!AN18</f>
        <v>3.2103037014310414E-5</v>
      </c>
      <c r="M16" s="53">
        <f>'LUC-2012-08-10-Run1'!AO18</f>
        <v>3.2231964873805633E-5</v>
      </c>
      <c r="N16" s="53">
        <f>'LUC-2012-08-10-Run1'!AP18</f>
        <v>3.2361410515869112E-5</v>
      </c>
      <c r="O16" s="53">
        <f>'LUC-2012-08-10-Run1'!AQ18</f>
        <v>3.2491376019948906E-5</v>
      </c>
      <c r="P16" s="53">
        <f>'LUC-2012-08-10-Run1'!AR18</f>
        <v>3.2621863473844284E-5</v>
      </c>
      <c r="Q16" s="53">
        <f>'LUC-2012-08-10-Run1'!AS18</f>
        <v>3.2752874973739242E-5</v>
      </c>
      <c r="R16" s="53">
        <f>'LUC-2012-08-10-Run1'!AT18</f>
        <v>3.288441262423619E-5</v>
      </c>
      <c r="S16" s="53">
        <f>'LUC-2012-08-10-Run1'!AU18</f>
        <v>3.3016478538389752E-5</v>
      </c>
      <c r="T16" s="53">
        <f>'LUC-2012-08-10-Run1'!AV18</f>
        <v>3.3049495016928139E-5</v>
      </c>
      <c r="U16" s="53">
        <f>'LUC-2012-08-10-Run1'!AW18</f>
        <v>3.3082544511945068E-5</v>
      </c>
      <c r="V16" s="53">
        <f>'LUC-2012-08-10-Run1'!AX18</f>
        <v>3.3115627056457015E-5</v>
      </c>
      <c r="W16" s="53">
        <f>'LUC-2012-08-10-Run1'!AY18</f>
        <v>3.3148742683513472E-5</v>
      </c>
      <c r="X16" s="53">
        <f>'LUC-2012-08-10-Run1'!AZ18</f>
        <v>3.3181891426196984E-5</v>
      </c>
      <c r="Y16" s="53">
        <f>'LUC-2012-08-10-Run1'!BA18</f>
        <v>3.3215073317623179E-5</v>
      </c>
      <c r="Z16" s="53">
        <f>'LUC-2012-08-10-Run1'!BB18</f>
        <v>3.3248288390940805E-5</v>
      </c>
      <c r="AA16" s="53">
        <f>'LUC-2012-08-10-Run1'!BC18</f>
        <v>3.3281536679331748E-5</v>
      </c>
      <c r="AB16" s="53">
        <f>'LUC-2012-08-10-Run1'!BD18</f>
        <v>3.3314818216011078E-5</v>
      </c>
      <c r="AC16" s="53">
        <f>'LUC-2012-08-10-Run1'!BE18</f>
        <v>3.3348133034227087E-5</v>
      </c>
      <c r="AD16" s="53">
        <f>'LUC-2012-08-10-Run1'!BF18</f>
        <v>3.3381481167261313E-5</v>
      </c>
      <c r="AE16" s="53">
        <f>'LUC-2012-08-10-Run1'!BG18</f>
        <v>3.3414862648428577E-5</v>
      </c>
      <c r="AF16" s="53">
        <f>'LUC-2012-08-10-Run1'!BH18</f>
        <v>3.3448277511077007E-5</v>
      </c>
      <c r="AG16" s="53">
        <f>'LUC-2012-08-10-Run1'!BI18</f>
        <v>3.3481725788588084E-5</v>
      </c>
      <c r="AH16" s="53">
        <f>'LUC-2012-08-10-Run1'!BJ18</f>
        <v>3.3515207514376674E-5</v>
      </c>
      <c r="AI16" s="53">
        <f>'LUC-2012-08-10-Run1'!BK18</f>
        <v>3.3548722721891052E-5</v>
      </c>
      <c r="AJ16" s="53">
        <f>'LUC-2012-08-10-Run1'!BL18</f>
        <v>3.3582271444612947E-5</v>
      </c>
      <c r="AK16" s="53">
        <f>'LUC-2012-08-10-Run1'!BM18</f>
        <v>3.361585371605756E-5</v>
      </c>
      <c r="AL16" s="53">
        <f>'LUC-2012-08-10-Run1'!BN18</f>
        <v>3.3649469569773618E-5</v>
      </c>
      <c r="AM16" s="53">
        <f>'LUC-2012-08-10-Run1'!BO18</f>
        <v>3.3683119039343394E-5</v>
      </c>
      <c r="AN16" s="53">
        <f>'LUC-2012-08-10-Run1'!BP18</f>
        <v>3.3716802158382734E-5</v>
      </c>
      <c r="AO16" s="53">
        <f>'LUC-2012-08-10-Run1'!BQ18</f>
        <v>3.3750518960541119E-5</v>
      </c>
      <c r="AP16" s="53">
        <f>'LUC-2012-08-10-Run1'!BR18</f>
        <v>3.3784269479501661E-5</v>
      </c>
      <c r="AQ16" s="53">
        <f>'LUC-2012-08-10-Run1'!BS18</f>
        <v>3.3818053748981164E-5</v>
      </c>
      <c r="AR16" s="53">
        <f>'LUC-2012-08-10-Run1'!BT18</f>
        <v>3.3851871802730143E-5</v>
      </c>
      <c r="AS16" s="53">
        <f>'LUC-2012-08-10-Run1'!BU18</f>
        <v>3.3885723674532874E-5</v>
      </c>
      <c r="AT16" s="53">
        <f>'LUC-2012-08-10-Run1'!BV18</f>
        <v>3.3919609398207405E-5</v>
      </c>
      <c r="AU16" s="53">
        <f>'LUC-2012-08-10-Run1'!BW18</f>
        <v>3.3953529007605609E-5</v>
      </c>
      <c r="AV16" s="53">
        <f>'LUC-2012-08-10-Run1'!BX18</f>
        <v>3.3987482536613218E-5</v>
      </c>
      <c r="AW16" s="53">
        <f>'LUC-2012-08-10-Run1'!BY18</f>
        <v>3.4021470019149833E-5</v>
      </c>
      <c r="AX16" s="53">
        <f>'LUC-2012-08-10-Run1'!BZ18</f>
        <v>3.4055491489168982E-5</v>
      </c>
      <c r="AY16" s="53">
        <f>'LUC-2012-08-10-Run1'!CA18</f>
        <v>3.4089546980658153E-5</v>
      </c>
      <c r="AZ16" s="53">
        <f>'LUC-2012-08-10-Run1'!CB18</f>
        <v>3.412363652763881E-5</v>
      </c>
      <c r="BA16" s="53">
        <f>'LUC-2012-08-10-Run1'!CC18</f>
        <v>3.4157760164166448E-5</v>
      </c>
      <c r="BB16" s="53">
        <f>'LUC-2012-08-10-Run1'!CD18</f>
        <v>3.4191917924330613E-5</v>
      </c>
      <c r="BC16" s="53">
        <f>'LUC-2012-08-10-Run1'!CE18</f>
        <v>3.4226109842254942E-5</v>
      </c>
      <c r="BD16" s="53">
        <f>'LUC-2012-08-10-Run1'!CF18</f>
        <v>3.4260335952097197E-5</v>
      </c>
      <c r="BE16" s="53">
        <f>'LUC-2012-08-10-Run1'!CG18</f>
        <v>3.4294596288049293E-5</v>
      </c>
      <c r="BF16" s="53">
        <f>'LUC-2012-08-10-Run1'!CH18</f>
        <v>3.4328890884337344E-5</v>
      </c>
      <c r="BG16" s="53">
        <f>'LUC-2012-08-10-Run1'!CI18</f>
        <v>3.4363219775221679E-5</v>
      </c>
      <c r="BH16" s="53">
        <f>'LUC-2012-08-10-Run1'!CJ18</f>
        <v>3.4397582994996899E-5</v>
      </c>
      <c r="BI16" s="53">
        <f>'LUC-2012-08-10-Run1'!CK18</f>
        <v>3.4431980577991895E-5</v>
      </c>
      <c r="BJ16" s="53">
        <f>'LUC-2012-08-10-Run1'!CL18</f>
        <v>3.4466412558569886E-5</v>
      </c>
      <c r="BK16" s="53">
        <f>'LUC-2012-08-10-Run1'!CM18</f>
        <v>3.4500878971128458E-5</v>
      </c>
      <c r="BM16" s="104"/>
      <c r="BN16" s="57" t="s">
        <v>98</v>
      </c>
      <c r="BO16" s="65">
        <f t="shared" si="8"/>
        <v>19.058062501626264</v>
      </c>
      <c r="BP16" s="65">
        <f t="shared" si="9"/>
        <v>22.035497545861407</v>
      </c>
      <c r="BQ16" s="65">
        <f t="shared" si="10"/>
        <v>24.961469709568316</v>
      </c>
      <c r="BR16" s="65">
        <f t="shared" si="11"/>
        <v>26.764852736203679</v>
      </c>
      <c r="BS16" s="65">
        <f t="shared" si="12"/>
        <v>28.698524178489087</v>
      </c>
      <c r="BT16" s="65">
        <f t="shared" si="13"/>
        <v>30.771896940395525</v>
      </c>
      <c r="BU16" s="65">
        <f t="shared" si="14"/>
        <v>32.995063976846488</v>
      </c>
      <c r="BV16" s="54"/>
      <c r="BX16" s="100">
        <f t="shared" si="15"/>
        <v>0.38134323758895816</v>
      </c>
    </row>
    <row r="17" spans="1:77" x14ac:dyDescent="0.25">
      <c r="A17" s="54" t="s">
        <v>38</v>
      </c>
      <c r="B17" s="54" t="s">
        <v>98</v>
      </c>
      <c r="C17" s="52" t="s">
        <v>92</v>
      </c>
      <c r="D17" s="53">
        <f>'LUC-2012-08-10-Run1'!AF19</f>
        <v>1.9058062501626263E-5</v>
      </c>
      <c r="E17" s="53">
        <f>'LUC-2012-08-10-Run1'!AG19</f>
        <v>1.9367949696774658E-5</v>
      </c>
      <c r="F17" s="53">
        <f>'LUC-2012-08-10-Run1'!AH19</f>
        <v>1.9682875708104327E-5</v>
      </c>
      <c r="G17" s="53">
        <f>'LUC-2012-08-10-Run1'!AI19</f>
        <v>2.0002922467585699E-5</v>
      </c>
      <c r="H17" s="53">
        <f>'LUC-2012-08-10-Run1'!AJ19</f>
        <v>2.0328173239416362E-5</v>
      </c>
      <c r="I17" s="53">
        <f>'LUC-2012-08-10-Run1'!AK19</f>
        <v>2.0658712641683296E-5</v>
      </c>
      <c r="J17" s="53">
        <f>'LUC-2012-08-10-Run1'!AL19</f>
        <v>2.0994626668377332E-5</v>
      </c>
      <c r="K17" s="53">
        <f>'LUC-2012-08-10-Run1'!AM19</f>
        <v>2.1336002711765583E-5</v>
      </c>
      <c r="L17" s="53">
        <f>'LUC-2012-08-10-Run1'!AN19</f>
        <v>2.1682929585127624E-5</v>
      </c>
      <c r="M17" s="53">
        <f>'LUC-2012-08-10-Run1'!AO19</f>
        <v>2.2035497545861405E-5</v>
      </c>
      <c r="N17" s="53">
        <f>'LUC-2012-08-10-Run1'!AP19</f>
        <v>2.2393798318964842E-5</v>
      </c>
      <c r="O17" s="53">
        <f>'LUC-2012-08-10-Run1'!AQ19</f>
        <v>2.2757925120899231E-5</v>
      </c>
      <c r="P17" s="53">
        <f>'LUC-2012-08-10-Run1'!AR19</f>
        <v>2.3127972683840682E-5</v>
      </c>
      <c r="Q17" s="53">
        <f>'LUC-2012-08-10-Run1'!AS19</f>
        <v>2.3504037280325898E-5</v>
      </c>
      <c r="R17" s="53">
        <f>'LUC-2012-08-10-Run1'!AT19</f>
        <v>2.3886216748298676E-5</v>
      </c>
      <c r="S17" s="53">
        <f>'LUC-2012-08-10-Run1'!AU19</f>
        <v>2.4274610516563694E-5</v>
      </c>
      <c r="T17" s="53">
        <f>'LUC-2012-08-10-Run1'!AV19</f>
        <v>2.4444532790179639E-5</v>
      </c>
      <c r="U17" s="53">
        <f>'LUC-2012-08-10-Run1'!AW19</f>
        <v>2.4615644519710897E-5</v>
      </c>
      <c r="V17" s="53">
        <f>'LUC-2012-08-10-Run1'!AX19</f>
        <v>2.4787954031348874E-5</v>
      </c>
      <c r="W17" s="53">
        <f>'LUC-2012-08-10-Run1'!AY19</f>
        <v>2.4961469709568316E-5</v>
      </c>
      <c r="X17" s="53">
        <f>'LUC-2012-08-10-Run1'!AZ19</f>
        <v>2.5136199997535295E-5</v>
      </c>
      <c r="Y17" s="53">
        <f>'LUC-2012-08-10-Run1'!BA19</f>
        <v>2.5312153397518044E-5</v>
      </c>
      <c r="Z17" s="53">
        <f>'LUC-2012-08-10-Run1'!BB19</f>
        <v>2.5489338471300669E-5</v>
      </c>
      <c r="AA17" s="53">
        <f>'LUC-2012-08-10-Run1'!BC19</f>
        <v>2.5667763840599773E-5</v>
      </c>
      <c r="AB17" s="53">
        <f>'LUC-2012-08-10-Run1'!BD19</f>
        <v>2.5847438187483973E-5</v>
      </c>
      <c r="AC17" s="53">
        <f>'LUC-2012-08-10-Run1'!BE19</f>
        <v>2.6028370254796361E-5</v>
      </c>
      <c r="AD17" s="53">
        <f>'LUC-2012-08-10-Run1'!BF19</f>
        <v>2.6210568846579936E-5</v>
      </c>
      <c r="AE17" s="53">
        <f>'LUC-2012-08-10-Run1'!BG19</f>
        <v>2.6394042828505995E-5</v>
      </c>
      <c r="AF17" s="53">
        <f>'LUC-2012-08-10-Run1'!BH19</f>
        <v>2.6578801128305539E-5</v>
      </c>
      <c r="AG17" s="53">
        <f>'LUC-2012-08-10-Run1'!BI19</f>
        <v>2.6764852736203677E-5</v>
      </c>
      <c r="AH17" s="53">
        <f>'LUC-2012-08-10-Run1'!BJ19</f>
        <v>2.6952206705357104E-5</v>
      </c>
      <c r="AI17" s="53">
        <f>'LUC-2012-08-10-Run1'!BK19</f>
        <v>2.7140872152294603E-5</v>
      </c>
      <c r="AJ17" s="53">
        <f>'LUC-2012-08-10-Run1'!BL19</f>
        <v>2.7330858257360666E-5</v>
      </c>
      <c r="AK17" s="53">
        <f>'LUC-2012-08-10-Run1'!BM19</f>
        <v>2.7522174265162191E-5</v>
      </c>
      <c r="AL17" s="53">
        <f>'LUC-2012-08-10-Run1'!BN19</f>
        <v>2.7714829485018327E-5</v>
      </c>
      <c r="AM17" s="53">
        <f>'LUC-2012-08-10-Run1'!BO19</f>
        <v>2.7908833291413456E-5</v>
      </c>
      <c r="AN17" s="53">
        <f>'LUC-2012-08-10-Run1'!BP19</f>
        <v>2.8104195124453349E-5</v>
      </c>
      <c r="AO17" s="53">
        <f>'LUC-2012-08-10-Run1'!BQ19</f>
        <v>2.8300924490324521E-5</v>
      </c>
      <c r="AP17" s="53">
        <f>'LUC-2012-08-10-Run1'!BR19</f>
        <v>2.8499030961756792E-5</v>
      </c>
      <c r="AQ17" s="53">
        <f>'LUC-2012-08-10-Run1'!BS19</f>
        <v>2.8698524178489089E-5</v>
      </c>
      <c r="AR17" s="53">
        <f>'LUC-2012-08-10-Run1'!BT19</f>
        <v>2.8899413847738511E-5</v>
      </c>
      <c r="AS17" s="53">
        <f>'LUC-2012-08-10-Run1'!BU19</f>
        <v>2.9101709744672679E-5</v>
      </c>
      <c r="AT17" s="53">
        <f>'LUC-2012-08-10-Run1'!BV19</f>
        <v>2.9305421712885388E-5</v>
      </c>
      <c r="AU17" s="53">
        <f>'LUC-2012-08-10-Run1'!BW19</f>
        <v>2.9510559664875587E-5</v>
      </c>
      <c r="AV17" s="53">
        <f>'LUC-2012-08-10-Run1'!BX19</f>
        <v>2.9717133582529715E-5</v>
      </c>
      <c r="AW17" s="53">
        <f>'LUC-2012-08-10-Run1'!BY19</f>
        <v>2.9925153517607422E-5</v>
      </c>
      <c r="AX17" s="53">
        <f>'LUC-2012-08-10-Run1'!BZ19</f>
        <v>3.0134629592230675E-5</v>
      </c>
      <c r="AY17" s="53">
        <f>'LUC-2012-08-10-Run1'!CA19</f>
        <v>3.0345571999376289E-5</v>
      </c>
      <c r="AZ17" s="53">
        <f>'LUC-2012-08-10-Run1'!CB19</f>
        <v>3.0557991003371919E-5</v>
      </c>
      <c r="BA17" s="53">
        <f>'LUC-2012-08-10-Run1'!CC19</f>
        <v>3.0771896940395526E-5</v>
      </c>
      <c r="BB17" s="53">
        <f>'LUC-2012-08-10-Run1'!CD19</f>
        <v>3.0987300218978292E-5</v>
      </c>
      <c r="BC17" s="53">
        <f>'LUC-2012-08-10-Run1'!CE19</f>
        <v>3.120421132051114E-5</v>
      </c>
      <c r="BD17" s="53">
        <f>'LUC-2012-08-10-Run1'!CF19</f>
        <v>3.1422640799754715E-5</v>
      </c>
      <c r="BE17" s="53">
        <f>'LUC-2012-08-10-Run1'!CG19</f>
        <v>3.1642599285352998E-5</v>
      </c>
      <c r="BF17" s="53">
        <f>'LUC-2012-08-10-Run1'!CH19</f>
        <v>3.1864097480350471E-5</v>
      </c>
      <c r="BG17" s="53">
        <f>'LUC-2012-08-10-Run1'!CI19</f>
        <v>3.2087146162712921E-5</v>
      </c>
      <c r="BH17" s="53">
        <f>'LUC-2012-08-10-Run1'!CJ19</f>
        <v>3.2311756185851908E-5</v>
      </c>
      <c r="BI17" s="53">
        <f>'LUC-2012-08-10-Run1'!CK19</f>
        <v>3.2537938479152873E-5</v>
      </c>
      <c r="BJ17" s="53">
        <f>'LUC-2012-08-10-Run1'!CL19</f>
        <v>3.2765704048506942E-5</v>
      </c>
      <c r="BK17" s="53">
        <f>'LUC-2012-08-10-Run1'!CM19</f>
        <v>3.299506397684649E-5</v>
      </c>
      <c r="BM17" s="104"/>
      <c r="BN17" s="57" t="s">
        <v>99</v>
      </c>
      <c r="BO17" s="65">
        <f>D18*1000000</f>
        <v>37.310549777117387</v>
      </c>
      <c r="BP17" s="65">
        <f t="shared" si="9"/>
        <v>38.001485884101037</v>
      </c>
      <c r="BQ17" s="65">
        <f t="shared" si="10"/>
        <v>39.374177577677813</v>
      </c>
      <c r="BR17" s="65">
        <f t="shared" si="11"/>
        <v>41.654346633313665</v>
      </c>
      <c r="BS17" s="65">
        <f t="shared" si="12"/>
        <v>43.934515688949517</v>
      </c>
      <c r="BT17" s="65">
        <f t="shared" si="13"/>
        <v>43.934515688949517</v>
      </c>
      <c r="BU17" s="65">
        <f t="shared" si="14"/>
        <v>43.934515688949517</v>
      </c>
      <c r="BV17" s="51">
        <f>SUM(M18:M24)*1000000</f>
        <v>297.89999999999998</v>
      </c>
      <c r="BW17" s="51">
        <f>SUM(BU17:BU23)</f>
        <v>295.10000000000002</v>
      </c>
      <c r="BX17" s="100">
        <f t="shared" si="15"/>
        <v>0.14456499581921406</v>
      </c>
    </row>
    <row r="18" spans="1:77" x14ac:dyDescent="0.25">
      <c r="A18" s="54" t="s">
        <v>38</v>
      </c>
      <c r="B18" s="54" t="s">
        <v>99</v>
      </c>
      <c r="C18" s="52" t="s">
        <v>92</v>
      </c>
      <c r="D18" s="53">
        <f>'LUC-2012-08-10-Run1'!AF21</f>
        <v>3.7310549777117386E-5</v>
      </c>
      <c r="E18" s="53">
        <f>'LUC-2012-08-10-Run1'!AG21</f>
        <v>3.7387320455671127E-5</v>
      </c>
      <c r="F18" s="53">
        <f>'LUC-2012-08-10-Run1'!AH21</f>
        <v>3.7464091134224867E-5</v>
      </c>
      <c r="G18" s="53">
        <f>'LUC-2012-08-10-Run1'!AI21</f>
        <v>3.7540861812778601E-5</v>
      </c>
      <c r="H18" s="53">
        <f>'LUC-2012-08-10-Run1'!AJ21</f>
        <v>3.7617632491332342E-5</v>
      </c>
      <c r="I18" s="53">
        <f>'LUC-2012-08-10-Run1'!AK21</f>
        <v>3.7694403169886082E-5</v>
      </c>
      <c r="J18" s="53">
        <f>'LUC-2012-08-10-Run1'!AL21</f>
        <v>3.7771173848439823E-5</v>
      </c>
      <c r="K18" s="53">
        <f>'LUC-2012-08-10-Run1'!AM21</f>
        <v>3.7847944526993563E-5</v>
      </c>
      <c r="L18" s="53">
        <f>'LUC-2012-08-10-Run1'!AN21</f>
        <v>3.7924715205547297E-5</v>
      </c>
      <c r="M18" s="53">
        <f>'LUC-2012-08-10-Run1'!AO21</f>
        <v>3.8001485884101038E-5</v>
      </c>
      <c r="N18" s="53">
        <f>'LUC-2012-08-10-Run1'!AP21</f>
        <v>3.8078256562654778E-5</v>
      </c>
      <c r="O18" s="53">
        <f>'LUC-2012-08-10-Run1'!AQ21</f>
        <v>3.8155027241208519E-5</v>
      </c>
      <c r="P18" s="53">
        <f>'LUC-2012-08-10-Run1'!AR21</f>
        <v>3.823179791976226E-5</v>
      </c>
      <c r="Q18" s="53">
        <f>'LUC-2012-08-10-Run1'!AS21</f>
        <v>3.8308568598315993E-5</v>
      </c>
      <c r="R18" s="53">
        <f>'LUC-2012-08-10-Run1'!AT21</f>
        <v>3.8385339276869734E-5</v>
      </c>
      <c r="S18" s="53">
        <f>'LUC-2012-08-10-Run1'!AU21</f>
        <v>3.8462109955423475E-5</v>
      </c>
      <c r="T18" s="53">
        <f>'LUC-2012-08-10-Run1'!AV21</f>
        <v>3.8690126860987058E-5</v>
      </c>
      <c r="U18" s="53">
        <f>'LUC-2012-08-10-Run1'!AW21</f>
        <v>3.8918143766550648E-5</v>
      </c>
      <c r="V18" s="53">
        <f>'LUC-2012-08-10-Run1'!AX21</f>
        <v>3.9146160672114232E-5</v>
      </c>
      <c r="W18" s="53">
        <f>'LUC-2012-08-10-Run1'!AY21</f>
        <v>3.9374177577677815E-5</v>
      </c>
      <c r="X18" s="53">
        <f>'LUC-2012-08-10-Run1'!AZ21</f>
        <v>3.9602194483241399E-5</v>
      </c>
      <c r="Y18" s="53">
        <f>'LUC-2012-08-10-Run1'!BA21</f>
        <v>3.9830211388804982E-5</v>
      </c>
      <c r="Z18" s="53">
        <f>'LUC-2012-08-10-Run1'!BB21</f>
        <v>4.0058228294368573E-5</v>
      </c>
      <c r="AA18" s="53">
        <f>'LUC-2012-08-10-Run1'!BC21</f>
        <v>4.0286245199932156E-5</v>
      </c>
      <c r="AB18" s="53">
        <f>'LUC-2012-08-10-Run1'!BD21</f>
        <v>4.051426210549574E-5</v>
      </c>
      <c r="AC18" s="53">
        <f>'LUC-2012-08-10-Run1'!BE21</f>
        <v>4.074227901105933E-5</v>
      </c>
      <c r="AD18" s="53">
        <f>'LUC-2012-08-10-Run1'!BF21</f>
        <v>4.0970295916622914E-5</v>
      </c>
      <c r="AE18" s="53">
        <f>'LUC-2012-08-10-Run1'!BG21</f>
        <v>4.1198312822186497E-5</v>
      </c>
      <c r="AF18" s="53">
        <f>'LUC-2012-08-10-Run1'!BH21</f>
        <v>4.1426329727750081E-5</v>
      </c>
      <c r="AG18" s="53">
        <f>'LUC-2012-08-10-Run1'!BI21</f>
        <v>4.1654346633313664E-5</v>
      </c>
      <c r="AH18" s="53">
        <f>'LUC-2012-08-10-Run1'!BJ21</f>
        <v>4.1882363538877255E-5</v>
      </c>
      <c r="AI18" s="53">
        <f>'LUC-2012-08-10-Run1'!BK21</f>
        <v>4.2110380444440838E-5</v>
      </c>
      <c r="AJ18" s="53">
        <f>'LUC-2012-08-10-Run1'!BL21</f>
        <v>4.2338397350004422E-5</v>
      </c>
      <c r="AK18" s="53">
        <f>'LUC-2012-08-10-Run1'!BM21</f>
        <v>4.2566414255568012E-5</v>
      </c>
      <c r="AL18" s="53">
        <f>'LUC-2012-08-10-Run1'!BN21</f>
        <v>4.2794431161131595E-5</v>
      </c>
      <c r="AM18" s="53">
        <f>'LUC-2012-08-10-Run1'!BO21</f>
        <v>4.3022448066695179E-5</v>
      </c>
      <c r="AN18" s="53">
        <f>'LUC-2012-08-10-Run1'!BP21</f>
        <v>4.3250464972258763E-5</v>
      </c>
      <c r="AO18" s="53">
        <f>'LUC-2012-08-10-Run1'!BQ21</f>
        <v>4.3478481877822346E-5</v>
      </c>
      <c r="AP18" s="53">
        <f>'LUC-2012-08-10-Run1'!BR21</f>
        <v>4.3706498783385936E-5</v>
      </c>
      <c r="AQ18" s="53">
        <f>'LUC-2012-08-10-Run1'!BS21</f>
        <v>4.393451568894952E-5</v>
      </c>
      <c r="AR18" s="53">
        <f>'LUC-2012-08-10-Run1'!BT21</f>
        <v>4.393451568894952E-5</v>
      </c>
      <c r="AS18" s="53">
        <f>'LUC-2012-08-10-Run1'!BU21</f>
        <v>4.393451568894952E-5</v>
      </c>
      <c r="AT18" s="53">
        <f>'LUC-2012-08-10-Run1'!BV21</f>
        <v>4.393451568894952E-5</v>
      </c>
      <c r="AU18" s="53">
        <f>'LUC-2012-08-10-Run1'!BW21</f>
        <v>4.393451568894952E-5</v>
      </c>
      <c r="AV18" s="53">
        <f>'LUC-2012-08-10-Run1'!BX21</f>
        <v>4.393451568894952E-5</v>
      </c>
      <c r="AW18" s="53">
        <f>'LUC-2012-08-10-Run1'!BY21</f>
        <v>4.393451568894952E-5</v>
      </c>
      <c r="AX18" s="53">
        <f>'LUC-2012-08-10-Run1'!BZ21</f>
        <v>4.393451568894952E-5</v>
      </c>
      <c r="AY18" s="53">
        <f>'LUC-2012-08-10-Run1'!CA21</f>
        <v>4.393451568894952E-5</v>
      </c>
      <c r="AZ18" s="53">
        <f>'LUC-2012-08-10-Run1'!CB21</f>
        <v>4.393451568894952E-5</v>
      </c>
      <c r="BA18" s="53">
        <f>'LUC-2012-08-10-Run1'!CC21</f>
        <v>4.393451568894952E-5</v>
      </c>
      <c r="BB18" s="53">
        <f>'LUC-2012-08-10-Run1'!CD21</f>
        <v>4.393451568894952E-5</v>
      </c>
      <c r="BC18" s="53">
        <f>'LUC-2012-08-10-Run1'!CE21</f>
        <v>4.393451568894952E-5</v>
      </c>
      <c r="BD18" s="53">
        <f>'LUC-2012-08-10-Run1'!CF21</f>
        <v>4.393451568894952E-5</v>
      </c>
      <c r="BE18" s="53">
        <f>'LUC-2012-08-10-Run1'!CG21</f>
        <v>4.393451568894952E-5</v>
      </c>
      <c r="BF18" s="53">
        <f>'LUC-2012-08-10-Run1'!CH21</f>
        <v>4.393451568894952E-5</v>
      </c>
      <c r="BG18" s="53">
        <f>'LUC-2012-08-10-Run1'!CI21</f>
        <v>4.393451568894952E-5</v>
      </c>
      <c r="BH18" s="53">
        <f>'LUC-2012-08-10-Run1'!CJ21</f>
        <v>4.393451568894952E-5</v>
      </c>
      <c r="BI18" s="53">
        <f>'LUC-2012-08-10-Run1'!CK21</f>
        <v>4.393451568894952E-5</v>
      </c>
      <c r="BJ18" s="53">
        <f>'LUC-2012-08-10-Run1'!CL21</f>
        <v>4.393451568894952E-5</v>
      </c>
      <c r="BK18" s="53">
        <f>'LUC-2012-08-10-Run1'!CM21</f>
        <v>4.393451568894952E-5</v>
      </c>
      <c r="BM18" s="104"/>
      <c r="BN18" s="57" t="s">
        <v>100</v>
      </c>
      <c r="BO18" s="65">
        <f t="shared" si="8"/>
        <v>53.438335809806837</v>
      </c>
      <c r="BP18" s="65">
        <f t="shared" si="9"/>
        <v>54.427934621099553</v>
      </c>
      <c r="BQ18" s="65">
        <f t="shared" si="10"/>
        <v>54.39888589099327</v>
      </c>
      <c r="BR18" s="65">
        <f t="shared" si="11"/>
        <v>52.676932713573031</v>
      </c>
      <c r="BS18" s="65">
        <f t="shared" si="12"/>
        <v>50.954979536152791</v>
      </c>
      <c r="BT18" s="65">
        <f t="shared" si="13"/>
        <v>50.954979536152791</v>
      </c>
      <c r="BU18" s="65">
        <f t="shared" si="14"/>
        <v>50.954979536152791</v>
      </c>
      <c r="BV18" s="54"/>
      <c r="BX18" s="100">
        <f t="shared" si="15"/>
        <v>-7.3170237085653261E-2</v>
      </c>
    </row>
    <row r="19" spans="1:77" x14ac:dyDescent="0.25">
      <c r="A19" s="54" t="s">
        <v>38</v>
      </c>
      <c r="B19" s="54" t="s">
        <v>100</v>
      </c>
      <c r="C19" s="52" t="s">
        <v>92</v>
      </c>
      <c r="D19" s="53">
        <f>'LUC-2012-08-10-Run1'!AF22</f>
        <v>5.3438335809806834E-5</v>
      </c>
      <c r="E19" s="53">
        <f>'LUC-2012-08-10-Run1'!AG22</f>
        <v>5.3548291233283803E-5</v>
      </c>
      <c r="F19" s="53">
        <f>'LUC-2012-08-10-Run1'!AH22</f>
        <v>5.3658246656760772E-5</v>
      </c>
      <c r="G19" s="53">
        <f>'LUC-2012-08-10-Run1'!AI22</f>
        <v>5.3768202080237741E-5</v>
      </c>
      <c r="H19" s="53">
        <f>'LUC-2012-08-10-Run1'!AJ22</f>
        <v>5.3878157503714709E-5</v>
      </c>
      <c r="I19" s="53">
        <f>'LUC-2012-08-10-Run1'!AK22</f>
        <v>5.3988112927191678E-5</v>
      </c>
      <c r="J19" s="53">
        <f>'LUC-2012-08-10-Run1'!AL22</f>
        <v>5.4098068350668647E-5</v>
      </c>
      <c r="K19" s="53">
        <f>'LUC-2012-08-10-Run1'!AM22</f>
        <v>5.4208023774145616E-5</v>
      </c>
      <c r="L19" s="53">
        <f>'LUC-2012-08-10-Run1'!AN22</f>
        <v>5.4317979197622585E-5</v>
      </c>
      <c r="M19" s="53">
        <f>'LUC-2012-08-10-Run1'!AO22</f>
        <v>5.4427934621099554E-5</v>
      </c>
      <c r="N19" s="53">
        <f>'LUC-2012-08-10-Run1'!AP22</f>
        <v>5.4537890044576523E-5</v>
      </c>
      <c r="O19" s="53">
        <f>'LUC-2012-08-10-Run1'!AQ22</f>
        <v>5.4647845468053492E-5</v>
      </c>
      <c r="P19" s="53">
        <f>'LUC-2012-08-10-Run1'!AR22</f>
        <v>5.4757800891530461E-5</v>
      </c>
      <c r="Q19" s="53">
        <f>'LUC-2012-08-10-Run1'!AS22</f>
        <v>5.4867756315007429E-5</v>
      </c>
      <c r="R19" s="53">
        <f>'LUC-2012-08-10-Run1'!AT22</f>
        <v>5.4977711738484398E-5</v>
      </c>
      <c r="S19" s="53">
        <f>'LUC-2012-08-10-Run1'!AU22</f>
        <v>5.5087667161961367E-5</v>
      </c>
      <c r="T19" s="53">
        <f>'LUC-2012-08-10-Run1'!AV22</f>
        <v>5.4915471844219341E-5</v>
      </c>
      <c r="U19" s="53">
        <f>'LUC-2012-08-10-Run1'!AW22</f>
        <v>5.4743276526477322E-5</v>
      </c>
      <c r="V19" s="53">
        <f>'LUC-2012-08-10-Run1'!AX22</f>
        <v>5.4571081208735296E-5</v>
      </c>
      <c r="W19" s="53">
        <f>'LUC-2012-08-10-Run1'!AY22</f>
        <v>5.439888589099327E-5</v>
      </c>
      <c r="X19" s="53">
        <f>'LUC-2012-08-10-Run1'!AZ22</f>
        <v>5.4226690573251244E-5</v>
      </c>
      <c r="Y19" s="53">
        <f>'LUC-2012-08-10-Run1'!BA22</f>
        <v>5.4054495255509225E-5</v>
      </c>
      <c r="Z19" s="53">
        <f>'LUC-2012-08-10-Run1'!BB22</f>
        <v>5.3882299937767199E-5</v>
      </c>
      <c r="AA19" s="53">
        <f>'LUC-2012-08-10-Run1'!BC22</f>
        <v>5.3710104620025173E-5</v>
      </c>
      <c r="AB19" s="53">
        <f>'LUC-2012-08-10-Run1'!BD22</f>
        <v>5.3537909302283154E-5</v>
      </c>
      <c r="AC19" s="53">
        <f>'LUC-2012-08-10-Run1'!BE22</f>
        <v>5.3365713984541128E-5</v>
      </c>
      <c r="AD19" s="53">
        <f>'LUC-2012-08-10-Run1'!BF22</f>
        <v>5.3193518666799102E-5</v>
      </c>
      <c r="AE19" s="53">
        <f>'LUC-2012-08-10-Run1'!BG22</f>
        <v>5.3021323349057076E-5</v>
      </c>
      <c r="AF19" s="53">
        <f>'LUC-2012-08-10-Run1'!BH22</f>
        <v>5.2849128031315057E-5</v>
      </c>
      <c r="AG19" s="53">
        <f>'LUC-2012-08-10-Run1'!BI22</f>
        <v>5.2676932713573031E-5</v>
      </c>
      <c r="AH19" s="53">
        <f>'LUC-2012-08-10-Run1'!BJ22</f>
        <v>5.2504737395831005E-5</v>
      </c>
      <c r="AI19" s="53">
        <f>'LUC-2012-08-10-Run1'!BK22</f>
        <v>5.2332542078088986E-5</v>
      </c>
      <c r="AJ19" s="53">
        <f>'LUC-2012-08-10-Run1'!BL22</f>
        <v>5.216034676034696E-5</v>
      </c>
      <c r="AK19" s="53">
        <f>'LUC-2012-08-10-Run1'!BM22</f>
        <v>5.1988151442604934E-5</v>
      </c>
      <c r="AL19" s="53">
        <f>'LUC-2012-08-10-Run1'!BN22</f>
        <v>5.1815956124862915E-5</v>
      </c>
      <c r="AM19" s="53">
        <f>'LUC-2012-08-10-Run1'!BO22</f>
        <v>5.1643760807120889E-5</v>
      </c>
      <c r="AN19" s="53">
        <f>'LUC-2012-08-10-Run1'!BP22</f>
        <v>5.1471565489378863E-5</v>
      </c>
      <c r="AO19" s="53">
        <f>'LUC-2012-08-10-Run1'!BQ22</f>
        <v>5.1299370171636837E-5</v>
      </c>
      <c r="AP19" s="53">
        <f>'LUC-2012-08-10-Run1'!BR22</f>
        <v>5.1127174853894818E-5</v>
      </c>
      <c r="AQ19" s="53">
        <f>'LUC-2012-08-10-Run1'!BS22</f>
        <v>5.0954979536152792E-5</v>
      </c>
      <c r="AR19" s="53">
        <f>'LUC-2012-08-10-Run1'!BT22</f>
        <v>5.0954979536152792E-5</v>
      </c>
      <c r="AS19" s="53">
        <f>'LUC-2012-08-10-Run1'!BU22</f>
        <v>5.0954979536152792E-5</v>
      </c>
      <c r="AT19" s="53">
        <f>'LUC-2012-08-10-Run1'!BV22</f>
        <v>5.0954979536152792E-5</v>
      </c>
      <c r="AU19" s="53">
        <f>'LUC-2012-08-10-Run1'!BW22</f>
        <v>5.0954979536152792E-5</v>
      </c>
      <c r="AV19" s="53">
        <f>'LUC-2012-08-10-Run1'!BX22</f>
        <v>5.0954979536152792E-5</v>
      </c>
      <c r="AW19" s="53">
        <f>'LUC-2012-08-10-Run1'!BY22</f>
        <v>5.0954979536152792E-5</v>
      </c>
      <c r="AX19" s="53">
        <f>'LUC-2012-08-10-Run1'!BZ22</f>
        <v>5.0954979536152792E-5</v>
      </c>
      <c r="AY19" s="53">
        <f>'LUC-2012-08-10-Run1'!CA22</f>
        <v>5.0954979536152792E-5</v>
      </c>
      <c r="AZ19" s="53">
        <f>'LUC-2012-08-10-Run1'!CB22</f>
        <v>5.0954979536152792E-5</v>
      </c>
      <c r="BA19" s="53">
        <f>'LUC-2012-08-10-Run1'!CC22</f>
        <v>5.0954979536152792E-5</v>
      </c>
      <c r="BB19" s="53">
        <f>'LUC-2012-08-10-Run1'!CD22</f>
        <v>5.0954979536152792E-5</v>
      </c>
      <c r="BC19" s="53">
        <f>'LUC-2012-08-10-Run1'!CE22</f>
        <v>5.0954979536152792E-5</v>
      </c>
      <c r="BD19" s="53">
        <f>'LUC-2012-08-10-Run1'!CF22</f>
        <v>5.0954979536152792E-5</v>
      </c>
      <c r="BE19" s="53">
        <f>'LUC-2012-08-10-Run1'!CG22</f>
        <v>5.0954979536152792E-5</v>
      </c>
      <c r="BF19" s="53">
        <f>'LUC-2012-08-10-Run1'!CH22</f>
        <v>5.0954979536152792E-5</v>
      </c>
      <c r="BG19" s="53">
        <f>'LUC-2012-08-10-Run1'!CI22</f>
        <v>5.0954979536152792E-5</v>
      </c>
      <c r="BH19" s="53">
        <f>'LUC-2012-08-10-Run1'!CJ22</f>
        <v>5.0954979536152792E-5</v>
      </c>
      <c r="BI19" s="53">
        <f>'LUC-2012-08-10-Run1'!CK22</f>
        <v>5.0954979536152792E-5</v>
      </c>
      <c r="BJ19" s="53">
        <f>'LUC-2012-08-10-Run1'!CL22</f>
        <v>5.0954979536152792E-5</v>
      </c>
      <c r="BK19" s="53">
        <f>'LUC-2012-08-10-Run1'!CM22</f>
        <v>5.0954979536152792E-5</v>
      </c>
      <c r="BM19" s="104"/>
      <c r="BN19" s="57" t="s">
        <v>101</v>
      </c>
      <c r="BO19" s="65">
        <f t="shared" si="8"/>
        <v>38.032689450222882</v>
      </c>
      <c r="BP19" s="65">
        <f t="shared" si="9"/>
        <v>38.736998514115896</v>
      </c>
      <c r="BQ19" s="65">
        <f t="shared" si="10"/>
        <v>38.522501447706539</v>
      </c>
      <c r="BR19" s="65">
        <f t="shared" si="11"/>
        <v>36.812410341861458</v>
      </c>
      <c r="BS19" s="65">
        <f t="shared" si="12"/>
        <v>35.10231923601637</v>
      </c>
      <c r="BT19" s="65">
        <f t="shared" si="13"/>
        <v>35.10231923601637</v>
      </c>
      <c r="BU19" s="65">
        <f t="shared" si="14"/>
        <v>35.10231923601637</v>
      </c>
      <c r="BV19" s="54"/>
      <c r="BX19" s="100">
        <f t="shared" si="15"/>
        <v>-0.10289136028459435</v>
      </c>
    </row>
    <row r="20" spans="1:77" x14ac:dyDescent="0.25">
      <c r="A20" s="54" t="s">
        <v>38</v>
      </c>
      <c r="B20" s="54" t="s">
        <v>101</v>
      </c>
      <c r="C20" s="52" t="s">
        <v>92</v>
      </c>
      <c r="D20" s="53">
        <f>'LUC-2012-08-10-Run1'!AF23</f>
        <v>3.8032689450222883E-5</v>
      </c>
      <c r="E20" s="53">
        <f>'LUC-2012-08-10-Run1'!AG23</f>
        <v>3.8110946012877659E-5</v>
      </c>
      <c r="F20" s="53">
        <f>'LUC-2012-08-10-Run1'!AH23</f>
        <v>3.8189202575532442E-5</v>
      </c>
      <c r="G20" s="53">
        <f>'LUC-2012-08-10-Run1'!AI23</f>
        <v>3.8267459138187219E-5</v>
      </c>
      <c r="H20" s="53">
        <f>'LUC-2012-08-10-Run1'!AJ23</f>
        <v>3.8345715700842002E-5</v>
      </c>
      <c r="I20" s="53">
        <f>'LUC-2012-08-10-Run1'!AK23</f>
        <v>3.8423972263496778E-5</v>
      </c>
      <c r="J20" s="53">
        <f>'LUC-2012-08-10-Run1'!AL23</f>
        <v>3.8502228826151561E-5</v>
      </c>
      <c r="K20" s="53">
        <f>'LUC-2012-08-10-Run1'!AM23</f>
        <v>3.8580485388806337E-5</v>
      </c>
      <c r="L20" s="53">
        <f>'LUC-2012-08-10-Run1'!AN23</f>
        <v>3.865874195146112E-5</v>
      </c>
      <c r="M20" s="53">
        <f>'LUC-2012-08-10-Run1'!AO23</f>
        <v>3.8736998514115897E-5</v>
      </c>
      <c r="N20" s="53">
        <f>'LUC-2012-08-10-Run1'!AP23</f>
        <v>3.881525507677068E-5</v>
      </c>
      <c r="O20" s="53">
        <f>'LUC-2012-08-10-Run1'!AQ23</f>
        <v>3.8893511639425456E-5</v>
      </c>
      <c r="P20" s="53">
        <f>'LUC-2012-08-10-Run1'!AR23</f>
        <v>3.8971768202080239E-5</v>
      </c>
      <c r="Q20" s="53">
        <f>'LUC-2012-08-10-Run1'!AS23</f>
        <v>3.9050024764735016E-5</v>
      </c>
      <c r="R20" s="53">
        <f>'LUC-2012-08-10-Run1'!AT23</f>
        <v>3.9128281327389799E-5</v>
      </c>
      <c r="S20" s="53">
        <f>'LUC-2012-08-10-Run1'!AU23</f>
        <v>3.9206537890044575E-5</v>
      </c>
      <c r="T20" s="53">
        <f>'LUC-2012-08-10-Run1'!AV23</f>
        <v>3.9035528779460066E-5</v>
      </c>
      <c r="U20" s="53">
        <f>'LUC-2012-08-10-Run1'!AW23</f>
        <v>3.8864519668875558E-5</v>
      </c>
      <c r="V20" s="53">
        <f>'LUC-2012-08-10-Run1'!AX23</f>
        <v>3.8693510558291049E-5</v>
      </c>
      <c r="W20" s="53">
        <f>'LUC-2012-08-10-Run1'!AY23</f>
        <v>3.8522501447706541E-5</v>
      </c>
      <c r="X20" s="53">
        <f>'LUC-2012-08-10-Run1'!AZ23</f>
        <v>3.8351492337122032E-5</v>
      </c>
      <c r="Y20" s="53">
        <f>'LUC-2012-08-10-Run1'!BA23</f>
        <v>3.8180483226537523E-5</v>
      </c>
      <c r="Z20" s="53">
        <f>'LUC-2012-08-10-Run1'!BB23</f>
        <v>3.8009474115953015E-5</v>
      </c>
      <c r="AA20" s="53">
        <f>'LUC-2012-08-10-Run1'!BC23</f>
        <v>3.7838465005368506E-5</v>
      </c>
      <c r="AB20" s="53">
        <f>'LUC-2012-08-10-Run1'!BD23</f>
        <v>3.7667455894783998E-5</v>
      </c>
      <c r="AC20" s="53">
        <f>'LUC-2012-08-10-Run1'!BE23</f>
        <v>3.7496446784199489E-5</v>
      </c>
      <c r="AD20" s="53">
        <f>'LUC-2012-08-10-Run1'!BF23</f>
        <v>3.7325437673614981E-5</v>
      </c>
      <c r="AE20" s="53">
        <f>'LUC-2012-08-10-Run1'!BG23</f>
        <v>3.7154428563030472E-5</v>
      </c>
      <c r="AF20" s="53">
        <f>'LUC-2012-08-10-Run1'!BH23</f>
        <v>3.6983419452445963E-5</v>
      </c>
      <c r="AG20" s="53">
        <f>'LUC-2012-08-10-Run1'!BI23</f>
        <v>3.6812410341861455E-5</v>
      </c>
      <c r="AH20" s="53">
        <f>'LUC-2012-08-10-Run1'!BJ23</f>
        <v>3.6641401231276946E-5</v>
      </c>
      <c r="AI20" s="53">
        <f>'LUC-2012-08-10-Run1'!BK23</f>
        <v>3.6470392120692438E-5</v>
      </c>
      <c r="AJ20" s="53">
        <f>'LUC-2012-08-10-Run1'!BL23</f>
        <v>3.6299383010107929E-5</v>
      </c>
      <c r="AK20" s="53">
        <f>'LUC-2012-08-10-Run1'!BM23</f>
        <v>3.612837389952342E-5</v>
      </c>
      <c r="AL20" s="53">
        <f>'LUC-2012-08-10-Run1'!BN23</f>
        <v>3.5957364788938912E-5</v>
      </c>
      <c r="AM20" s="53">
        <f>'LUC-2012-08-10-Run1'!BO23</f>
        <v>3.5786355678354403E-5</v>
      </c>
      <c r="AN20" s="53">
        <f>'LUC-2012-08-10-Run1'!BP23</f>
        <v>3.5615346567769895E-5</v>
      </c>
      <c r="AO20" s="53">
        <f>'LUC-2012-08-10-Run1'!BQ23</f>
        <v>3.5444337457185386E-5</v>
      </c>
      <c r="AP20" s="53">
        <f>'LUC-2012-08-10-Run1'!BR23</f>
        <v>3.5273328346600878E-5</v>
      </c>
      <c r="AQ20" s="53">
        <f>'LUC-2012-08-10-Run1'!BS23</f>
        <v>3.5102319236016369E-5</v>
      </c>
      <c r="AR20" s="53">
        <f>'LUC-2012-08-10-Run1'!BT23</f>
        <v>3.5102319236016369E-5</v>
      </c>
      <c r="AS20" s="53">
        <f>'LUC-2012-08-10-Run1'!BU23</f>
        <v>3.5102319236016369E-5</v>
      </c>
      <c r="AT20" s="53">
        <f>'LUC-2012-08-10-Run1'!BV23</f>
        <v>3.5102319236016369E-5</v>
      </c>
      <c r="AU20" s="53">
        <f>'LUC-2012-08-10-Run1'!BW23</f>
        <v>3.5102319236016369E-5</v>
      </c>
      <c r="AV20" s="53">
        <f>'LUC-2012-08-10-Run1'!BX23</f>
        <v>3.5102319236016369E-5</v>
      </c>
      <c r="AW20" s="53">
        <f>'LUC-2012-08-10-Run1'!BY23</f>
        <v>3.5102319236016369E-5</v>
      </c>
      <c r="AX20" s="53">
        <f>'LUC-2012-08-10-Run1'!BZ23</f>
        <v>3.5102319236016369E-5</v>
      </c>
      <c r="AY20" s="53">
        <f>'LUC-2012-08-10-Run1'!CA23</f>
        <v>3.5102319236016369E-5</v>
      </c>
      <c r="AZ20" s="53">
        <f>'LUC-2012-08-10-Run1'!CB23</f>
        <v>3.5102319236016369E-5</v>
      </c>
      <c r="BA20" s="53">
        <f>'LUC-2012-08-10-Run1'!CC23</f>
        <v>3.5102319236016369E-5</v>
      </c>
      <c r="BB20" s="53">
        <f>'LUC-2012-08-10-Run1'!CD23</f>
        <v>3.5102319236016369E-5</v>
      </c>
      <c r="BC20" s="53">
        <f>'LUC-2012-08-10-Run1'!CE23</f>
        <v>3.5102319236016369E-5</v>
      </c>
      <c r="BD20" s="53">
        <f>'LUC-2012-08-10-Run1'!CF23</f>
        <v>3.5102319236016369E-5</v>
      </c>
      <c r="BE20" s="53">
        <f>'LUC-2012-08-10-Run1'!CG23</f>
        <v>3.5102319236016369E-5</v>
      </c>
      <c r="BF20" s="53">
        <f>'LUC-2012-08-10-Run1'!CH23</f>
        <v>3.5102319236016369E-5</v>
      </c>
      <c r="BG20" s="53">
        <f>'LUC-2012-08-10-Run1'!CI23</f>
        <v>3.5102319236016369E-5</v>
      </c>
      <c r="BH20" s="53">
        <f>'LUC-2012-08-10-Run1'!CJ23</f>
        <v>3.5102319236016369E-5</v>
      </c>
      <c r="BI20" s="53">
        <f>'LUC-2012-08-10-Run1'!CK23</f>
        <v>3.5102319236016369E-5</v>
      </c>
      <c r="BJ20" s="53">
        <f>'LUC-2012-08-10-Run1'!CL23</f>
        <v>3.5102319236016369E-5</v>
      </c>
      <c r="BK20" s="53">
        <f>'LUC-2012-08-10-Run1'!CM23</f>
        <v>3.5102319236016369E-5</v>
      </c>
      <c r="BM20" s="104"/>
      <c r="BN20" s="57" t="s">
        <v>111</v>
      </c>
      <c r="BO20" s="65">
        <f t="shared" si="8"/>
        <v>33.2184249628529</v>
      </c>
      <c r="BP20" s="65">
        <f t="shared" si="9"/>
        <v>33.833580980683507</v>
      </c>
      <c r="BQ20" s="65">
        <f t="shared" si="10"/>
        <v>34.5377684169557</v>
      </c>
      <c r="BR20" s="65">
        <f t="shared" si="11"/>
        <v>35.272976977918503</v>
      </c>
      <c r="BS20" s="65">
        <f t="shared" si="12"/>
        <v>36.008185538881307</v>
      </c>
      <c r="BT20" s="65">
        <f t="shared" si="13"/>
        <v>36.008185538881307</v>
      </c>
      <c r="BU20" s="65">
        <f t="shared" si="14"/>
        <v>36.008185538881307</v>
      </c>
      <c r="BV20" s="54"/>
      <c r="BX20" s="100">
        <f t="shared" si="15"/>
        <v>5.3630820333353181E-2</v>
      </c>
    </row>
    <row r="21" spans="1:77" x14ac:dyDescent="0.25">
      <c r="A21" s="54" t="s">
        <v>38</v>
      </c>
      <c r="B21" s="54" t="s">
        <v>111</v>
      </c>
      <c r="C21" s="52" t="s">
        <v>92</v>
      </c>
      <c r="D21" s="53">
        <f>'LUC-2012-08-10-Run1'!AF24</f>
        <v>3.3218424962852898E-5</v>
      </c>
      <c r="E21" s="53">
        <f>'LUC-2012-08-10-Run1'!AG24</f>
        <v>3.3286775631500744E-5</v>
      </c>
      <c r="F21" s="53">
        <f>'LUC-2012-08-10-Run1'!AH24</f>
        <v>3.3355126300148591E-5</v>
      </c>
      <c r="G21" s="53">
        <f>'LUC-2012-08-10-Run1'!AI24</f>
        <v>3.3423476968796431E-5</v>
      </c>
      <c r="H21" s="53">
        <f>'LUC-2012-08-10-Run1'!AJ24</f>
        <v>3.3491827637444278E-5</v>
      </c>
      <c r="I21" s="53">
        <f>'LUC-2012-08-10-Run1'!AK24</f>
        <v>3.3560178306092124E-5</v>
      </c>
      <c r="J21" s="53">
        <f>'LUC-2012-08-10-Run1'!AL24</f>
        <v>3.3628528974739971E-5</v>
      </c>
      <c r="K21" s="53">
        <f>'LUC-2012-08-10-Run1'!AM24</f>
        <v>3.3696879643387817E-5</v>
      </c>
      <c r="L21" s="53">
        <f>'LUC-2012-08-10-Run1'!AN24</f>
        <v>3.3765230312035657E-5</v>
      </c>
      <c r="M21" s="53">
        <f>'LUC-2012-08-10-Run1'!AO24</f>
        <v>3.3833580980683504E-5</v>
      </c>
      <c r="N21" s="53">
        <f>'LUC-2012-08-10-Run1'!AP24</f>
        <v>3.3901931649331351E-5</v>
      </c>
      <c r="O21" s="53">
        <f>'LUC-2012-08-10-Run1'!AQ24</f>
        <v>3.3970282317979197E-5</v>
      </c>
      <c r="P21" s="53">
        <f>'LUC-2012-08-10-Run1'!AR24</f>
        <v>3.4038632986627044E-5</v>
      </c>
      <c r="Q21" s="53">
        <f>'LUC-2012-08-10-Run1'!AS24</f>
        <v>3.4106983655274884E-5</v>
      </c>
      <c r="R21" s="53">
        <f>'LUC-2012-08-10-Run1'!AT24</f>
        <v>3.417533432392273E-5</v>
      </c>
      <c r="S21" s="53">
        <f>'LUC-2012-08-10-Run1'!AU24</f>
        <v>3.4243684992570577E-5</v>
      </c>
      <c r="T21" s="53">
        <f>'LUC-2012-08-10-Run1'!AV24</f>
        <v>3.4317205848666858E-5</v>
      </c>
      <c r="U21" s="53">
        <f>'LUC-2012-08-10-Run1'!AW24</f>
        <v>3.4390726704763139E-5</v>
      </c>
      <c r="V21" s="53">
        <f>'LUC-2012-08-10-Run1'!AX24</f>
        <v>3.446424756085942E-5</v>
      </c>
      <c r="W21" s="53">
        <f>'LUC-2012-08-10-Run1'!AY24</f>
        <v>3.4537768416955701E-5</v>
      </c>
      <c r="X21" s="53">
        <f>'LUC-2012-08-10-Run1'!AZ24</f>
        <v>3.4611289273051982E-5</v>
      </c>
      <c r="Y21" s="53">
        <f>'LUC-2012-08-10-Run1'!BA24</f>
        <v>3.4684810129148263E-5</v>
      </c>
      <c r="Z21" s="53">
        <f>'LUC-2012-08-10-Run1'!BB24</f>
        <v>3.4758330985244537E-5</v>
      </c>
      <c r="AA21" s="53">
        <f>'LUC-2012-08-10-Run1'!BC24</f>
        <v>3.4831851841340818E-5</v>
      </c>
      <c r="AB21" s="53">
        <f>'LUC-2012-08-10-Run1'!BD24</f>
        <v>3.4905372697437099E-5</v>
      </c>
      <c r="AC21" s="53">
        <f>'LUC-2012-08-10-Run1'!BE24</f>
        <v>3.497889355353338E-5</v>
      </c>
      <c r="AD21" s="53">
        <f>'LUC-2012-08-10-Run1'!BF24</f>
        <v>3.5052414409629662E-5</v>
      </c>
      <c r="AE21" s="53">
        <f>'LUC-2012-08-10-Run1'!BG24</f>
        <v>3.5125935265725943E-5</v>
      </c>
      <c r="AF21" s="53">
        <f>'LUC-2012-08-10-Run1'!BH24</f>
        <v>3.5199456121822224E-5</v>
      </c>
      <c r="AG21" s="53">
        <f>'LUC-2012-08-10-Run1'!BI24</f>
        <v>3.5272976977918505E-5</v>
      </c>
      <c r="AH21" s="53">
        <f>'LUC-2012-08-10-Run1'!BJ24</f>
        <v>3.5346497834014786E-5</v>
      </c>
      <c r="AI21" s="53">
        <f>'LUC-2012-08-10-Run1'!BK24</f>
        <v>3.5420018690111067E-5</v>
      </c>
      <c r="AJ21" s="53">
        <f>'LUC-2012-08-10-Run1'!BL24</f>
        <v>3.5493539546207348E-5</v>
      </c>
      <c r="AK21" s="53">
        <f>'LUC-2012-08-10-Run1'!BM24</f>
        <v>3.5567060402303622E-5</v>
      </c>
      <c r="AL21" s="53">
        <f>'LUC-2012-08-10-Run1'!BN24</f>
        <v>3.5640581258399903E-5</v>
      </c>
      <c r="AM21" s="53">
        <f>'LUC-2012-08-10-Run1'!BO24</f>
        <v>3.5714102114496184E-5</v>
      </c>
      <c r="AN21" s="53">
        <f>'LUC-2012-08-10-Run1'!BP24</f>
        <v>3.5787622970592465E-5</v>
      </c>
      <c r="AO21" s="53">
        <f>'LUC-2012-08-10-Run1'!BQ24</f>
        <v>3.5861143826688746E-5</v>
      </c>
      <c r="AP21" s="53">
        <f>'LUC-2012-08-10-Run1'!BR24</f>
        <v>3.5934664682785027E-5</v>
      </c>
      <c r="AQ21" s="53">
        <f>'LUC-2012-08-10-Run1'!BS24</f>
        <v>3.6008185538881308E-5</v>
      </c>
      <c r="AR21" s="53">
        <f>'LUC-2012-08-10-Run1'!BT24</f>
        <v>3.6008185538881308E-5</v>
      </c>
      <c r="AS21" s="53">
        <f>'LUC-2012-08-10-Run1'!BU24</f>
        <v>3.6008185538881308E-5</v>
      </c>
      <c r="AT21" s="53">
        <f>'LUC-2012-08-10-Run1'!BV24</f>
        <v>3.6008185538881308E-5</v>
      </c>
      <c r="AU21" s="53">
        <f>'LUC-2012-08-10-Run1'!BW24</f>
        <v>3.6008185538881308E-5</v>
      </c>
      <c r="AV21" s="53">
        <f>'LUC-2012-08-10-Run1'!BX24</f>
        <v>3.6008185538881308E-5</v>
      </c>
      <c r="AW21" s="53">
        <f>'LUC-2012-08-10-Run1'!BY24</f>
        <v>3.6008185538881308E-5</v>
      </c>
      <c r="AX21" s="53">
        <f>'LUC-2012-08-10-Run1'!BZ24</f>
        <v>3.6008185538881308E-5</v>
      </c>
      <c r="AY21" s="53">
        <f>'LUC-2012-08-10-Run1'!CA24</f>
        <v>3.6008185538881308E-5</v>
      </c>
      <c r="AZ21" s="53">
        <f>'LUC-2012-08-10-Run1'!CB24</f>
        <v>3.6008185538881308E-5</v>
      </c>
      <c r="BA21" s="53">
        <f>'LUC-2012-08-10-Run1'!CC24</f>
        <v>3.6008185538881308E-5</v>
      </c>
      <c r="BB21" s="53">
        <f>'LUC-2012-08-10-Run1'!CD24</f>
        <v>3.6008185538881308E-5</v>
      </c>
      <c r="BC21" s="53">
        <f>'LUC-2012-08-10-Run1'!CE24</f>
        <v>3.6008185538881308E-5</v>
      </c>
      <c r="BD21" s="53">
        <f>'LUC-2012-08-10-Run1'!CF24</f>
        <v>3.6008185538881308E-5</v>
      </c>
      <c r="BE21" s="53">
        <f>'LUC-2012-08-10-Run1'!CG24</f>
        <v>3.6008185538881308E-5</v>
      </c>
      <c r="BF21" s="53">
        <f>'LUC-2012-08-10-Run1'!CH24</f>
        <v>3.6008185538881308E-5</v>
      </c>
      <c r="BG21" s="53">
        <f>'LUC-2012-08-10-Run1'!CI24</f>
        <v>3.6008185538881308E-5</v>
      </c>
      <c r="BH21" s="53">
        <f>'LUC-2012-08-10-Run1'!CJ24</f>
        <v>3.6008185538881308E-5</v>
      </c>
      <c r="BI21" s="53">
        <f>'LUC-2012-08-10-Run1'!CK24</f>
        <v>3.6008185538881308E-5</v>
      </c>
      <c r="BJ21" s="53">
        <f>'LUC-2012-08-10-Run1'!CL24</f>
        <v>3.6008185538881308E-5</v>
      </c>
      <c r="BK21" s="53">
        <f>'LUC-2012-08-10-Run1'!CM24</f>
        <v>3.6008185538881308E-5</v>
      </c>
      <c r="BM21" s="104"/>
      <c r="BN21" s="57" t="s">
        <v>102</v>
      </c>
      <c r="BO21" s="65">
        <f t="shared" si="8"/>
        <v>16</v>
      </c>
      <c r="BP21" s="65">
        <f t="shared" si="9"/>
        <v>17.8</v>
      </c>
      <c r="BQ21" s="65">
        <f t="shared" si="10"/>
        <v>19.166666666666668</v>
      </c>
      <c r="BR21" s="65">
        <f t="shared" si="11"/>
        <v>19.583333333333336</v>
      </c>
      <c r="BS21" s="65">
        <f t="shared" si="12"/>
        <v>20</v>
      </c>
      <c r="BT21" s="65">
        <f t="shared" si="13"/>
        <v>20.5</v>
      </c>
      <c r="BU21" s="65">
        <f t="shared" si="14"/>
        <v>21</v>
      </c>
      <c r="BV21" s="54"/>
      <c r="BX21" s="100">
        <f t="shared" si="15"/>
        <v>0.11702127659574464</v>
      </c>
    </row>
    <row r="22" spans="1:77" x14ac:dyDescent="0.25">
      <c r="A22" s="54" t="s">
        <v>38</v>
      </c>
      <c r="B22" s="54" t="s">
        <v>102</v>
      </c>
      <c r="C22" s="52" t="s">
        <v>92</v>
      </c>
      <c r="D22" s="53">
        <f>'LUC-2012-08-10-Run1'!AF25</f>
        <v>1.5999999999999999E-5</v>
      </c>
      <c r="E22" s="53">
        <f>'LUC-2012-08-10-Run1'!AG25</f>
        <v>1.6200000000000001E-5</v>
      </c>
      <c r="F22" s="53">
        <f>'LUC-2012-08-10-Run1'!AH25</f>
        <v>1.6399999999999999E-5</v>
      </c>
      <c r="G22" s="53">
        <f>'LUC-2012-08-10-Run1'!AI25</f>
        <v>1.66E-5</v>
      </c>
      <c r="H22" s="53">
        <f>'LUC-2012-08-10-Run1'!AJ25</f>
        <v>1.6799999999999998E-5</v>
      </c>
      <c r="I22" s="53">
        <f>'LUC-2012-08-10-Run1'!AK25</f>
        <v>1.7E-5</v>
      </c>
      <c r="J22" s="53">
        <f>'LUC-2012-08-10-Run1'!AL25</f>
        <v>1.7200000000000001E-5</v>
      </c>
      <c r="K22" s="53">
        <f>'LUC-2012-08-10-Run1'!AM25</f>
        <v>1.7399999999999999E-5</v>
      </c>
      <c r="L22" s="53">
        <f>'LUC-2012-08-10-Run1'!AN25</f>
        <v>1.7600000000000001E-5</v>
      </c>
      <c r="M22" s="53">
        <f>'LUC-2012-08-10-Run1'!AO25</f>
        <v>1.7799999999999999E-5</v>
      </c>
      <c r="N22" s="53">
        <f>'LUC-2012-08-10-Run1'!AP25</f>
        <v>1.8E-5</v>
      </c>
      <c r="O22" s="53">
        <f>'LUC-2012-08-10-Run1'!AQ25</f>
        <v>1.8200000000000002E-5</v>
      </c>
      <c r="P22" s="53">
        <f>'LUC-2012-08-10-Run1'!AR25</f>
        <v>1.84E-5</v>
      </c>
      <c r="Q22" s="53">
        <f>'LUC-2012-08-10-Run1'!AS25</f>
        <v>1.8600000000000001E-5</v>
      </c>
      <c r="R22" s="53">
        <f>'LUC-2012-08-10-Run1'!AT25</f>
        <v>1.88E-5</v>
      </c>
      <c r="S22" s="53">
        <f>'LUC-2012-08-10-Run1'!AU25</f>
        <v>1.9000000000000001E-5</v>
      </c>
      <c r="T22" s="53">
        <f>'LUC-2012-08-10-Run1'!AV25</f>
        <v>1.9041666666666668E-5</v>
      </c>
      <c r="U22" s="53">
        <f>'LUC-2012-08-10-Run1'!AW25</f>
        <v>1.9083333333333334E-5</v>
      </c>
      <c r="V22" s="53">
        <f>'LUC-2012-08-10-Run1'!AX25</f>
        <v>1.9125000000000001E-5</v>
      </c>
      <c r="W22" s="53">
        <f>'LUC-2012-08-10-Run1'!AY25</f>
        <v>1.9166666666666667E-5</v>
      </c>
      <c r="X22" s="53">
        <f>'LUC-2012-08-10-Run1'!AZ25</f>
        <v>1.9208333333333334E-5</v>
      </c>
      <c r="Y22" s="53">
        <f>'LUC-2012-08-10-Run1'!BA25</f>
        <v>1.925E-5</v>
      </c>
      <c r="Z22" s="53">
        <f>'LUC-2012-08-10-Run1'!BB25</f>
        <v>1.9291666666666667E-5</v>
      </c>
      <c r="AA22" s="53">
        <f>'LUC-2012-08-10-Run1'!BC25</f>
        <v>1.9333333333333333E-5</v>
      </c>
      <c r="AB22" s="53">
        <f>'LUC-2012-08-10-Run1'!BD25</f>
        <v>1.9375E-5</v>
      </c>
      <c r="AC22" s="53">
        <f>'LUC-2012-08-10-Run1'!BE25</f>
        <v>1.9416666666666667E-5</v>
      </c>
      <c r="AD22" s="53">
        <f>'LUC-2012-08-10-Run1'!BF25</f>
        <v>1.9458333333333333E-5</v>
      </c>
      <c r="AE22" s="53">
        <f>'LUC-2012-08-10-Run1'!BG25</f>
        <v>1.95E-5</v>
      </c>
      <c r="AF22" s="53">
        <f>'LUC-2012-08-10-Run1'!BH25</f>
        <v>1.954166666666667E-5</v>
      </c>
      <c r="AG22" s="53">
        <f>'LUC-2012-08-10-Run1'!BI25</f>
        <v>1.9583333333333336E-5</v>
      </c>
      <c r="AH22" s="53">
        <f>'LUC-2012-08-10-Run1'!BJ25</f>
        <v>1.9625000000000003E-5</v>
      </c>
      <c r="AI22" s="53">
        <f>'LUC-2012-08-10-Run1'!BK25</f>
        <v>1.9666666666666669E-5</v>
      </c>
      <c r="AJ22" s="53">
        <f>'LUC-2012-08-10-Run1'!BL25</f>
        <v>1.9708333333333336E-5</v>
      </c>
      <c r="AK22" s="53">
        <f>'LUC-2012-08-10-Run1'!BM25</f>
        <v>1.9750000000000002E-5</v>
      </c>
      <c r="AL22" s="53">
        <f>'LUC-2012-08-10-Run1'!BN25</f>
        <v>1.9791666666666669E-5</v>
      </c>
      <c r="AM22" s="53">
        <f>'LUC-2012-08-10-Run1'!BO25</f>
        <v>1.9833333333333335E-5</v>
      </c>
      <c r="AN22" s="53">
        <f>'LUC-2012-08-10-Run1'!BP25</f>
        <v>1.9875000000000002E-5</v>
      </c>
      <c r="AO22" s="53">
        <f>'LUC-2012-08-10-Run1'!BQ25</f>
        <v>1.9916666666666669E-5</v>
      </c>
      <c r="AP22" s="53">
        <f>'LUC-2012-08-10-Run1'!BR25</f>
        <v>1.9958333333333335E-5</v>
      </c>
      <c r="AQ22" s="53">
        <f>'LUC-2012-08-10-Run1'!BS25</f>
        <v>2.0000000000000002E-5</v>
      </c>
      <c r="AR22" s="53">
        <f>'LUC-2012-08-10-Run1'!BT25</f>
        <v>2.0050000000000003E-5</v>
      </c>
      <c r="AS22" s="53">
        <f>'LUC-2012-08-10-Run1'!BU25</f>
        <v>2.0100000000000001E-5</v>
      </c>
      <c r="AT22" s="53">
        <f>'LUC-2012-08-10-Run1'!BV25</f>
        <v>2.0150000000000002E-5</v>
      </c>
      <c r="AU22" s="53">
        <f>'LUC-2012-08-10-Run1'!BW25</f>
        <v>2.02E-5</v>
      </c>
      <c r="AV22" s="53">
        <f>'LUC-2012-08-10-Run1'!BX25</f>
        <v>2.0250000000000001E-5</v>
      </c>
      <c r="AW22" s="53">
        <f>'LUC-2012-08-10-Run1'!BY25</f>
        <v>2.0300000000000002E-5</v>
      </c>
      <c r="AX22" s="53">
        <f>'LUC-2012-08-10-Run1'!BZ25</f>
        <v>2.035E-5</v>
      </c>
      <c r="AY22" s="53">
        <f>'LUC-2012-08-10-Run1'!CA25</f>
        <v>2.0400000000000001E-5</v>
      </c>
      <c r="AZ22" s="53">
        <f>'LUC-2012-08-10-Run1'!CB25</f>
        <v>2.0449999999999999E-5</v>
      </c>
      <c r="BA22" s="53">
        <f>'LUC-2012-08-10-Run1'!CC25</f>
        <v>2.05E-5</v>
      </c>
      <c r="BB22" s="53">
        <f>'LUC-2012-08-10-Run1'!CD25</f>
        <v>2.0550000000000001E-5</v>
      </c>
      <c r="BC22" s="53">
        <f>'LUC-2012-08-10-Run1'!CE25</f>
        <v>2.0599999999999999E-5</v>
      </c>
      <c r="BD22" s="53">
        <f>'LUC-2012-08-10-Run1'!CF25</f>
        <v>2.065E-5</v>
      </c>
      <c r="BE22" s="53">
        <f>'LUC-2012-08-10-Run1'!CG25</f>
        <v>2.0699999999999998E-5</v>
      </c>
      <c r="BF22" s="53">
        <f>'LUC-2012-08-10-Run1'!CH25</f>
        <v>2.075E-5</v>
      </c>
      <c r="BG22" s="53">
        <f>'LUC-2012-08-10-Run1'!CI25</f>
        <v>2.0800000000000001E-5</v>
      </c>
      <c r="BH22" s="53">
        <f>'LUC-2012-08-10-Run1'!CJ25</f>
        <v>2.0849999999999999E-5</v>
      </c>
      <c r="BI22" s="53">
        <f>'LUC-2012-08-10-Run1'!CK25</f>
        <v>2.09E-5</v>
      </c>
      <c r="BJ22" s="53">
        <f>'LUC-2012-08-10-Run1'!CL25</f>
        <v>2.0949999999999998E-5</v>
      </c>
      <c r="BK22" s="53">
        <f>'LUC-2012-08-10-Run1'!CM25</f>
        <v>2.0999999999999999E-5</v>
      </c>
      <c r="BM22" s="104"/>
      <c r="BN22" s="57" t="s">
        <v>103</v>
      </c>
      <c r="BO22" s="65">
        <f t="shared" si="8"/>
        <v>36</v>
      </c>
      <c r="BP22" s="65">
        <f t="shared" si="9"/>
        <v>34.799999999999997</v>
      </c>
      <c r="BQ22" s="65">
        <f t="shared" si="10"/>
        <v>33.833333333333336</v>
      </c>
      <c r="BR22" s="65">
        <f t="shared" si="11"/>
        <v>33.416666666666671</v>
      </c>
      <c r="BS22" s="65">
        <f t="shared" si="12"/>
        <v>33</v>
      </c>
      <c r="BT22" s="65">
        <f t="shared" si="13"/>
        <v>33</v>
      </c>
      <c r="BU22" s="65">
        <f t="shared" si="14"/>
        <v>33</v>
      </c>
      <c r="BV22" s="54"/>
      <c r="BX22" s="100">
        <f t="shared" si="15"/>
        <v>-3.3203124999999944E-2</v>
      </c>
    </row>
    <row r="23" spans="1:77" x14ac:dyDescent="0.25">
      <c r="A23" s="54" t="s">
        <v>38</v>
      </c>
      <c r="B23" s="54" t="s">
        <v>103</v>
      </c>
      <c r="C23" s="52" t="s">
        <v>92</v>
      </c>
      <c r="D23" s="53">
        <f>'LUC-2012-08-10-Run1'!AF26</f>
        <v>3.6000000000000001E-5</v>
      </c>
      <c r="E23" s="53">
        <f>'LUC-2012-08-10-Run1'!AG26</f>
        <v>3.5866666666666667E-5</v>
      </c>
      <c r="F23" s="53">
        <f>'LUC-2012-08-10-Run1'!AH26</f>
        <v>3.5733333333333332E-5</v>
      </c>
      <c r="G23" s="53">
        <f>'LUC-2012-08-10-Run1'!AI26</f>
        <v>3.5599999999999998E-5</v>
      </c>
      <c r="H23" s="53">
        <f>'LUC-2012-08-10-Run1'!AJ26</f>
        <v>3.546666666666667E-5</v>
      </c>
      <c r="I23" s="53">
        <f>'LUC-2012-08-10-Run1'!AK26</f>
        <v>3.5333333333333336E-5</v>
      </c>
      <c r="J23" s="53">
        <f>'LUC-2012-08-10-Run1'!AL26</f>
        <v>3.5200000000000002E-5</v>
      </c>
      <c r="K23" s="53">
        <f>'LUC-2012-08-10-Run1'!AM26</f>
        <v>3.5066666666666667E-5</v>
      </c>
      <c r="L23" s="53">
        <f>'LUC-2012-08-10-Run1'!AN26</f>
        <v>3.4933333333333333E-5</v>
      </c>
      <c r="M23" s="53">
        <f>'LUC-2012-08-10-Run1'!AO26</f>
        <v>3.4799999999999999E-5</v>
      </c>
      <c r="N23" s="53">
        <f>'LUC-2012-08-10-Run1'!AP26</f>
        <v>3.4666666666666665E-5</v>
      </c>
      <c r="O23" s="53">
        <f>'LUC-2012-08-10-Run1'!AQ26</f>
        <v>3.453333333333333E-5</v>
      </c>
      <c r="P23" s="53">
        <f>'LUC-2012-08-10-Run1'!AR26</f>
        <v>3.4400000000000003E-5</v>
      </c>
      <c r="Q23" s="53">
        <f>'LUC-2012-08-10-Run1'!AS26</f>
        <v>3.4266666666666668E-5</v>
      </c>
      <c r="R23" s="53">
        <f>'LUC-2012-08-10-Run1'!AT26</f>
        <v>3.4133333333333334E-5</v>
      </c>
      <c r="S23" s="53">
        <f>'LUC-2012-08-10-Run1'!AU26</f>
        <v>3.4E-5</v>
      </c>
      <c r="T23" s="53">
        <f>'LUC-2012-08-10-Run1'!AV26</f>
        <v>3.3958333333333337E-5</v>
      </c>
      <c r="U23" s="53">
        <f>'LUC-2012-08-10-Run1'!AW26</f>
        <v>3.3916666666666667E-5</v>
      </c>
      <c r="V23" s="53">
        <f>'LUC-2012-08-10-Run1'!AX26</f>
        <v>3.3874999999999997E-5</v>
      </c>
      <c r="W23" s="53">
        <f>'LUC-2012-08-10-Run1'!AY26</f>
        <v>3.3833333333333334E-5</v>
      </c>
      <c r="X23" s="53">
        <f>'LUC-2012-08-10-Run1'!AZ26</f>
        <v>3.379166666666667E-5</v>
      </c>
      <c r="Y23" s="53">
        <f>'LUC-2012-08-10-Run1'!BA26</f>
        <v>3.375E-5</v>
      </c>
      <c r="Z23" s="53">
        <f>'LUC-2012-08-10-Run1'!BB26</f>
        <v>3.370833333333333E-5</v>
      </c>
      <c r="AA23" s="53">
        <f>'LUC-2012-08-10-Run1'!BC26</f>
        <v>3.3666666666666667E-5</v>
      </c>
      <c r="AB23" s="53">
        <f>'LUC-2012-08-10-Run1'!BD26</f>
        <v>3.3625000000000004E-5</v>
      </c>
      <c r="AC23" s="53">
        <f>'LUC-2012-08-10-Run1'!BE26</f>
        <v>3.3583333333333334E-5</v>
      </c>
      <c r="AD23" s="53">
        <f>'LUC-2012-08-10-Run1'!BF26</f>
        <v>3.3541666666666664E-5</v>
      </c>
      <c r="AE23" s="53">
        <f>'LUC-2012-08-10-Run1'!BG26</f>
        <v>3.3500000000000001E-5</v>
      </c>
      <c r="AF23" s="53">
        <f>'LUC-2012-08-10-Run1'!BH26</f>
        <v>3.3458333333333338E-5</v>
      </c>
      <c r="AG23" s="53">
        <f>'LUC-2012-08-10-Run1'!BI26</f>
        <v>3.3416666666666668E-5</v>
      </c>
      <c r="AH23" s="53">
        <f>'LUC-2012-08-10-Run1'!BJ26</f>
        <v>3.3374999999999998E-5</v>
      </c>
      <c r="AI23" s="53">
        <f>'LUC-2012-08-10-Run1'!BK26</f>
        <v>3.3333333333333335E-5</v>
      </c>
      <c r="AJ23" s="53">
        <f>'LUC-2012-08-10-Run1'!BL26</f>
        <v>3.3291666666666672E-5</v>
      </c>
      <c r="AK23" s="53">
        <f>'LUC-2012-08-10-Run1'!BM26</f>
        <v>3.3250000000000002E-5</v>
      </c>
      <c r="AL23" s="53">
        <f>'LUC-2012-08-10-Run1'!BN26</f>
        <v>3.3208333333333332E-5</v>
      </c>
      <c r="AM23" s="53">
        <f>'LUC-2012-08-10-Run1'!BO26</f>
        <v>3.3166666666666669E-5</v>
      </c>
      <c r="AN23" s="53">
        <f>'LUC-2012-08-10-Run1'!BP26</f>
        <v>3.3125000000000006E-5</v>
      </c>
      <c r="AO23" s="53">
        <f>'LUC-2012-08-10-Run1'!BQ26</f>
        <v>3.3083333333333336E-5</v>
      </c>
      <c r="AP23" s="53">
        <f>'LUC-2012-08-10-Run1'!BR26</f>
        <v>3.3041666666666666E-5</v>
      </c>
      <c r="AQ23" s="53">
        <f>'LUC-2012-08-10-Run1'!BS26</f>
        <v>3.3000000000000003E-5</v>
      </c>
      <c r="AR23" s="53">
        <f>'LUC-2012-08-10-Run1'!BT26</f>
        <v>3.3000000000000003E-5</v>
      </c>
      <c r="AS23" s="53">
        <f>'LUC-2012-08-10-Run1'!BU26</f>
        <v>3.3000000000000003E-5</v>
      </c>
      <c r="AT23" s="53">
        <f>'LUC-2012-08-10-Run1'!BV26</f>
        <v>3.3000000000000003E-5</v>
      </c>
      <c r="AU23" s="53">
        <f>'LUC-2012-08-10-Run1'!BW26</f>
        <v>3.3000000000000003E-5</v>
      </c>
      <c r="AV23" s="53">
        <f>'LUC-2012-08-10-Run1'!BX26</f>
        <v>3.3000000000000003E-5</v>
      </c>
      <c r="AW23" s="53">
        <f>'LUC-2012-08-10-Run1'!BY26</f>
        <v>3.3000000000000003E-5</v>
      </c>
      <c r="AX23" s="53">
        <f>'LUC-2012-08-10-Run1'!BZ26</f>
        <v>3.3000000000000003E-5</v>
      </c>
      <c r="AY23" s="53">
        <f>'LUC-2012-08-10-Run1'!CA26</f>
        <v>3.3000000000000003E-5</v>
      </c>
      <c r="AZ23" s="53">
        <f>'LUC-2012-08-10-Run1'!CB26</f>
        <v>3.3000000000000003E-5</v>
      </c>
      <c r="BA23" s="53">
        <f>'LUC-2012-08-10-Run1'!CC26</f>
        <v>3.3000000000000003E-5</v>
      </c>
      <c r="BB23" s="53">
        <f>'LUC-2012-08-10-Run1'!CD26</f>
        <v>3.3000000000000003E-5</v>
      </c>
      <c r="BC23" s="53">
        <f>'LUC-2012-08-10-Run1'!CE26</f>
        <v>3.3000000000000003E-5</v>
      </c>
      <c r="BD23" s="53">
        <f>'LUC-2012-08-10-Run1'!CF26</f>
        <v>3.3000000000000003E-5</v>
      </c>
      <c r="BE23" s="53">
        <f>'LUC-2012-08-10-Run1'!CG26</f>
        <v>3.3000000000000003E-5</v>
      </c>
      <c r="BF23" s="53">
        <f>'LUC-2012-08-10-Run1'!CH26</f>
        <v>3.3000000000000003E-5</v>
      </c>
      <c r="BG23" s="53">
        <f>'LUC-2012-08-10-Run1'!CI26</f>
        <v>3.3000000000000003E-5</v>
      </c>
      <c r="BH23" s="53">
        <f>'LUC-2012-08-10-Run1'!CJ26</f>
        <v>3.3000000000000003E-5</v>
      </c>
      <c r="BI23" s="53">
        <f>'LUC-2012-08-10-Run1'!CK26</f>
        <v>3.3000000000000003E-5</v>
      </c>
      <c r="BJ23" s="53">
        <f>'LUC-2012-08-10-Run1'!CL26</f>
        <v>3.3000000000000003E-5</v>
      </c>
      <c r="BK23" s="53">
        <f>'LUC-2012-08-10-Run1'!CM26</f>
        <v>3.3000000000000003E-5</v>
      </c>
      <c r="BM23" s="105"/>
      <c r="BN23" s="58" t="s">
        <v>104</v>
      </c>
      <c r="BO23" s="66">
        <f t="shared" si="8"/>
        <v>80.900000000000006</v>
      </c>
      <c r="BP23" s="66">
        <f t="shared" si="9"/>
        <v>80.3</v>
      </c>
      <c r="BQ23" s="66">
        <f t="shared" si="10"/>
        <v>79.463636363636368</v>
      </c>
      <c r="BR23" s="66">
        <f t="shared" si="11"/>
        <v>78.372727272727275</v>
      </c>
      <c r="BS23" s="66">
        <f t="shared" si="12"/>
        <v>76</v>
      </c>
      <c r="BT23" s="66">
        <f t="shared" si="13"/>
        <v>75.55</v>
      </c>
      <c r="BU23" s="66">
        <f t="shared" si="14"/>
        <v>75.099999999999994</v>
      </c>
      <c r="BV23" s="54"/>
      <c r="BX23" s="100">
        <f t="shared" si="15"/>
        <v>-6.0858691121300608E-2</v>
      </c>
      <c r="BY23" s="100">
        <f>SUM(BX13:BX23)</f>
        <v>0.58630389787192227</v>
      </c>
    </row>
    <row r="24" spans="1:77" x14ac:dyDescent="0.25">
      <c r="A24" s="54" t="s">
        <v>38</v>
      </c>
      <c r="B24" s="54" t="s">
        <v>104</v>
      </c>
      <c r="C24" s="52" t="s">
        <v>92</v>
      </c>
      <c r="D24" s="53">
        <f>'LUC-2012-08-10-Run1'!AF28</f>
        <v>8.0900000000000001E-5</v>
      </c>
      <c r="E24" s="53">
        <f>'LUC-2012-08-10-Run1'!AG28</f>
        <v>8.0833333333333338E-5</v>
      </c>
      <c r="F24" s="53">
        <f>'LUC-2012-08-10-Run1'!AH28</f>
        <v>8.0766666666666674E-5</v>
      </c>
      <c r="G24" s="53">
        <f>'LUC-2012-08-10-Run1'!AI28</f>
        <v>8.0699999999999996E-5</v>
      </c>
      <c r="H24" s="53">
        <f>'LUC-2012-08-10-Run1'!AJ28</f>
        <v>8.0633333333333333E-5</v>
      </c>
      <c r="I24" s="53">
        <f>'LUC-2012-08-10-Run1'!AK28</f>
        <v>8.0566666666666669E-5</v>
      </c>
      <c r="J24" s="53">
        <f>'LUC-2012-08-10-Run1'!AL28</f>
        <v>8.0500000000000005E-5</v>
      </c>
      <c r="K24" s="53">
        <f>'LUC-2012-08-10-Run1'!AM28</f>
        <v>8.0433333333333341E-5</v>
      </c>
      <c r="L24" s="53">
        <f>'LUC-2012-08-10-Run1'!AN28</f>
        <v>8.0366666666666664E-5</v>
      </c>
      <c r="M24" s="53">
        <f>'LUC-2012-08-10-Run1'!AO28</f>
        <v>8.03E-5</v>
      </c>
      <c r="N24" s="53">
        <f>'LUC-2012-08-10-Run1'!AP28</f>
        <v>8.0233333333333337E-5</v>
      </c>
      <c r="O24" s="53">
        <f>'LUC-2012-08-10-Run1'!AQ28</f>
        <v>8.0166666666666673E-5</v>
      </c>
      <c r="P24" s="53">
        <f>'LUC-2012-08-10-Run1'!AR28</f>
        <v>8.0100000000000009E-5</v>
      </c>
      <c r="Q24" s="53">
        <f>'LUC-2012-08-10-Run1'!AS28</f>
        <v>8.0033333333333332E-5</v>
      </c>
      <c r="R24" s="53">
        <f>'LUC-2012-08-10-Run1'!AT28</f>
        <v>7.9966666666666668E-5</v>
      </c>
      <c r="S24" s="53">
        <f>'LUC-2012-08-10-Run1'!AU28</f>
        <v>7.9900000000000004E-5</v>
      </c>
      <c r="T24" s="53">
        <f>'LUC-2012-08-10-Run1'!AV28</f>
        <v>7.9790909090909099E-5</v>
      </c>
      <c r="U24" s="53">
        <f>'LUC-2012-08-10-Run1'!AW28</f>
        <v>7.9681818181818179E-5</v>
      </c>
      <c r="V24" s="53">
        <f>'LUC-2012-08-10-Run1'!AX28</f>
        <v>7.9572727272727274E-5</v>
      </c>
      <c r="W24" s="53">
        <f>'LUC-2012-08-10-Run1'!AY28</f>
        <v>7.9463636363636368E-5</v>
      </c>
      <c r="X24" s="53">
        <f>'LUC-2012-08-10-Run1'!AZ28</f>
        <v>7.9354545454545463E-5</v>
      </c>
      <c r="Y24" s="53">
        <f>'LUC-2012-08-10-Run1'!BA28</f>
        <v>7.9245454545454544E-5</v>
      </c>
      <c r="Z24" s="53">
        <f>'LUC-2012-08-10-Run1'!BB28</f>
        <v>7.9136363636363638E-5</v>
      </c>
      <c r="AA24" s="53">
        <f>'LUC-2012-08-10-Run1'!BC28</f>
        <v>7.9027272727272732E-5</v>
      </c>
      <c r="AB24" s="53">
        <f>'LUC-2012-08-10-Run1'!BD28</f>
        <v>7.8918181818181827E-5</v>
      </c>
      <c r="AC24" s="53">
        <f>'LUC-2012-08-10-Run1'!BE28</f>
        <v>7.8809090909090908E-5</v>
      </c>
      <c r="AD24" s="53">
        <f>'LUC-2012-08-10-Run1'!BF28</f>
        <v>7.8700000000000002E-5</v>
      </c>
      <c r="AE24" s="53">
        <f>'LUC-2012-08-10-Run1'!BG28</f>
        <v>7.8590909090909096E-5</v>
      </c>
      <c r="AF24" s="53">
        <f>'LUC-2012-08-10-Run1'!BH28</f>
        <v>7.8481818181818177E-5</v>
      </c>
      <c r="AG24" s="53">
        <f>'LUC-2012-08-10-Run1'!BI28</f>
        <v>7.8372727272727272E-5</v>
      </c>
      <c r="AH24" s="53">
        <f>'LUC-2012-08-10-Run1'!BJ28</f>
        <v>7.8263636363636366E-5</v>
      </c>
      <c r="AI24" s="53">
        <f>'LUC-2012-08-10-Run1'!BK28</f>
        <v>7.8154545454545461E-5</v>
      </c>
      <c r="AJ24" s="53">
        <f>'LUC-2012-08-10-Run1'!BL28</f>
        <v>7.8045454545454541E-5</v>
      </c>
      <c r="AK24" s="53">
        <f>'LUC-2012-08-10-Run1'!BM28</f>
        <v>7.7936363636363636E-5</v>
      </c>
      <c r="AL24" s="53">
        <f>'LUC-2012-08-10-Run1'!BN28</f>
        <v>7.782727272727273E-5</v>
      </c>
      <c r="AM24" s="53">
        <f>'LUC-2012-08-10-Run1'!BO28</f>
        <v>7.7718181818181825E-5</v>
      </c>
      <c r="AN24" s="53">
        <f>'LUC-2012-08-10-Run1'!BP28</f>
        <v>7.7609090909090906E-5</v>
      </c>
      <c r="AO24" s="53">
        <f>'LUC-2012-08-10-Run1'!BQ28</f>
        <v>7.75E-5</v>
      </c>
      <c r="AP24" s="53">
        <f>'LUC-2012-08-10-Run1'!BR28</f>
        <v>7.7390909090909094E-5</v>
      </c>
      <c r="AQ24" s="53">
        <f>'LUC-2012-08-10-Run1'!BS28</f>
        <v>7.6000000000000004E-5</v>
      </c>
      <c r="AR24" s="53">
        <f>'LUC-2012-08-10-Run1'!BT28</f>
        <v>7.5955E-5</v>
      </c>
      <c r="AS24" s="53">
        <f>'LUC-2012-08-10-Run1'!BU28</f>
        <v>7.5909999999999997E-5</v>
      </c>
      <c r="AT24" s="53">
        <f>'LUC-2012-08-10-Run1'!BV28</f>
        <v>7.5865000000000006E-5</v>
      </c>
      <c r="AU24" s="53">
        <f>'LUC-2012-08-10-Run1'!BW28</f>
        <v>7.5820000000000003E-5</v>
      </c>
      <c r="AV24" s="53">
        <f>'LUC-2012-08-10-Run1'!BX28</f>
        <v>7.5774999999999999E-5</v>
      </c>
      <c r="AW24" s="53">
        <f>'LUC-2012-08-10-Run1'!BY28</f>
        <v>7.5730000000000008E-5</v>
      </c>
      <c r="AX24" s="53">
        <f>'LUC-2012-08-10-Run1'!BZ28</f>
        <v>7.5685000000000005E-5</v>
      </c>
      <c r="AY24" s="53">
        <f>'LUC-2012-08-10-Run1'!CA28</f>
        <v>7.5640000000000001E-5</v>
      </c>
      <c r="AZ24" s="53">
        <f>'LUC-2012-08-10-Run1'!CB28</f>
        <v>7.5594999999999997E-5</v>
      </c>
      <c r="BA24" s="53">
        <f>'LUC-2012-08-10-Run1'!CC28</f>
        <v>7.5549999999999993E-5</v>
      </c>
      <c r="BB24" s="53">
        <f>'LUC-2012-08-10-Run1'!CD28</f>
        <v>7.5505000000000003E-5</v>
      </c>
      <c r="BC24" s="53">
        <f>'LUC-2012-08-10-Run1'!CE28</f>
        <v>7.5459999999999999E-5</v>
      </c>
      <c r="BD24" s="53">
        <f>'LUC-2012-08-10-Run1'!CF28</f>
        <v>7.5414999999999995E-5</v>
      </c>
      <c r="BE24" s="53">
        <f>'LUC-2012-08-10-Run1'!CG28</f>
        <v>7.5370000000000005E-5</v>
      </c>
      <c r="BF24" s="53">
        <f>'LUC-2012-08-10-Run1'!CH28</f>
        <v>7.5325000000000001E-5</v>
      </c>
      <c r="BG24" s="53">
        <f>'LUC-2012-08-10-Run1'!CI28</f>
        <v>7.5279999999999998E-5</v>
      </c>
      <c r="BH24" s="53">
        <f>'LUC-2012-08-10-Run1'!CJ28</f>
        <v>7.5234999999999994E-5</v>
      </c>
      <c r="BI24" s="53">
        <f>'LUC-2012-08-10-Run1'!CK28</f>
        <v>7.518999999999999E-5</v>
      </c>
      <c r="BJ24" s="53">
        <f>'LUC-2012-08-10-Run1'!CL28</f>
        <v>7.5145E-5</v>
      </c>
      <c r="BK24" s="53">
        <f>'LUC-2012-08-10-Run1'!CM28</f>
        <v>7.5099999999999996E-5</v>
      </c>
      <c r="BM24" s="54"/>
      <c r="BN24" s="54" t="s">
        <v>112</v>
      </c>
      <c r="BO24" s="54"/>
      <c r="BP24" s="54"/>
      <c r="BQ24" s="54"/>
      <c r="BR24" s="54"/>
      <c r="BS24" s="54"/>
      <c r="BT24" s="54"/>
      <c r="BU24" s="54"/>
    </row>
    <row r="25" spans="1:77" x14ac:dyDescent="0.25">
      <c r="BM25" s="60" t="s">
        <v>93</v>
      </c>
      <c r="BN25" s="60" t="s">
        <v>94</v>
      </c>
      <c r="BO25" s="60">
        <v>1991</v>
      </c>
      <c r="BP25" s="60">
        <v>2000</v>
      </c>
      <c r="BQ25" s="60">
        <v>2010</v>
      </c>
      <c r="BR25" s="60">
        <v>2020</v>
      </c>
      <c r="BS25" s="60">
        <v>2030</v>
      </c>
      <c r="BT25" s="60">
        <v>2040</v>
      </c>
      <c r="BU25" s="60">
        <v>2050</v>
      </c>
    </row>
    <row r="26" spans="1:77" x14ac:dyDescent="0.25">
      <c r="A26" s="56" t="s">
        <v>71</v>
      </c>
      <c r="B26" s="54" t="s">
        <v>99</v>
      </c>
      <c r="C26" s="56" t="s">
        <v>107</v>
      </c>
      <c r="D26" s="53">
        <f>'LUC-2012-08-10-Run1'!AF30</f>
        <v>2.8586557155908612E-3</v>
      </c>
      <c r="E26" s="53">
        <f>'LUC-2012-08-10-Run1'!AG30</f>
        <v>2.909963886131464E-3</v>
      </c>
      <c r="F26" s="53">
        <f>'LUC-2012-08-10-Run1'!AH30</f>
        <v>2.9612720566720677E-3</v>
      </c>
      <c r="G26" s="53">
        <f>'LUC-2012-08-10-Run1'!AI30</f>
        <v>3.0125802272126705E-3</v>
      </c>
      <c r="H26" s="53">
        <f>'LUC-2012-08-10-Run1'!AJ30</f>
        <v>3.0638883977532742E-3</v>
      </c>
      <c r="I26" s="53">
        <f>'LUC-2012-08-10-Run1'!AK30</f>
        <v>3.1151965682938766E-3</v>
      </c>
      <c r="J26" s="53">
        <f>'LUC-2012-08-10-Run1'!AL30</f>
        <v>3.1665047388344802E-3</v>
      </c>
      <c r="K26" s="53">
        <f>'LUC-2012-08-10-Run1'!AM30</f>
        <v>3.2178129093750835E-3</v>
      </c>
      <c r="L26" s="53">
        <f>'LUC-2012-08-10-Run1'!AN30</f>
        <v>3.2691210799156863E-3</v>
      </c>
      <c r="M26" s="53">
        <f>'LUC-2012-08-10-Run1'!AO30</f>
        <v>3.3204292504562887E-3</v>
      </c>
      <c r="N26" s="53">
        <f>'LUC-2012-08-10-Run1'!AP30</f>
        <v>3.3717374209968911E-3</v>
      </c>
      <c r="O26" s="53">
        <f>'LUC-2012-08-10-Run1'!AQ30</f>
        <v>3.4230455915374956E-3</v>
      </c>
      <c r="P26" s="53">
        <f>'LUC-2012-08-10-Run1'!AR30</f>
        <v>3.474353762078098E-3</v>
      </c>
      <c r="Q26" s="53">
        <f>'LUC-2012-08-10-Run1'!AS30</f>
        <v>3.5256619326187004E-3</v>
      </c>
      <c r="R26" s="53">
        <f>'LUC-2012-08-10-Run1'!AT30</f>
        <v>3.5769701031593041E-3</v>
      </c>
      <c r="S26" s="53">
        <f>'LUC-2012-08-10-Run1'!AU30</f>
        <v>3.6282782736999073E-3</v>
      </c>
      <c r="T26" s="53">
        <f>'LUC-2012-08-10-Run1'!AV30</f>
        <v>3.6601435786098075E-3</v>
      </c>
      <c r="U26" s="53">
        <f>'LUC-2012-08-10-Run1'!AW30</f>
        <v>3.6920088835197063E-3</v>
      </c>
      <c r="V26" s="53">
        <f>'LUC-2012-08-10-Run1'!AX30</f>
        <v>3.7238741884296055E-3</v>
      </c>
      <c r="W26" s="53">
        <f>'LUC-2012-08-10-Run1'!AY30</f>
        <v>3.7557394933395052E-3</v>
      </c>
      <c r="X26" s="53">
        <f>'LUC-2012-08-10-Run1'!AZ30</f>
        <v>3.7876047982494045E-3</v>
      </c>
      <c r="Y26" s="53">
        <f>'LUC-2012-08-10-Run1'!BA30</f>
        <v>3.8194701031593042E-3</v>
      </c>
      <c r="Z26" s="53">
        <f>'LUC-2012-08-10-Run1'!BB30</f>
        <v>3.8513354080692043E-3</v>
      </c>
      <c r="AA26" s="53">
        <f>'LUC-2012-08-10-Run1'!BC30</f>
        <v>3.8832007129791031E-3</v>
      </c>
      <c r="AB26" s="53">
        <f>'LUC-2012-08-10-Run1'!BD30</f>
        <v>3.9150660178890037E-3</v>
      </c>
      <c r="AC26" s="53">
        <f>'LUC-2012-08-10-Run1'!BE30</f>
        <v>3.9469313227989029E-3</v>
      </c>
      <c r="AD26" s="53">
        <f>'LUC-2012-08-10-Run1'!BF30</f>
        <v>3.9787966277088022E-3</v>
      </c>
      <c r="AE26" s="53">
        <f>'LUC-2012-08-10-Run1'!BG30</f>
        <v>4.0106619326187015E-3</v>
      </c>
      <c r="AF26" s="53">
        <f>'LUC-2012-08-10-Run1'!BH30</f>
        <v>4.0425272375286016E-3</v>
      </c>
      <c r="AG26" s="53">
        <f>'LUC-2012-08-10-Run1'!BI30</f>
        <v>4.0743925424385008E-3</v>
      </c>
      <c r="AH26" s="53">
        <f>'LUC-2012-08-10-Run1'!BJ30</f>
        <v>4.1062578473483992E-3</v>
      </c>
      <c r="AI26" s="53">
        <f>'LUC-2012-08-10-Run1'!BK30</f>
        <v>4.1381231522582993E-3</v>
      </c>
      <c r="AJ26" s="53">
        <f>'LUC-2012-08-10-Run1'!BL30</f>
        <v>4.1699884571681986E-3</v>
      </c>
      <c r="AK26" s="53">
        <f>'LUC-2012-08-10-Run1'!BM30</f>
        <v>4.2018537620780979E-3</v>
      </c>
      <c r="AL26" s="53">
        <f>'LUC-2012-08-10-Run1'!BN30</f>
        <v>4.233719066987998E-3</v>
      </c>
      <c r="AM26" s="53">
        <f>'LUC-2012-08-10-Run1'!BO30</f>
        <v>4.2655843718978972E-3</v>
      </c>
      <c r="AN26" s="53">
        <f>'LUC-2012-08-10-Run1'!BP30</f>
        <v>4.2974496768077956E-3</v>
      </c>
      <c r="AO26" s="53">
        <f>'LUC-2012-08-10-Run1'!BQ30</f>
        <v>4.3293149817176958E-3</v>
      </c>
      <c r="AP26" s="53">
        <f>'LUC-2012-08-10-Run1'!BR30</f>
        <v>4.3611802866275959E-3</v>
      </c>
      <c r="AQ26" s="53">
        <f>'LUC-2012-08-10-Run1'!BS30</f>
        <v>4.3930455915374969E-3</v>
      </c>
      <c r="AR26" s="53">
        <f>'LUC-2012-08-10-Run1'!BT30</f>
        <v>4.4249108964473944E-3</v>
      </c>
      <c r="AS26" s="53">
        <f>'LUC-2012-08-10-Run1'!BU30</f>
        <v>4.4567762013572945E-3</v>
      </c>
      <c r="AT26" s="53">
        <f>'LUC-2012-08-10-Run1'!BV30</f>
        <v>4.4886415062671938E-3</v>
      </c>
      <c r="AU26" s="53">
        <f>'LUC-2012-08-10-Run1'!BW30</f>
        <v>4.520506811177093E-3</v>
      </c>
      <c r="AV26" s="53">
        <f>'LUC-2012-08-10-Run1'!BX30</f>
        <v>4.5523721160869923E-3</v>
      </c>
      <c r="AW26" s="53">
        <f>'LUC-2012-08-10-Run1'!BY30</f>
        <v>4.5842374209968924E-3</v>
      </c>
      <c r="AX26" s="53">
        <f>'LUC-2012-08-10-Run1'!BZ30</f>
        <v>4.6161027259067908E-3</v>
      </c>
      <c r="AY26" s="53">
        <f>'LUC-2012-08-10-Run1'!CA30</f>
        <v>4.6479680308166918E-3</v>
      </c>
      <c r="AZ26" s="53">
        <f>'LUC-2012-08-10-Run1'!CB30</f>
        <v>4.6798333357265902E-3</v>
      </c>
      <c r="BA26" s="53">
        <f>'LUC-2012-08-10-Run1'!CC30</f>
        <v>4.7116986406364903E-3</v>
      </c>
      <c r="BB26" s="53">
        <f>'LUC-2012-08-10-Run1'!CD30</f>
        <v>4.7435639455463896E-3</v>
      </c>
      <c r="BC26" s="53">
        <f>'LUC-2012-08-10-Run1'!CE30</f>
        <v>4.7754292504562897E-3</v>
      </c>
      <c r="BD26" s="53">
        <f>'LUC-2012-08-10-Run1'!CF30</f>
        <v>4.8072945553661881E-3</v>
      </c>
      <c r="BE26" s="53">
        <f>'LUC-2012-08-10-Run1'!CG30</f>
        <v>4.8391598602760891E-3</v>
      </c>
      <c r="BF26" s="53">
        <f>'LUC-2012-08-10-Run1'!CH30</f>
        <v>4.8710251651859866E-3</v>
      </c>
      <c r="BG26" s="53">
        <f>'LUC-2012-08-10-Run1'!CI30</f>
        <v>4.9028904700958876E-3</v>
      </c>
      <c r="BH26" s="53">
        <f>'LUC-2012-08-10-Run1'!CJ30</f>
        <v>4.9347557750057851E-3</v>
      </c>
      <c r="BI26" s="53">
        <f>'LUC-2012-08-10-Run1'!CK30</f>
        <v>4.9666210799156861E-3</v>
      </c>
      <c r="BJ26" s="53">
        <f>'LUC-2012-08-10-Run1'!CL30</f>
        <v>4.9984863848255862E-3</v>
      </c>
      <c r="BK26" s="53">
        <f>'LUC-2012-08-10-Run1'!CM30</f>
        <v>5.0303516897354846E-3</v>
      </c>
      <c r="BM26" s="103" t="s">
        <v>71</v>
      </c>
      <c r="BN26" s="59" t="s">
        <v>99</v>
      </c>
      <c r="BO26" s="85">
        <f t="shared" ref="BO26:BO32" si="16">D26*1000</f>
        <v>2.8586557155908614</v>
      </c>
      <c r="BP26" s="85">
        <f t="shared" ref="BP26:BP32" si="17">M26*1000</f>
        <v>3.3204292504562889</v>
      </c>
      <c r="BQ26" s="85">
        <f t="shared" ref="BQ26:BQ32" si="18">W26*1000</f>
        <v>3.7557394933395054</v>
      </c>
      <c r="BR26" s="85">
        <f t="shared" ref="BR26:BR32" si="19">AG26*1000</f>
        <v>4.0743925424385008</v>
      </c>
      <c r="BS26" s="85">
        <f t="shared" ref="BS26:BS32" si="20">AQ26*1000</f>
        <v>4.3930455915374971</v>
      </c>
      <c r="BT26" s="85">
        <f t="shared" ref="BT26:BT32" si="21">BA26*1000</f>
        <v>4.7116986406364907</v>
      </c>
      <c r="BU26" s="85">
        <f t="shared" ref="BU26:BU32" si="22">BK26*1000</f>
        <v>5.0303516897354843</v>
      </c>
      <c r="BV26" s="51"/>
      <c r="BW26" s="51"/>
      <c r="BX26" s="51"/>
    </row>
    <row r="27" spans="1:77" x14ac:dyDescent="0.25">
      <c r="A27" s="56" t="s">
        <v>71</v>
      </c>
      <c r="B27" s="54" t="s">
        <v>100</v>
      </c>
      <c r="C27" s="56" t="s">
        <v>107</v>
      </c>
      <c r="D27" s="53">
        <f>'LUC-2012-08-10-Run1'!AF31</f>
        <v>2.21991625074704E-3</v>
      </c>
      <c r="E27" s="53">
        <f>'LUC-2012-08-10-Run1'!AG31</f>
        <v>2.2566263371078163E-3</v>
      </c>
      <c r="F27" s="53">
        <f>'LUC-2012-08-10-Run1'!AH31</f>
        <v>2.2933364234685931E-3</v>
      </c>
      <c r="G27" s="53">
        <f>'LUC-2012-08-10-Run1'!AI31</f>
        <v>2.3300465098293689E-3</v>
      </c>
      <c r="H27" s="53">
        <f>'LUC-2012-08-10-Run1'!AJ31</f>
        <v>2.3667565961901457E-3</v>
      </c>
      <c r="I27" s="53">
        <f>'LUC-2012-08-10-Run1'!AK31</f>
        <v>2.403466682550922E-3</v>
      </c>
      <c r="J27" s="53">
        <f>'LUC-2012-08-10-Run1'!AL31</f>
        <v>2.4401767689116983E-3</v>
      </c>
      <c r="K27" s="53">
        <f>'LUC-2012-08-10-Run1'!AM31</f>
        <v>2.4768868552724754E-3</v>
      </c>
      <c r="L27" s="53">
        <f>'LUC-2012-08-10-Run1'!AN31</f>
        <v>2.5135969416332517E-3</v>
      </c>
      <c r="M27" s="53">
        <f>'LUC-2012-08-10-Run1'!AO31</f>
        <v>2.5503070279940276E-3</v>
      </c>
      <c r="N27" s="53">
        <f>'LUC-2012-08-10-Run1'!AP31</f>
        <v>2.5870171143548043E-3</v>
      </c>
      <c r="O27" s="53">
        <f>'LUC-2012-08-10-Run1'!AQ31</f>
        <v>2.6237272007155811E-3</v>
      </c>
      <c r="P27" s="53">
        <f>'LUC-2012-08-10-Run1'!AR31</f>
        <v>2.6604372870763569E-3</v>
      </c>
      <c r="Q27" s="53">
        <f>'LUC-2012-08-10-Run1'!AS31</f>
        <v>2.6971473734371336E-3</v>
      </c>
      <c r="R27" s="53">
        <f>'LUC-2012-08-10-Run1'!AT31</f>
        <v>2.7338574597979095E-3</v>
      </c>
      <c r="S27" s="53">
        <f>'LUC-2012-08-10-Run1'!AU31</f>
        <v>2.7705675461586858E-3</v>
      </c>
      <c r="T27" s="53">
        <f>'LUC-2012-08-10-Run1'!AV31</f>
        <v>2.7941732069956472E-3</v>
      </c>
      <c r="U27" s="53">
        <f>'LUC-2012-08-10-Run1'!AW31</f>
        <v>2.8177788678326082E-3</v>
      </c>
      <c r="V27" s="53">
        <f>'LUC-2012-08-10-Run1'!AX31</f>
        <v>2.8413845286695688E-3</v>
      </c>
      <c r="W27" s="53">
        <f>'LUC-2012-08-10-Run1'!AY31</f>
        <v>2.8649901895065294E-3</v>
      </c>
      <c r="X27" s="53">
        <f>'LUC-2012-08-10-Run1'!AZ31</f>
        <v>2.8885958503434904E-3</v>
      </c>
      <c r="Y27" s="53">
        <f>'LUC-2012-08-10-Run1'!BA31</f>
        <v>2.9122015111804514E-3</v>
      </c>
      <c r="Z27" s="53">
        <f>'LUC-2012-08-10-Run1'!BB31</f>
        <v>2.9358071720174115E-3</v>
      </c>
      <c r="AA27" s="53">
        <f>'LUC-2012-08-10-Run1'!BC31</f>
        <v>2.9594128328543738E-3</v>
      </c>
      <c r="AB27" s="53">
        <f>'LUC-2012-08-10-Run1'!BD31</f>
        <v>2.9830184936913344E-3</v>
      </c>
      <c r="AC27" s="53">
        <f>'LUC-2012-08-10-Run1'!BE31</f>
        <v>3.0066241545282949E-3</v>
      </c>
      <c r="AD27" s="53">
        <f>'LUC-2012-08-10-Run1'!BF31</f>
        <v>3.030229815365256E-3</v>
      </c>
      <c r="AE27" s="53">
        <f>'LUC-2012-08-10-Run1'!BG31</f>
        <v>3.0538354762022174E-3</v>
      </c>
      <c r="AF27" s="53">
        <f>'LUC-2012-08-10-Run1'!BH31</f>
        <v>3.0774411370391771E-3</v>
      </c>
      <c r="AG27" s="53">
        <f>'LUC-2012-08-10-Run1'!BI31</f>
        <v>3.1010467978761381E-3</v>
      </c>
      <c r="AH27" s="53">
        <f>'LUC-2012-08-10-Run1'!BJ31</f>
        <v>3.1246524587130987E-3</v>
      </c>
      <c r="AI27" s="53">
        <f>'LUC-2012-08-10-Run1'!BK31</f>
        <v>3.1482581195500597E-3</v>
      </c>
      <c r="AJ27" s="53">
        <f>'LUC-2012-08-10-Run1'!BL31</f>
        <v>3.1718637803870211E-3</v>
      </c>
      <c r="AK27" s="53">
        <f>'LUC-2012-08-10-Run1'!BM31</f>
        <v>3.1954694412239821E-3</v>
      </c>
      <c r="AL27" s="53">
        <f>'LUC-2012-08-10-Run1'!BN31</f>
        <v>3.2190751020609435E-3</v>
      </c>
      <c r="AM27" s="53">
        <f>'LUC-2012-08-10-Run1'!BO31</f>
        <v>3.2426807628979037E-3</v>
      </c>
      <c r="AN27" s="53">
        <f>'LUC-2012-08-10-Run1'!BP31</f>
        <v>3.2662864237348651E-3</v>
      </c>
      <c r="AO27" s="53">
        <f>'LUC-2012-08-10-Run1'!BQ31</f>
        <v>3.2898920845718252E-3</v>
      </c>
      <c r="AP27" s="53">
        <f>'LUC-2012-08-10-Run1'!BR31</f>
        <v>3.3134977454087858E-3</v>
      </c>
      <c r="AQ27" s="53">
        <f>'LUC-2012-08-10-Run1'!BS31</f>
        <v>3.3371034062457468E-3</v>
      </c>
      <c r="AR27" s="53">
        <f>'LUC-2012-08-10-Run1'!BT31</f>
        <v>3.3607090670827078E-3</v>
      </c>
      <c r="AS27" s="53">
        <f>'LUC-2012-08-10-Run1'!BU31</f>
        <v>3.3843147279196684E-3</v>
      </c>
      <c r="AT27" s="53">
        <f>'LUC-2012-08-10-Run1'!BV31</f>
        <v>3.4079203887566302E-3</v>
      </c>
      <c r="AU27" s="53">
        <f>'LUC-2012-08-10-Run1'!BW31</f>
        <v>3.4315260495935899E-3</v>
      </c>
      <c r="AV27" s="53">
        <f>'LUC-2012-08-10-Run1'!BX31</f>
        <v>3.4551317104305514E-3</v>
      </c>
      <c r="AW27" s="53">
        <f>'LUC-2012-08-10-Run1'!BY31</f>
        <v>3.4787373712675128E-3</v>
      </c>
      <c r="AX27" s="53">
        <f>'LUC-2012-08-10-Run1'!BZ31</f>
        <v>3.5023430321044729E-3</v>
      </c>
      <c r="AY27" s="53">
        <f>'LUC-2012-08-10-Run1'!CA31</f>
        <v>3.5259486929414339E-3</v>
      </c>
      <c r="AZ27" s="53">
        <f>'LUC-2012-08-10-Run1'!CB31</f>
        <v>3.5495543537783945E-3</v>
      </c>
      <c r="BA27" s="53">
        <f>'LUC-2012-08-10-Run1'!CC31</f>
        <v>3.5731600146153551E-3</v>
      </c>
      <c r="BB27" s="53">
        <f>'LUC-2012-08-10-Run1'!CD31</f>
        <v>3.5967656754523165E-3</v>
      </c>
      <c r="BC27" s="53">
        <f>'LUC-2012-08-10-Run1'!CE31</f>
        <v>3.6203713362892771E-3</v>
      </c>
      <c r="BD27" s="53">
        <f>'LUC-2012-08-10-Run1'!CF31</f>
        <v>3.6439769971262381E-3</v>
      </c>
      <c r="BE27" s="53">
        <f>'LUC-2012-08-10-Run1'!CG31</f>
        <v>3.6675826579631995E-3</v>
      </c>
      <c r="BF27" s="53">
        <f>'LUC-2012-08-10-Run1'!CH31</f>
        <v>3.6911883188001609E-3</v>
      </c>
      <c r="BG27" s="53">
        <f>'LUC-2012-08-10-Run1'!CI31</f>
        <v>3.7147939796371206E-3</v>
      </c>
      <c r="BH27" s="53">
        <f>'LUC-2012-08-10-Run1'!CJ31</f>
        <v>3.7383996404740821E-3</v>
      </c>
      <c r="BI27" s="53">
        <f>'LUC-2012-08-10-Run1'!CK31</f>
        <v>3.7620053013110422E-3</v>
      </c>
      <c r="BJ27" s="53">
        <f>'LUC-2012-08-10-Run1'!CL31</f>
        <v>3.7856109621480032E-3</v>
      </c>
      <c r="BK27" s="53">
        <f>'LUC-2012-08-10-Run1'!CM31</f>
        <v>3.8092166229849646E-3</v>
      </c>
      <c r="BM27" s="104"/>
      <c r="BN27" s="57" t="s">
        <v>100</v>
      </c>
      <c r="BO27" s="83">
        <f t="shared" si="16"/>
        <v>2.21991625074704</v>
      </c>
      <c r="BP27" s="83">
        <f t="shared" si="17"/>
        <v>2.5503070279940276</v>
      </c>
      <c r="BQ27" s="83">
        <f t="shared" si="18"/>
        <v>2.8649901895065293</v>
      </c>
      <c r="BR27" s="83">
        <f t="shared" si="19"/>
        <v>3.1010467978761382</v>
      </c>
      <c r="BS27" s="83">
        <f t="shared" si="20"/>
        <v>3.3371034062457468</v>
      </c>
      <c r="BT27" s="83">
        <f t="shared" si="21"/>
        <v>3.5731600146153553</v>
      </c>
      <c r="BU27" s="83">
        <f t="shared" si="22"/>
        <v>3.8092166229849647</v>
      </c>
    </row>
    <row r="28" spans="1:77" x14ac:dyDescent="0.25">
      <c r="A28" s="56" t="s">
        <v>71</v>
      </c>
      <c r="B28" s="54" t="s">
        <v>101</v>
      </c>
      <c r="C28" s="56" t="s">
        <v>107</v>
      </c>
      <c r="D28" s="53">
        <f>'LUC-2012-08-10-Run1'!AF32</f>
        <v>3.2695631189309741E-3</v>
      </c>
      <c r="E28" s="53">
        <f>'LUC-2012-08-10-Run1'!AG32</f>
        <v>3.3190680876783053E-3</v>
      </c>
      <c r="F28" s="53">
        <f>'LUC-2012-08-10-Run1'!AH32</f>
        <v>3.3685730564256351E-3</v>
      </c>
      <c r="G28" s="53">
        <f>'LUC-2012-08-10-Run1'!AI32</f>
        <v>3.4180780251729654E-3</v>
      </c>
      <c r="H28" s="53">
        <f>'LUC-2012-08-10-Run1'!AJ32</f>
        <v>3.4675829939202975E-3</v>
      </c>
      <c r="I28" s="53">
        <f>'LUC-2012-08-10-Run1'!AK32</f>
        <v>3.5170879626676278E-3</v>
      </c>
      <c r="J28" s="53">
        <f>'LUC-2012-08-10-Run1'!AL32</f>
        <v>3.566592931414959E-3</v>
      </c>
      <c r="K28" s="53">
        <f>'LUC-2012-08-10-Run1'!AM32</f>
        <v>3.6160979001622893E-3</v>
      </c>
      <c r="L28" s="53">
        <f>'LUC-2012-08-10-Run1'!AN32</f>
        <v>3.66560286890962E-3</v>
      </c>
      <c r="M28" s="53">
        <f>'LUC-2012-08-10-Run1'!AO32</f>
        <v>3.7151078376569512E-3</v>
      </c>
      <c r="N28" s="53">
        <f>'LUC-2012-08-10-Run1'!AP32</f>
        <v>3.764612806404282E-3</v>
      </c>
      <c r="O28" s="53">
        <f>'LUC-2012-08-10-Run1'!AQ32</f>
        <v>3.8141177751516123E-3</v>
      </c>
      <c r="P28" s="53">
        <f>'LUC-2012-08-10-Run1'!AR32</f>
        <v>3.8636227438989435E-3</v>
      </c>
      <c r="Q28" s="53">
        <f>'LUC-2012-08-10-Run1'!AS32</f>
        <v>3.9131277126462733E-3</v>
      </c>
      <c r="R28" s="53">
        <f>'LUC-2012-08-10-Run1'!AT32</f>
        <v>3.9626326813936045E-3</v>
      </c>
      <c r="S28" s="53">
        <f>'LUC-2012-08-10-Run1'!AU32</f>
        <v>4.0121376501409357E-3</v>
      </c>
      <c r="T28" s="53">
        <f>'LUC-2012-08-10-Run1'!AV32</f>
        <v>4.0409850921853223E-3</v>
      </c>
      <c r="U28" s="53">
        <f>'LUC-2012-08-10-Run1'!AW32</f>
        <v>4.0698325342297097E-3</v>
      </c>
      <c r="V28" s="53">
        <f>'LUC-2012-08-10-Run1'!AX32</f>
        <v>4.0986799762740963E-3</v>
      </c>
      <c r="W28" s="53">
        <f>'LUC-2012-08-10-Run1'!AY32</f>
        <v>4.127527418318482E-3</v>
      </c>
      <c r="X28" s="53">
        <f>'LUC-2012-08-10-Run1'!AZ32</f>
        <v>4.1563748603628704E-3</v>
      </c>
      <c r="Y28" s="53">
        <f>'LUC-2012-08-10-Run1'!BA32</f>
        <v>4.1852223024072561E-3</v>
      </c>
      <c r="Z28" s="53">
        <f>'LUC-2012-08-10-Run1'!BB32</f>
        <v>4.2140697444516435E-3</v>
      </c>
      <c r="AA28" s="53">
        <f>'LUC-2012-08-10-Run1'!BC32</f>
        <v>4.2429171864960301E-3</v>
      </c>
      <c r="AB28" s="53">
        <f>'LUC-2012-08-10-Run1'!BD32</f>
        <v>4.2717646285404158E-3</v>
      </c>
      <c r="AC28" s="53">
        <f>'LUC-2012-08-10-Run1'!BE32</f>
        <v>4.3006120705848042E-3</v>
      </c>
      <c r="AD28" s="53">
        <f>'LUC-2012-08-10-Run1'!BF32</f>
        <v>4.3294595126291899E-3</v>
      </c>
      <c r="AE28" s="53">
        <f>'LUC-2012-08-10-Run1'!BG32</f>
        <v>4.3583069546735782E-3</v>
      </c>
      <c r="AF28" s="53">
        <f>'LUC-2012-08-10-Run1'!BH32</f>
        <v>4.3871543967179639E-3</v>
      </c>
      <c r="AG28" s="53">
        <f>'LUC-2012-08-10-Run1'!BI32</f>
        <v>4.4160018387623514E-3</v>
      </c>
      <c r="AH28" s="53">
        <f>'LUC-2012-08-10-Run1'!BJ32</f>
        <v>4.444849280806738E-3</v>
      </c>
      <c r="AI28" s="53">
        <f>'LUC-2012-08-10-Run1'!BK32</f>
        <v>4.4736967228511245E-3</v>
      </c>
      <c r="AJ28" s="53">
        <f>'LUC-2012-08-10-Run1'!BL32</f>
        <v>4.5025441648955111E-3</v>
      </c>
      <c r="AK28" s="53">
        <f>'LUC-2012-08-10-Run1'!BM32</f>
        <v>4.5313916069398994E-3</v>
      </c>
      <c r="AL28" s="53">
        <f>'LUC-2012-08-10-Run1'!BN32</f>
        <v>4.5602390489842852E-3</v>
      </c>
      <c r="AM28" s="53">
        <f>'LUC-2012-08-10-Run1'!BO32</f>
        <v>4.5890864910286726E-3</v>
      </c>
      <c r="AN28" s="53">
        <f>'LUC-2012-08-10-Run1'!BP32</f>
        <v>4.6179339330730601E-3</v>
      </c>
      <c r="AO28" s="53">
        <f>'LUC-2012-08-10-Run1'!BQ32</f>
        <v>4.6467813751174458E-3</v>
      </c>
      <c r="AP28" s="53">
        <f>'LUC-2012-08-10-Run1'!BR32</f>
        <v>4.6756288171618332E-3</v>
      </c>
      <c r="AQ28" s="53">
        <f>'LUC-2012-08-10-Run1'!BS32</f>
        <v>4.7044762592062198E-3</v>
      </c>
      <c r="AR28" s="53">
        <f>'LUC-2012-08-10-Run1'!BT32</f>
        <v>4.7333237012506073E-3</v>
      </c>
      <c r="AS28" s="53">
        <f>'LUC-2012-08-10-Run1'!BU32</f>
        <v>4.762171143294993E-3</v>
      </c>
      <c r="AT28" s="53">
        <f>'LUC-2012-08-10-Run1'!BV32</f>
        <v>4.7910185853393805E-3</v>
      </c>
      <c r="AU28" s="53">
        <f>'LUC-2012-08-10-Run1'!BW32</f>
        <v>4.8198660273837679E-3</v>
      </c>
      <c r="AV28" s="53">
        <f>'LUC-2012-08-10-Run1'!BX32</f>
        <v>4.8487134694281545E-3</v>
      </c>
      <c r="AW28" s="53">
        <f>'LUC-2012-08-10-Run1'!BY32</f>
        <v>4.8775609114725419E-3</v>
      </c>
      <c r="AX28" s="53">
        <f>'LUC-2012-08-10-Run1'!BZ32</f>
        <v>4.9064083535169277E-3</v>
      </c>
      <c r="AY28" s="53">
        <f>'LUC-2012-08-10-Run1'!CA32</f>
        <v>4.9352557955613151E-3</v>
      </c>
      <c r="AZ28" s="53">
        <f>'LUC-2012-08-10-Run1'!CB32</f>
        <v>4.9641032376057017E-3</v>
      </c>
      <c r="BA28" s="53">
        <f>'LUC-2012-08-10-Run1'!CC32</f>
        <v>4.9929506796500883E-3</v>
      </c>
      <c r="BB28" s="53">
        <f>'LUC-2012-08-10-Run1'!CD32</f>
        <v>5.0217981216944757E-3</v>
      </c>
      <c r="BC28" s="53">
        <f>'LUC-2012-08-10-Run1'!CE32</f>
        <v>5.0506455637388623E-3</v>
      </c>
      <c r="BD28" s="53">
        <f>'LUC-2012-08-10-Run1'!CF32</f>
        <v>5.0794930057832489E-3</v>
      </c>
      <c r="BE28" s="53">
        <f>'LUC-2012-08-10-Run1'!CG32</f>
        <v>5.1083404478276355E-3</v>
      </c>
      <c r="BF28" s="53">
        <f>'LUC-2012-08-10-Run1'!CH32</f>
        <v>5.1371878898720212E-3</v>
      </c>
      <c r="BG28" s="53">
        <f>'LUC-2012-08-10-Run1'!CI32</f>
        <v>5.1660353319164087E-3</v>
      </c>
      <c r="BH28" s="53">
        <f>'LUC-2012-08-10-Run1'!CJ32</f>
        <v>5.1948827739607961E-3</v>
      </c>
      <c r="BI28" s="53">
        <f>'LUC-2012-08-10-Run1'!CK32</f>
        <v>5.2237302160051836E-3</v>
      </c>
      <c r="BJ28" s="53">
        <f>'LUC-2012-08-10-Run1'!CL32</f>
        <v>5.252577658049571E-3</v>
      </c>
      <c r="BK28" s="53">
        <f>'LUC-2012-08-10-Run1'!CM32</f>
        <v>5.2814251000939559E-3</v>
      </c>
      <c r="BM28" s="104"/>
      <c r="BN28" s="57" t="s">
        <v>101</v>
      </c>
      <c r="BO28" s="83">
        <f t="shared" si="16"/>
        <v>3.2695631189309742</v>
      </c>
      <c r="BP28" s="83">
        <f t="shared" si="17"/>
        <v>3.7151078376569511</v>
      </c>
      <c r="BQ28" s="83">
        <f t="shared" si="18"/>
        <v>4.1275274183184818</v>
      </c>
      <c r="BR28" s="83">
        <f t="shared" si="19"/>
        <v>4.4160018387623516</v>
      </c>
      <c r="BS28" s="83">
        <f t="shared" si="20"/>
        <v>4.7044762592062197</v>
      </c>
      <c r="BT28" s="83">
        <f t="shared" si="21"/>
        <v>4.9929506796500887</v>
      </c>
      <c r="BU28" s="83">
        <f t="shared" si="22"/>
        <v>5.2814251000939558</v>
      </c>
    </row>
    <row r="29" spans="1:77" x14ac:dyDescent="0.25">
      <c r="A29" s="56" t="s">
        <v>71</v>
      </c>
      <c r="B29" s="54" t="s">
        <v>111</v>
      </c>
      <c r="C29" s="56" t="s">
        <v>107</v>
      </c>
      <c r="D29" s="53">
        <f>'LUC-2012-08-10-Run1'!AF33</f>
        <v>1.4251346260975677E-3</v>
      </c>
      <c r="E29" s="53">
        <f>'LUC-2012-08-10-Run1'!AG33</f>
        <v>1.4394010133432365E-3</v>
      </c>
      <c r="F29" s="53">
        <f>'LUC-2012-08-10-Run1'!AH33</f>
        <v>1.4536674005889065E-3</v>
      </c>
      <c r="G29" s="53">
        <f>'LUC-2012-08-10-Run1'!AI33</f>
        <v>1.4679337878345756E-3</v>
      </c>
      <c r="H29" s="53">
        <f>'LUC-2012-08-10-Run1'!AJ33</f>
        <v>1.4822001750802451E-3</v>
      </c>
      <c r="I29" s="53">
        <f>'LUC-2012-08-10-Run1'!AK33</f>
        <v>1.4964665623259147E-3</v>
      </c>
      <c r="J29" s="53">
        <f>'LUC-2012-08-10-Run1'!AL33</f>
        <v>1.5107329495715842E-3</v>
      </c>
      <c r="K29" s="53">
        <f>'LUC-2012-08-10-Run1'!AM33</f>
        <v>1.5249993368172535E-3</v>
      </c>
      <c r="L29" s="53">
        <f>'LUC-2012-08-10-Run1'!AN33</f>
        <v>1.5392657240629226E-3</v>
      </c>
      <c r="M29" s="53">
        <f>'LUC-2012-08-10-Run1'!AO33</f>
        <v>1.5535321113085924E-3</v>
      </c>
      <c r="N29" s="53">
        <f>'LUC-2012-08-10-Run1'!AP33</f>
        <v>1.5677984985542617E-3</v>
      </c>
      <c r="O29" s="53">
        <f>'LUC-2012-08-10-Run1'!AQ33</f>
        <v>1.5820648857999312E-3</v>
      </c>
      <c r="P29" s="53">
        <f>'LUC-2012-08-10-Run1'!AR33</f>
        <v>1.5963312730456008E-3</v>
      </c>
      <c r="Q29" s="53">
        <f>'LUC-2012-08-10-Run1'!AS33</f>
        <v>1.6105976602912699E-3</v>
      </c>
      <c r="R29" s="53">
        <f>'LUC-2012-08-10-Run1'!AT33</f>
        <v>1.6248640475369394E-3</v>
      </c>
      <c r="S29" s="53">
        <f>'LUC-2012-08-10-Run1'!AU33</f>
        <v>1.6391304347826087E-3</v>
      </c>
      <c r="T29" s="53">
        <f>'LUC-2012-08-10-Run1'!AV33</f>
        <v>1.6512056578914661E-3</v>
      </c>
      <c r="U29" s="53">
        <f>'LUC-2012-08-10-Run1'!AW33</f>
        <v>1.6632808810003231E-3</v>
      </c>
      <c r="V29" s="53">
        <f>'LUC-2012-08-10-Run1'!AX33</f>
        <v>1.6753561041091803E-3</v>
      </c>
      <c r="W29" s="53">
        <f>'LUC-2012-08-10-Run1'!AY33</f>
        <v>1.6874313272180379E-3</v>
      </c>
      <c r="X29" s="53">
        <f>'LUC-2012-08-10-Run1'!AZ33</f>
        <v>1.6995065503268951E-3</v>
      </c>
      <c r="Y29" s="53">
        <f>'LUC-2012-08-10-Run1'!BA33</f>
        <v>1.7115817734357521E-3</v>
      </c>
      <c r="Z29" s="53">
        <f>'LUC-2012-08-10-Run1'!BB33</f>
        <v>1.7236569965446093E-3</v>
      </c>
      <c r="AA29" s="53">
        <f>'LUC-2012-08-10-Run1'!BC33</f>
        <v>1.7357322196534667E-3</v>
      </c>
      <c r="AB29" s="53">
        <f>'LUC-2012-08-10-Run1'!BD33</f>
        <v>1.7478074427623236E-3</v>
      </c>
      <c r="AC29" s="53">
        <f>'LUC-2012-08-10-Run1'!BE33</f>
        <v>1.759882665871181E-3</v>
      </c>
      <c r="AD29" s="53">
        <f>'LUC-2012-08-10-Run1'!BF33</f>
        <v>1.7719578889800382E-3</v>
      </c>
      <c r="AE29" s="53">
        <f>'LUC-2012-08-10-Run1'!BG33</f>
        <v>1.7840331120888959E-3</v>
      </c>
      <c r="AF29" s="53">
        <f>'LUC-2012-08-10-Run1'!BH33</f>
        <v>1.7961083351977531E-3</v>
      </c>
      <c r="AG29" s="53">
        <f>'LUC-2012-08-10-Run1'!BI33</f>
        <v>1.8081835583066094E-3</v>
      </c>
      <c r="AH29" s="53">
        <f>'LUC-2012-08-10-Run1'!BJ33</f>
        <v>1.8202587814154672E-3</v>
      </c>
      <c r="AI29" s="53">
        <f>'LUC-2012-08-10-Run1'!BK33</f>
        <v>1.8323340045243244E-3</v>
      </c>
      <c r="AJ29" s="53">
        <f>'LUC-2012-08-10-Run1'!BL33</f>
        <v>1.844409227633182E-3</v>
      </c>
      <c r="AK29" s="53">
        <f>'LUC-2012-08-10-Run1'!BM33</f>
        <v>1.8564844507420388E-3</v>
      </c>
      <c r="AL29" s="53">
        <f>'LUC-2012-08-10-Run1'!BN33</f>
        <v>1.8685596738508962E-3</v>
      </c>
      <c r="AM29" s="53">
        <f>'LUC-2012-08-10-Run1'!BO33</f>
        <v>1.8806348969597534E-3</v>
      </c>
      <c r="AN29" s="53">
        <f>'LUC-2012-08-10-Run1'!BP33</f>
        <v>1.8927101200686108E-3</v>
      </c>
      <c r="AO29" s="53">
        <f>'LUC-2012-08-10-Run1'!BQ33</f>
        <v>1.9047853431774678E-3</v>
      </c>
      <c r="AP29" s="53">
        <f>'LUC-2012-08-10-Run1'!BR33</f>
        <v>1.9168605662863256E-3</v>
      </c>
      <c r="AQ29" s="53">
        <f>'LUC-2012-08-10-Run1'!BS33</f>
        <v>1.9289357893951824E-3</v>
      </c>
      <c r="AR29" s="53">
        <f>'LUC-2012-08-10-Run1'!BT33</f>
        <v>1.9410110125040402E-3</v>
      </c>
      <c r="AS29" s="53">
        <f>'LUC-2012-08-10-Run1'!BU33</f>
        <v>1.9530862356128972E-3</v>
      </c>
      <c r="AT29" s="53">
        <f>'LUC-2012-08-10-Run1'!BV33</f>
        <v>1.9651614587217541E-3</v>
      </c>
      <c r="AU29" s="53">
        <f>'LUC-2012-08-10-Run1'!BW33</f>
        <v>1.9772366818306113E-3</v>
      </c>
      <c r="AV29" s="53">
        <f>'LUC-2012-08-10-Run1'!BX33</f>
        <v>1.989311904939469E-3</v>
      </c>
      <c r="AW29" s="53">
        <f>'LUC-2012-08-10-Run1'!BY33</f>
        <v>2.0013871280483257E-3</v>
      </c>
      <c r="AX29" s="53">
        <f>'LUC-2012-08-10-Run1'!BZ33</f>
        <v>2.0134623511571829E-3</v>
      </c>
      <c r="AY29" s="53">
        <f>'LUC-2012-08-10-Run1'!CA33</f>
        <v>2.0255375742660405E-3</v>
      </c>
      <c r="AZ29" s="53">
        <f>'LUC-2012-08-10-Run1'!CB33</f>
        <v>2.0376127973748973E-3</v>
      </c>
      <c r="BA29" s="53">
        <f>'LUC-2012-08-10-Run1'!CC33</f>
        <v>2.0496880204837549E-3</v>
      </c>
      <c r="BB29" s="53">
        <f>'LUC-2012-08-10-Run1'!CD33</f>
        <v>2.0617632435926121E-3</v>
      </c>
      <c r="BC29" s="53">
        <f>'LUC-2012-08-10-Run1'!CE33</f>
        <v>2.0738384667014697E-3</v>
      </c>
      <c r="BD29" s="53">
        <f>'LUC-2012-08-10-Run1'!CF33</f>
        <v>2.0859136898103261E-3</v>
      </c>
      <c r="BE29" s="53">
        <f>'LUC-2012-08-10-Run1'!CG33</f>
        <v>2.0979889129191837E-3</v>
      </c>
      <c r="BF29" s="53">
        <f>'LUC-2012-08-10-Run1'!CH33</f>
        <v>2.1100641360280409E-3</v>
      </c>
      <c r="BG29" s="53">
        <f>'LUC-2012-08-10-Run1'!CI33</f>
        <v>2.1221393591368985E-3</v>
      </c>
      <c r="BH29" s="53">
        <f>'LUC-2012-08-10-Run1'!CJ33</f>
        <v>2.1342145822457557E-3</v>
      </c>
      <c r="BI29" s="53">
        <f>'LUC-2012-08-10-Run1'!CK33</f>
        <v>2.1462898053546129E-3</v>
      </c>
      <c r="BJ29" s="53">
        <f>'LUC-2012-08-10-Run1'!CL33</f>
        <v>2.1583650284634701E-3</v>
      </c>
      <c r="BK29" s="53">
        <f>'LUC-2012-08-10-Run1'!CM33</f>
        <v>2.1704402515723277E-3</v>
      </c>
      <c r="BM29" s="104"/>
      <c r="BN29" s="57" t="s">
        <v>111</v>
      </c>
      <c r="BO29" s="83">
        <f t="shared" si="16"/>
        <v>1.4251346260975677</v>
      </c>
      <c r="BP29" s="83">
        <f t="shared" si="17"/>
        <v>1.5535321113085925</v>
      </c>
      <c r="BQ29" s="83">
        <f t="shared" si="18"/>
        <v>1.6874313272180379</v>
      </c>
      <c r="BR29" s="83">
        <f t="shared" si="19"/>
        <v>1.8081835583066095</v>
      </c>
      <c r="BS29" s="83">
        <f t="shared" si="20"/>
        <v>1.9289357893951824</v>
      </c>
      <c r="BT29" s="83">
        <f t="shared" si="21"/>
        <v>2.0496880204837549</v>
      </c>
      <c r="BU29" s="83">
        <f t="shared" si="22"/>
        <v>2.1704402515723276</v>
      </c>
    </row>
    <row r="30" spans="1:77" x14ac:dyDescent="0.25">
      <c r="A30" s="56" t="s">
        <v>71</v>
      </c>
      <c r="B30" s="54" t="s">
        <v>102</v>
      </c>
      <c r="C30" s="56" t="s">
        <v>107</v>
      </c>
      <c r="D30" s="53">
        <f>'LUC-2012-08-10-Run1'!AF34</f>
        <v>1.6577549140049134E-3</v>
      </c>
      <c r="E30" s="53">
        <f>'LUC-2012-08-10-Run1'!AG34</f>
        <v>1.6804361179361179E-3</v>
      </c>
      <c r="F30" s="53">
        <f>'LUC-2012-08-10-Run1'!AH34</f>
        <v>1.7031173218673219E-3</v>
      </c>
      <c r="G30" s="53">
        <f>'LUC-2012-08-10-Run1'!AI34</f>
        <v>1.7257985257985258E-3</v>
      </c>
      <c r="H30" s="53">
        <f>'LUC-2012-08-10-Run1'!AJ34</f>
        <v>1.7484797297297294E-3</v>
      </c>
      <c r="I30" s="53">
        <f>'LUC-2012-08-10-Run1'!AK34</f>
        <v>1.7711609336609332E-3</v>
      </c>
      <c r="J30" s="53">
        <f>'LUC-2012-08-10-Run1'!AL34</f>
        <v>1.7938421375921377E-3</v>
      </c>
      <c r="K30" s="53">
        <f>'LUC-2012-08-10-Run1'!AM34</f>
        <v>1.8165233415233415E-3</v>
      </c>
      <c r="L30" s="53">
        <f>'LUC-2012-08-10-Run1'!AN34</f>
        <v>1.8392045454545453E-3</v>
      </c>
      <c r="M30" s="53">
        <f>'LUC-2012-08-10-Run1'!AO34</f>
        <v>1.8618857493857496E-3</v>
      </c>
      <c r="N30" s="53">
        <f>'LUC-2012-08-10-Run1'!AP34</f>
        <v>1.8845669533169532E-3</v>
      </c>
      <c r="O30" s="53">
        <f>'LUC-2012-08-10-Run1'!AQ34</f>
        <v>1.9072481572481575E-3</v>
      </c>
      <c r="P30" s="53">
        <f>'LUC-2012-08-10-Run1'!AR34</f>
        <v>1.9299293611793611E-3</v>
      </c>
      <c r="Q30" s="53">
        <f>'LUC-2012-08-10-Run1'!AS34</f>
        <v>1.9526105651105647E-3</v>
      </c>
      <c r="R30" s="53">
        <f>'LUC-2012-08-10-Run1'!AT34</f>
        <v>1.9752917690417696E-3</v>
      </c>
      <c r="S30" s="53">
        <f>'LUC-2012-08-10-Run1'!AU34</f>
        <v>1.9979729729729728E-3</v>
      </c>
      <c r="T30" s="53">
        <f>'LUC-2012-08-10-Run1'!AV34</f>
        <v>2.0184735872235877E-3</v>
      </c>
      <c r="U30" s="53">
        <f>'LUC-2012-08-10-Run1'!AW34</f>
        <v>2.0389742014742013E-3</v>
      </c>
      <c r="V30" s="53">
        <f>'LUC-2012-08-10-Run1'!AX34</f>
        <v>2.0594748157248153E-3</v>
      </c>
      <c r="W30" s="53">
        <f>'LUC-2012-08-10-Run1'!AY34</f>
        <v>2.0799754299754298E-3</v>
      </c>
      <c r="X30" s="53">
        <f>'LUC-2012-08-10-Run1'!AZ34</f>
        <v>2.1004760442260443E-3</v>
      </c>
      <c r="Y30" s="53">
        <f>'LUC-2012-08-10-Run1'!BA34</f>
        <v>2.1209766584766587E-3</v>
      </c>
      <c r="Z30" s="53">
        <f>'LUC-2012-08-10-Run1'!BB34</f>
        <v>2.1414772727272723E-3</v>
      </c>
      <c r="AA30" s="53">
        <f>'LUC-2012-08-10-Run1'!BC34</f>
        <v>2.1619778869778868E-3</v>
      </c>
      <c r="AB30" s="53">
        <f>'LUC-2012-08-10-Run1'!BD34</f>
        <v>2.1824785012285013E-3</v>
      </c>
      <c r="AC30" s="53">
        <f>'LUC-2012-08-10-Run1'!BE34</f>
        <v>2.2029791154791153E-3</v>
      </c>
      <c r="AD30" s="53">
        <f>'LUC-2012-08-10-Run1'!BF34</f>
        <v>2.2234797297297293E-3</v>
      </c>
      <c r="AE30" s="53">
        <f>'LUC-2012-08-10-Run1'!BG34</f>
        <v>2.2439803439803438E-3</v>
      </c>
      <c r="AF30" s="53">
        <f>'LUC-2012-08-10-Run1'!BH34</f>
        <v>2.2644809582309583E-3</v>
      </c>
      <c r="AG30" s="53">
        <f>'LUC-2012-08-10-Run1'!BI34</f>
        <v>2.2849815724815723E-3</v>
      </c>
      <c r="AH30" s="53">
        <f>'LUC-2012-08-10-Run1'!BJ34</f>
        <v>2.3054821867321868E-3</v>
      </c>
      <c r="AI30" s="53">
        <f>'LUC-2012-08-10-Run1'!BK34</f>
        <v>2.3259828009828008E-3</v>
      </c>
      <c r="AJ30" s="53">
        <f>'LUC-2012-08-10-Run1'!BL34</f>
        <v>2.3464834152334153E-3</v>
      </c>
      <c r="AK30" s="53">
        <f>'LUC-2012-08-10-Run1'!BM34</f>
        <v>2.3669840294840293E-3</v>
      </c>
      <c r="AL30" s="53">
        <f>'LUC-2012-08-10-Run1'!BN34</f>
        <v>2.3874846437346438E-3</v>
      </c>
      <c r="AM30" s="53">
        <f>'LUC-2012-08-10-Run1'!BO34</f>
        <v>2.4079852579852574E-3</v>
      </c>
      <c r="AN30" s="53">
        <f>'LUC-2012-08-10-Run1'!BP34</f>
        <v>2.4284858722358718E-3</v>
      </c>
      <c r="AO30" s="53">
        <f>'LUC-2012-08-10-Run1'!BQ34</f>
        <v>2.4489864864864859E-3</v>
      </c>
      <c r="AP30" s="53">
        <f>'LUC-2012-08-10-Run1'!BR34</f>
        <v>2.4694871007371003E-3</v>
      </c>
      <c r="AQ30" s="53">
        <f>'LUC-2012-08-10-Run1'!BS34</f>
        <v>2.4899877149877148E-3</v>
      </c>
      <c r="AR30" s="53">
        <f>'LUC-2012-08-10-Run1'!BT34</f>
        <v>2.5104883292383293E-3</v>
      </c>
      <c r="AS30" s="53">
        <f>'LUC-2012-08-10-Run1'!BU34</f>
        <v>2.5309889434889433E-3</v>
      </c>
      <c r="AT30" s="53">
        <f>'LUC-2012-08-10-Run1'!BV34</f>
        <v>2.5514895577395573E-3</v>
      </c>
      <c r="AU30" s="53">
        <f>'LUC-2012-08-10-Run1'!BW34</f>
        <v>2.5719901719901722E-3</v>
      </c>
      <c r="AV30" s="53">
        <f>'LUC-2012-08-10-Run1'!BX34</f>
        <v>2.5924907862407863E-3</v>
      </c>
      <c r="AW30" s="53">
        <f>'LUC-2012-08-10-Run1'!BY34</f>
        <v>2.6129914004914007E-3</v>
      </c>
      <c r="AX30" s="53">
        <f>'LUC-2012-08-10-Run1'!BZ34</f>
        <v>2.6334920147420139E-3</v>
      </c>
      <c r="AY30" s="53">
        <f>'LUC-2012-08-10-Run1'!CA34</f>
        <v>2.6539926289926284E-3</v>
      </c>
      <c r="AZ30" s="53">
        <f>'LUC-2012-08-10-Run1'!CB34</f>
        <v>2.6744932432432428E-3</v>
      </c>
      <c r="BA30" s="53">
        <f>'LUC-2012-08-10-Run1'!CC34</f>
        <v>2.6949938574938573E-3</v>
      </c>
      <c r="BB30" s="53">
        <f>'LUC-2012-08-10-Run1'!CD34</f>
        <v>2.7154944717444713E-3</v>
      </c>
      <c r="BC30" s="53">
        <f>'LUC-2012-08-10-Run1'!CE34</f>
        <v>2.7359950859950858E-3</v>
      </c>
      <c r="BD30" s="53">
        <f>'LUC-2012-08-10-Run1'!CF34</f>
        <v>2.7564957002457007E-3</v>
      </c>
      <c r="BE30" s="53">
        <f>'LUC-2012-08-10-Run1'!CG34</f>
        <v>2.7769963144963143E-3</v>
      </c>
      <c r="BF30" s="53">
        <f>'LUC-2012-08-10-Run1'!CH34</f>
        <v>2.7974969287469288E-3</v>
      </c>
      <c r="BG30" s="53">
        <f>'LUC-2012-08-10-Run1'!CI34</f>
        <v>2.8179975429975424E-3</v>
      </c>
      <c r="BH30" s="53">
        <f>'LUC-2012-08-10-Run1'!CJ34</f>
        <v>2.8384981572481573E-3</v>
      </c>
      <c r="BI30" s="53">
        <f>'LUC-2012-08-10-Run1'!CK34</f>
        <v>2.8589987714987713E-3</v>
      </c>
      <c r="BJ30" s="53">
        <f>'LUC-2012-08-10-Run1'!CL34</f>
        <v>2.8794993857493853E-3</v>
      </c>
      <c r="BK30" s="53">
        <f>'LUC-2012-08-10-Run1'!CM34</f>
        <v>2.8999999999999998E-3</v>
      </c>
      <c r="BM30" s="104"/>
      <c r="BN30" s="57" t="s">
        <v>102</v>
      </c>
      <c r="BO30" s="83">
        <f t="shared" si="16"/>
        <v>1.6577549140049135</v>
      </c>
      <c r="BP30" s="83">
        <f t="shared" si="17"/>
        <v>1.8618857493857497</v>
      </c>
      <c r="BQ30" s="83">
        <f t="shared" si="18"/>
        <v>2.0799754299754296</v>
      </c>
      <c r="BR30" s="83">
        <f t="shared" si="19"/>
        <v>2.2849815724815721</v>
      </c>
      <c r="BS30" s="83">
        <f t="shared" si="20"/>
        <v>2.489987714987715</v>
      </c>
      <c r="BT30" s="83">
        <f t="shared" si="21"/>
        <v>2.6949938574938574</v>
      </c>
      <c r="BU30" s="83">
        <f t="shared" si="22"/>
        <v>2.9</v>
      </c>
    </row>
    <row r="31" spans="1:77" x14ac:dyDescent="0.25">
      <c r="A31" s="56" t="s">
        <v>71</v>
      </c>
      <c r="B31" s="54" t="s">
        <v>103</v>
      </c>
      <c r="C31" s="56" t="s">
        <v>107</v>
      </c>
      <c r="D31" s="53">
        <f>'LUC-2012-08-10-Run1'!AF35</f>
        <v>6.1522727272727278E-2</v>
      </c>
      <c r="E31" s="53">
        <f>'LUC-2012-08-10-Run1'!AG35</f>
        <v>6.1954545454545457E-2</v>
      </c>
      <c r="F31" s="53">
        <f>'LUC-2012-08-10-Run1'!AH35</f>
        <v>6.2386363636363643E-2</v>
      </c>
      <c r="G31" s="53">
        <f>'LUC-2012-08-10-Run1'!AI35</f>
        <v>6.2818181818181829E-2</v>
      </c>
      <c r="H31" s="53">
        <f>'LUC-2012-08-10-Run1'!AJ35</f>
        <v>6.3250000000000001E-2</v>
      </c>
      <c r="I31" s="53">
        <f>'LUC-2012-08-10-Run1'!AK35</f>
        <v>6.3681818181818187E-2</v>
      </c>
      <c r="J31" s="53">
        <f>'LUC-2012-08-10-Run1'!AL35</f>
        <v>6.4113636363636373E-2</v>
      </c>
      <c r="K31" s="53">
        <f>'LUC-2012-08-10-Run1'!AM35</f>
        <v>6.4545454545454545E-2</v>
      </c>
      <c r="L31" s="53">
        <f>'LUC-2012-08-10-Run1'!AN35</f>
        <v>6.4977272727272731E-2</v>
      </c>
      <c r="M31" s="53">
        <f>'LUC-2012-08-10-Run1'!AO35</f>
        <v>6.5409090909090917E-2</v>
      </c>
      <c r="N31" s="53">
        <f>'LUC-2012-08-10-Run1'!AP35</f>
        <v>6.5840909090909089E-2</v>
      </c>
      <c r="O31" s="53">
        <f>'LUC-2012-08-10-Run1'!AQ35</f>
        <v>6.6272727272727275E-2</v>
      </c>
      <c r="P31" s="53">
        <f>'LUC-2012-08-10-Run1'!AR35</f>
        <v>6.6704545454545461E-2</v>
      </c>
      <c r="Q31" s="53">
        <f>'LUC-2012-08-10-Run1'!AS35</f>
        <v>6.7136363636363633E-2</v>
      </c>
      <c r="R31" s="53">
        <f>'LUC-2012-08-10-Run1'!AT35</f>
        <v>6.7568181818181819E-2</v>
      </c>
      <c r="S31" s="53">
        <f>'LUC-2012-08-10-Run1'!AU35</f>
        <v>6.8000000000000005E-2</v>
      </c>
      <c r="T31" s="53">
        <f>'LUC-2012-08-10-Run1'!AV35</f>
        <v>6.881818181818182E-2</v>
      </c>
      <c r="U31" s="53">
        <f>'LUC-2012-08-10-Run1'!AW35</f>
        <v>6.9636363636363635E-2</v>
      </c>
      <c r="V31" s="53">
        <f>'LUC-2012-08-10-Run1'!AX35</f>
        <v>7.0454545454545464E-2</v>
      </c>
      <c r="W31" s="53">
        <f>'LUC-2012-08-10-Run1'!AY35</f>
        <v>7.1272727272727279E-2</v>
      </c>
      <c r="X31" s="53">
        <f>'LUC-2012-08-10-Run1'!AZ35</f>
        <v>7.2090909090909094E-2</v>
      </c>
      <c r="Y31" s="53">
        <f>'LUC-2012-08-10-Run1'!BA35</f>
        <v>7.290909090909091E-2</v>
      </c>
      <c r="Z31" s="53">
        <f>'LUC-2012-08-10-Run1'!BB35</f>
        <v>7.3727272727272725E-2</v>
      </c>
      <c r="AA31" s="53">
        <f>'LUC-2012-08-10-Run1'!BC35</f>
        <v>7.4545454545454554E-2</v>
      </c>
      <c r="AB31" s="53">
        <f>'LUC-2012-08-10-Run1'!BD35</f>
        <v>7.5363636363636369E-2</v>
      </c>
      <c r="AC31" s="53">
        <f>'LUC-2012-08-10-Run1'!BE35</f>
        <v>7.6181818181818184E-2</v>
      </c>
      <c r="AD31" s="53">
        <f>'LUC-2012-08-10-Run1'!BF35</f>
        <v>7.6999999999999999E-2</v>
      </c>
      <c r="AE31" s="53">
        <f>'LUC-2012-08-10-Run1'!BG35</f>
        <v>7.7818181818181814E-2</v>
      </c>
      <c r="AF31" s="53">
        <f>'LUC-2012-08-10-Run1'!BH35</f>
        <v>7.8636363636363643E-2</v>
      </c>
      <c r="AG31" s="53">
        <f>'LUC-2012-08-10-Run1'!BI35</f>
        <v>7.9454545454545458E-2</v>
      </c>
      <c r="AH31" s="53">
        <f>'LUC-2012-08-10-Run1'!BJ35</f>
        <v>8.0272727272727273E-2</v>
      </c>
      <c r="AI31" s="53">
        <f>'LUC-2012-08-10-Run1'!BK35</f>
        <v>8.1090909090909088E-2</v>
      </c>
      <c r="AJ31" s="53">
        <f>'LUC-2012-08-10-Run1'!BL35</f>
        <v>8.1909090909090904E-2</v>
      </c>
      <c r="AK31" s="53">
        <f>'LUC-2012-08-10-Run1'!BM35</f>
        <v>8.2727272727272733E-2</v>
      </c>
      <c r="AL31" s="53">
        <f>'LUC-2012-08-10-Run1'!BN35</f>
        <v>8.3545454545454548E-2</v>
      </c>
      <c r="AM31" s="53">
        <f>'LUC-2012-08-10-Run1'!BO35</f>
        <v>8.4363636363636363E-2</v>
      </c>
      <c r="AN31" s="53">
        <f>'LUC-2012-08-10-Run1'!BP35</f>
        <v>8.5181818181818178E-2</v>
      </c>
      <c r="AO31" s="53">
        <f>'LUC-2012-08-10-Run1'!BQ35</f>
        <v>8.5999999999999993E-2</v>
      </c>
      <c r="AP31" s="53">
        <f>'LUC-2012-08-10-Run1'!BR35</f>
        <v>8.6818181818181822E-2</v>
      </c>
      <c r="AQ31" s="53">
        <f>'LUC-2012-08-10-Run1'!BS35</f>
        <v>8.7636363636363637E-2</v>
      </c>
      <c r="AR31" s="53">
        <f>'LUC-2012-08-10-Run1'!BT35</f>
        <v>8.8454545454545452E-2</v>
      </c>
      <c r="AS31" s="53">
        <f>'LUC-2012-08-10-Run1'!BU35</f>
        <v>8.9272727272727267E-2</v>
      </c>
      <c r="AT31" s="53">
        <f>'LUC-2012-08-10-Run1'!BV35</f>
        <v>9.0090909090909083E-2</v>
      </c>
      <c r="AU31" s="53">
        <f>'LUC-2012-08-10-Run1'!BW35</f>
        <v>9.0909090909090912E-2</v>
      </c>
      <c r="AV31" s="53">
        <f>'LUC-2012-08-10-Run1'!BX35</f>
        <v>9.1727272727272727E-2</v>
      </c>
      <c r="AW31" s="53">
        <f>'LUC-2012-08-10-Run1'!BY35</f>
        <v>9.2545454545454542E-2</v>
      </c>
      <c r="AX31" s="53">
        <f>'LUC-2012-08-10-Run1'!BZ35</f>
        <v>9.3363636363636357E-2</v>
      </c>
      <c r="AY31" s="53">
        <f>'LUC-2012-08-10-Run1'!CA35</f>
        <v>9.4181818181818172E-2</v>
      </c>
      <c r="AZ31" s="53">
        <f>'LUC-2012-08-10-Run1'!CB35</f>
        <v>9.5000000000000001E-2</v>
      </c>
      <c r="BA31" s="53">
        <f>'LUC-2012-08-10-Run1'!CC35</f>
        <v>9.5818181818181816E-2</v>
      </c>
      <c r="BB31" s="53">
        <f>'LUC-2012-08-10-Run1'!CD35</f>
        <v>9.6636363636363631E-2</v>
      </c>
      <c r="BC31" s="53">
        <f>'LUC-2012-08-10-Run1'!CE35</f>
        <v>9.7454545454545446E-2</v>
      </c>
      <c r="BD31" s="53">
        <f>'LUC-2012-08-10-Run1'!CF35</f>
        <v>9.8272727272727262E-2</v>
      </c>
      <c r="BE31" s="53">
        <f>'LUC-2012-08-10-Run1'!CG35</f>
        <v>9.9090909090909091E-2</v>
      </c>
      <c r="BF31" s="53">
        <f>'LUC-2012-08-10-Run1'!CH35</f>
        <v>9.9909090909090906E-2</v>
      </c>
      <c r="BG31" s="53">
        <f>'LUC-2012-08-10-Run1'!CI35</f>
        <v>0.10072727272727272</v>
      </c>
      <c r="BH31" s="53">
        <f>'LUC-2012-08-10-Run1'!CJ35</f>
        <v>0.10154545454545455</v>
      </c>
      <c r="BI31" s="53">
        <f>'LUC-2012-08-10-Run1'!CK35</f>
        <v>0.10236363636363635</v>
      </c>
      <c r="BJ31" s="53">
        <f>'LUC-2012-08-10-Run1'!CL35</f>
        <v>0.10318181818181818</v>
      </c>
      <c r="BK31" s="53">
        <f>'LUC-2012-08-10-Run1'!CM35</f>
        <v>0.104</v>
      </c>
      <c r="BM31" s="104"/>
      <c r="BN31" s="57" t="s">
        <v>103</v>
      </c>
      <c r="BO31" s="67">
        <f t="shared" si="16"/>
        <v>61.52272727272728</v>
      </c>
      <c r="BP31" s="67">
        <f t="shared" si="17"/>
        <v>65.409090909090921</v>
      </c>
      <c r="BQ31" s="67">
        <f t="shared" si="18"/>
        <v>71.27272727272728</v>
      </c>
      <c r="BR31" s="67">
        <f t="shared" si="19"/>
        <v>79.454545454545453</v>
      </c>
      <c r="BS31" s="67">
        <f t="shared" si="20"/>
        <v>87.63636363636364</v>
      </c>
      <c r="BT31" s="67">
        <f t="shared" si="21"/>
        <v>95.818181818181813</v>
      </c>
      <c r="BU31" s="67">
        <f t="shared" si="22"/>
        <v>104</v>
      </c>
    </row>
    <row r="32" spans="1:77" x14ac:dyDescent="0.25">
      <c r="A32" s="56" t="s">
        <v>71</v>
      </c>
      <c r="B32" s="54" t="s">
        <v>104</v>
      </c>
      <c r="C32" s="56" t="s">
        <v>107</v>
      </c>
      <c r="D32" s="53">
        <f>'LUC-2012-08-10-Run1'!AF39</f>
        <v>8.6618671127481966E-4</v>
      </c>
      <c r="E32" s="53">
        <f>'LUC-2012-08-10-Run1'!AG39</f>
        <v>8.7332065560907562E-4</v>
      </c>
      <c r="F32" s="53">
        <f>'LUC-2012-08-10-Run1'!AH39</f>
        <v>8.8045459994333169E-4</v>
      </c>
      <c r="G32" s="53">
        <f>'LUC-2012-08-10-Run1'!AI39</f>
        <v>8.8758854427758765E-4</v>
      </c>
      <c r="H32" s="53">
        <f>'LUC-2012-08-10-Run1'!AJ39</f>
        <v>8.9472248861184372E-4</v>
      </c>
      <c r="I32" s="53">
        <f>'LUC-2012-08-10-Run1'!AK39</f>
        <v>9.0185643294609969E-4</v>
      </c>
      <c r="J32" s="53">
        <f>'LUC-2012-08-10-Run1'!AL39</f>
        <v>9.0899037728035576E-4</v>
      </c>
      <c r="K32" s="53">
        <f>'LUC-2012-08-10-Run1'!AM39</f>
        <v>9.1612432161461172E-4</v>
      </c>
      <c r="L32" s="53">
        <f>'LUC-2012-08-10-Run1'!AN39</f>
        <v>9.2325826594886768E-4</v>
      </c>
      <c r="M32" s="53">
        <f>'LUC-2012-08-10-Run1'!AO39</f>
        <v>9.3039221028312375E-4</v>
      </c>
      <c r="N32" s="53">
        <f>'LUC-2012-08-10-Run1'!AP39</f>
        <v>9.3752615461737982E-4</v>
      </c>
      <c r="O32" s="53">
        <f>'LUC-2012-08-10-Run1'!AQ39</f>
        <v>9.4466009895163578E-4</v>
      </c>
      <c r="P32" s="53">
        <f>'LUC-2012-08-10-Run1'!AR39</f>
        <v>9.5179404328589175E-4</v>
      </c>
      <c r="Q32" s="53">
        <f>'LUC-2012-08-10-Run1'!AS39</f>
        <v>9.5892798762014782E-4</v>
      </c>
      <c r="R32" s="53">
        <f>'LUC-2012-08-10-Run1'!AT39</f>
        <v>9.6606193195440389E-4</v>
      </c>
      <c r="S32" s="53">
        <f>'LUC-2012-08-10-Run1'!AU39</f>
        <v>9.7319587628865985E-4</v>
      </c>
      <c r="T32" s="53">
        <f>'LUC-2012-08-10-Run1'!AV39</f>
        <v>9.9072164948453621E-4</v>
      </c>
      <c r="U32" s="53">
        <f>'LUC-2012-08-10-Run1'!AW39</f>
        <v>1.0082474226804125E-3</v>
      </c>
      <c r="V32" s="53">
        <f>'LUC-2012-08-10-Run1'!AX39</f>
        <v>1.0257731958762887E-3</v>
      </c>
      <c r="W32" s="53">
        <f>'LUC-2012-08-10-Run1'!AY39</f>
        <v>1.043298969072165E-3</v>
      </c>
      <c r="X32" s="53">
        <f>'LUC-2012-08-10-Run1'!AZ39</f>
        <v>1.0608247422680412E-3</v>
      </c>
      <c r="Y32" s="53">
        <f>'LUC-2012-08-10-Run1'!BA39</f>
        <v>1.0783505154639175E-3</v>
      </c>
      <c r="Z32" s="53">
        <f>'LUC-2012-08-10-Run1'!BB39</f>
        <v>1.095876288659794E-3</v>
      </c>
      <c r="AA32" s="53">
        <f>'LUC-2012-08-10-Run1'!BC39</f>
        <v>1.1134020618556702E-3</v>
      </c>
      <c r="AB32" s="53">
        <f>'LUC-2012-08-10-Run1'!BD39</f>
        <v>1.1309278350515465E-3</v>
      </c>
      <c r="AC32" s="53">
        <f>'LUC-2012-08-10-Run1'!BE39</f>
        <v>1.1484536082474227E-3</v>
      </c>
      <c r="AD32" s="53">
        <f>'LUC-2012-08-10-Run1'!BF39</f>
        <v>1.165979381443299E-3</v>
      </c>
      <c r="AE32" s="53">
        <f>'LUC-2012-08-10-Run1'!BG39</f>
        <v>1.1835051546391752E-3</v>
      </c>
      <c r="AF32" s="53">
        <f>'LUC-2012-08-10-Run1'!BH39</f>
        <v>1.2010309278350515E-3</v>
      </c>
      <c r="AG32" s="53">
        <f>'LUC-2012-08-10-Run1'!BI39</f>
        <v>1.2185567010309277E-3</v>
      </c>
      <c r="AH32" s="53">
        <f>'LUC-2012-08-10-Run1'!BJ39</f>
        <v>1.236082474226804E-3</v>
      </c>
      <c r="AI32" s="53">
        <f>'LUC-2012-08-10-Run1'!BK39</f>
        <v>1.2536082474226805E-3</v>
      </c>
      <c r="AJ32" s="53">
        <f>'LUC-2012-08-10-Run1'!BL39</f>
        <v>1.2711340206185567E-3</v>
      </c>
      <c r="AK32" s="53">
        <f>'LUC-2012-08-10-Run1'!BM39</f>
        <v>1.288659793814433E-3</v>
      </c>
      <c r="AL32" s="53">
        <f>'LUC-2012-08-10-Run1'!BN39</f>
        <v>1.3061855670103092E-3</v>
      </c>
      <c r="AM32" s="53">
        <f>'LUC-2012-08-10-Run1'!BO39</f>
        <v>1.3237113402061855E-3</v>
      </c>
      <c r="AN32" s="53">
        <f>'LUC-2012-08-10-Run1'!BP39</f>
        <v>1.3412371134020619E-3</v>
      </c>
      <c r="AO32" s="53">
        <f>'LUC-2012-08-10-Run1'!BQ39</f>
        <v>1.3587628865979382E-3</v>
      </c>
      <c r="AP32" s="53">
        <f>'LUC-2012-08-10-Run1'!BR39</f>
        <v>1.3762886597938145E-3</v>
      </c>
      <c r="AQ32" s="53">
        <f>'LUC-2012-08-10-Run1'!BS39</f>
        <v>1.3938144329896907E-3</v>
      </c>
      <c r="AR32" s="53">
        <f>'LUC-2012-08-10-Run1'!BT39</f>
        <v>1.411340206185567E-3</v>
      </c>
      <c r="AS32" s="53">
        <f>'LUC-2012-08-10-Run1'!BU39</f>
        <v>1.4288659793814432E-3</v>
      </c>
      <c r="AT32" s="53">
        <f>'LUC-2012-08-10-Run1'!BV39</f>
        <v>1.4463917525773195E-3</v>
      </c>
      <c r="AU32" s="53">
        <f>'LUC-2012-08-10-Run1'!BW39</f>
        <v>1.4639175257731957E-3</v>
      </c>
      <c r="AV32" s="53">
        <f>'LUC-2012-08-10-Run1'!BX39</f>
        <v>1.481443298969072E-3</v>
      </c>
      <c r="AW32" s="53">
        <f>'LUC-2012-08-10-Run1'!BY39</f>
        <v>1.4989690721649482E-3</v>
      </c>
      <c r="AX32" s="53">
        <f>'LUC-2012-08-10-Run1'!BZ39</f>
        <v>1.5164948453608247E-3</v>
      </c>
      <c r="AY32" s="53">
        <f>'LUC-2012-08-10-Run1'!CA39</f>
        <v>1.534020618556701E-3</v>
      </c>
      <c r="AZ32" s="53">
        <f>'LUC-2012-08-10-Run1'!CB39</f>
        <v>1.5515463917525772E-3</v>
      </c>
      <c r="BA32" s="53">
        <f>'LUC-2012-08-10-Run1'!CC39</f>
        <v>1.5690721649484537E-3</v>
      </c>
      <c r="BB32" s="53">
        <f>'LUC-2012-08-10-Run1'!CD39</f>
        <v>1.5865979381443299E-3</v>
      </c>
      <c r="BC32" s="53">
        <f>'LUC-2012-08-10-Run1'!CE39</f>
        <v>1.6041237113402062E-3</v>
      </c>
      <c r="BD32" s="53">
        <f>'LUC-2012-08-10-Run1'!CF39</f>
        <v>1.6216494845360824E-3</v>
      </c>
      <c r="BE32" s="53">
        <f>'LUC-2012-08-10-Run1'!CG39</f>
        <v>1.6391752577319587E-3</v>
      </c>
      <c r="BF32" s="53">
        <f>'LUC-2012-08-10-Run1'!CH39</f>
        <v>1.656701030927835E-3</v>
      </c>
      <c r="BG32" s="53">
        <f>'LUC-2012-08-10-Run1'!CI39</f>
        <v>1.6742268041237112E-3</v>
      </c>
      <c r="BH32" s="53">
        <f>'LUC-2012-08-10-Run1'!CJ39</f>
        <v>1.6917525773195875E-3</v>
      </c>
      <c r="BI32" s="53">
        <f>'LUC-2012-08-10-Run1'!CK39</f>
        <v>1.7092783505154637E-3</v>
      </c>
      <c r="BJ32" s="53">
        <f>'LUC-2012-08-10-Run1'!CL39</f>
        <v>1.72680412371134E-3</v>
      </c>
      <c r="BK32" s="53">
        <f>'LUC-2012-08-10-Run1'!CM39</f>
        <v>1.7443298969072164E-3</v>
      </c>
      <c r="BM32" s="105"/>
      <c r="BN32" s="58" t="s">
        <v>104</v>
      </c>
      <c r="BO32" s="84">
        <f t="shared" si="16"/>
        <v>0.86618671127481961</v>
      </c>
      <c r="BP32" s="84">
        <f t="shared" si="17"/>
        <v>0.9303922102831238</v>
      </c>
      <c r="BQ32" s="84">
        <f t="shared" si="18"/>
        <v>1.043298969072165</v>
      </c>
      <c r="BR32" s="84">
        <f t="shared" si="19"/>
        <v>1.2185567010309277</v>
      </c>
      <c r="BS32" s="84">
        <f t="shared" si="20"/>
        <v>1.3938144329896907</v>
      </c>
      <c r="BT32" s="84">
        <f t="shared" si="21"/>
        <v>1.5690721649484536</v>
      </c>
      <c r="BU32" s="84">
        <f t="shared" si="22"/>
        <v>1.7443298969072165</v>
      </c>
    </row>
    <row r="33" spans="1:75" x14ac:dyDescent="0.25">
      <c r="BM33" s="108" t="s">
        <v>38</v>
      </c>
      <c r="BN33" s="57" t="s">
        <v>99</v>
      </c>
      <c r="BO33" s="83">
        <f t="shared" ref="BO33:BO39" si="23">D34*1000</f>
        <v>5.0675000000000008</v>
      </c>
      <c r="BP33" s="83">
        <f t="shared" ref="BP33:BP39" si="24">M34*1000</f>
        <v>5.7650000000000015</v>
      </c>
      <c r="BQ33" s="83">
        <f t="shared" ref="BQ33:BQ39" si="25">W34*1000</f>
        <v>6.34</v>
      </c>
      <c r="BR33" s="83">
        <f t="shared" ref="BR33:BR39" si="26">AG34*1000</f>
        <v>6.6150000000000002</v>
      </c>
      <c r="BS33" s="83">
        <f t="shared" ref="BS33:BS39" si="27">AQ34*1000</f>
        <v>6.8900000000000006</v>
      </c>
      <c r="BT33" s="83">
        <f t="shared" ref="BT33:BT39" si="28">BA34*1000</f>
        <v>7.1649999999999991</v>
      </c>
      <c r="BU33" s="83">
        <f t="shared" ref="BU33:BU39" si="29">BK34*1000</f>
        <v>7.4399999999999995</v>
      </c>
    </row>
    <row r="34" spans="1:75" x14ac:dyDescent="0.25">
      <c r="A34" s="56" t="s">
        <v>38</v>
      </c>
      <c r="B34" s="54" t="s">
        <v>99</v>
      </c>
      <c r="C34" s="56" t="s">
        <v>107</v>
      </c>
      <c r="D34" s="53">
        <f>'LUC-2012-08-10-Run1'!AF41</f>
        <v>5.0675000000000008E-3</v>
      </c>
      <c r="E34" s="53">
        <f>'LUC-2012-08-10-Run1'!AG41</f>
        <v>5.1450000000000003E-3</v>
      </c>
      <c r="F34" s="53">
        <f>'LUC-2012-08-10-Run1'!AH41</f>
        <v>5.2225000000000006E-3</v>
      </c>
      <c r="G34" s="53">
        <f>'LUC-2012-08-10-Run1'!AI41</f>
        <v>5.3000000000000009E-3</v>
      </c>
      <c r="H34" s="53">
        <f>'LUC-2012-08-10-Run1'!AJ41</f>
        <v>5.3775000000000003E-3</v>
      </c>
      <c r="I34" s="53">
        <f>'LUC-2012-08-10-Run1'!AK41</f>
        <v>5.4550000000000006E-3</v>
      </c>
      <c r="J34" s="53">
        <f>'LUC-2012-08-10-Run1'!AL41</f>
        <v>5.532500000000001E-3</v>
      </c>
      <c r="K34" s="53">
        <f>'LUC-2012-08-10-Run1'!AM41</f>
        <v>5.6100000000000004E-3</v>
      </c>
      <c r="L34" s="53">
        <f>'LUC-2012-08-10-Run1'!AN41</f>
        <v>5.6874999999999998E-3</v>
      </c>
      <c r="M34" s="53">
        <f>'LUC-2012-08-10-Run1'!AO41</f>
        <v>5.765000000000001E-3</v>
      </c>
      <c r="N34" s="53">
        <f>'LUC-2012-08-10-Run1'!AP41</f>
        <v>5.8425000000000005E-3</v>
      </c>
      <c r="O34" s="53">
        <f>'LUC-2012-08-10-Run1'!AQ41</f>
        <v>5.9199999999999999E-3</v>
      </c>
      <c r="P34" s="53">
        <f>'LUC-2012-08-10-Run1'!AR41</f>
        <v>5.9975000000000011E-3</v>
      </c>
      <c r="Q34" s="53">
        <f>'LUC-2012-08-10-Run1'!AS41</f>
        <v>6.0750000000000005E-3</v>
      </c>
      <c r="R34" s="53">
        <f>'LUC-2012-08-10-Run1'!AT41</f>
        <v>6.1525E-3</v>
      </c>
      <c r="S34" s="53">
        <f>'LUC-2012-08-10-Run1'!AU41</f>
        <v>6.2300000000000003E-3</v>
      </c>
      <c r="T34" s="53">
        <f>'LUC-2012-08-10-Run1'!AV41</f>
        <v>6.2575E-3</v>
      </c>
      <c r="U34" s="53">
        <f>'LUC-2012-08-10-Run1'!AW41</f>
        <v>6.2850000000000007E-3</v>
      </c>
      <c r="V34" s="53">
        <f>'LUC-2012-08-10-Run1'!AX41</f>
        <v>6.3125000000000004E-3</v>
      </c>
      <c r="W34" s="53">
        <f>'LUC-2012-08-10-Run1'!AY41</f>
        <v>6.3400000000000001E-3</v>
      </c>
      <c r="X34" s="53">
        <f>'LUC-2012-08-10-Run1'!AZ41</f>
        <v>6.3674999999999999E-3</v>
      </c>
      <c r="Y34" s="53">
        <f>'LUC-2012-08-10-Run1'!BA41</f>
        <v>6.3950000000000005E-3</v>
      </c>
      <c r="Z34" s="53">
        <f>'LUC-2012-08-10-Run1'!BB41</f>
        <v>6.4225000000000003E-3</v>
      </c>
      <c r="AA34" s="53">
        <f>'LUC-2012-08-10-Run1'!BC41</f>
        <v>6.45E-3</v>
      </c>
      <c r="AB34" s="53">
        <f>'LUC-2012-08-10-Run1'!BD41</f>
        <v>6.4774999999999998E-3</v>
      </c>
      <c r="AC34" s="53">
        <f>'LUC-2012-08-10-Run1'!BE41</f>
        <v>6.5050000000000004E-3</v>
      </c>
      <c r="AD34" s="53">
        <f>'LUC-2012-08-10-Run1'!BF41</f>
        <v>6.5325000000000001E-3</v>
      </c>
      <c r="AE34" s="53">
        <f>'LUC-2012-08-10-Run1'!BG41</f>
        <v>6.5599999999999999E-3</v>
      </c>
      <c r="AF34" s="53">
        <f>'LUC-2012-08-10-Run1'!BH41</f>
        <v>6.5875000000000005E-3</v>
      </c>
      <c r="AG34" s="53">
        <f>'LUC-2012-08-10-Run1'!BI41</f>
        <v>6.6150000000000002E-3</v>
      </c>
      <c r="AH34" s="53">
        <f>'LUC-2012-08-10-Run1'!BJ41</f>
        <v>6.6425E-3</v>
      </c>
      <c r="AI34" s="53">
        <f>'LUC-2012-08-10-Run1'!BK41</f>
        <v>6.6699999999999997E-3</v>
      </c>
      <c r="AJ34" s="53">
        <f>'LUC-2012-08-10-Run1'!BL41</f>
        <v>6.6975000000000003E-3</v>
      </c>
      <c r="AK34" s="53">
        <f>'LUC-2012-08-10-Run1'!BM41</f>
        <v>6.7250000000000001E-3</v>
      </c>
      <c r="AL34" s="53">
        <f>'LUC-2012-08-10-Run1'!BN41</f>
        <v>6.7524999999999998E-3</v>
      </c>
      <c r="AM34" s="53">
        <f>'LUC-2012-08-10-Run1'!BO41</f>
        <v>6.7799999999999996E-3</v>
      </c>
      <c r="AN34" s="53">
        <f>'LUC-2012-08-10-Run1'!BP41</f>
        <v>6.8075000000000002E-3</v>
      </c>
      <c r="AO34" s="53">
        <f>'LUC-2012-08-10-Run1'!BQ41</f>
        <v>6.8349999999999999E-3</v>
      </c>
      <c r="AP34" s="53">
        <f>'LUC-2012-08-10-Run1'!BR41</f>
        <v>6.8624999999999997E-3</v>
      </c>
      <c r="AQ34" s="53">
        <f>'LUC-2012-08-10-Run1'!BS41</f>
        <v>6.8900000000000003E-3</v>
      </c>
      <c r="AR34" s="53">
        <f>'LUC-2012-08-10-Run1'!BT41</f>
        <v>6.9175E-3</v>
      </c>
      <c r="AS34" s="53">
        <f>'LUC-2012-08-10-Run1'!BU41</f>
        <v>6.9449999999999998E-3</v>
      </c>
      <c r="AT34" s="53">
        <f>'LUC-2012-08-10-Run1'!BV41</f>
        <v>6.9724999999999995E-3</v>
      </c>
      <c r="AU34" s="53">
        <f>'LUC-2012-08-10-Run1'!BW41</f>
        <v>7.0000000000000001E-3</v>
      </c>
      <c r="AV34" s="53">
        <f>'LUC-2012-08-10-Run1'!BX41</f>
        <v>7.0274999999999999E-3</v>
      </c>
      <c r="AW34" s="53">
        <f>'LUC-2012-08-10-Run1'!BY41</f>
        <v>7.0549999999999996E-3</v>
      </c>
      <c r="AX34" s="53">
        <f>'LUC-2012-08-10-Run1'!BZ41</f>
        <v>7.0825000000000003E-3</v>
      </c>
      <c r="AY34" s="53">
        <f>'LUC-2012-08-10-Run1'!CA41</f>
        <v>7.11E-3</v>
      </c>
      <c r="AZ34" s="53">
        <f>'LUC-2012-08-10-Run1'!CB41</f>
        <v>7.1374999999999997E-3</v>
      </c>
      <c r="BA34" s="53">
        <f>'LUC-2012-08-10-Run1'!CC41</f>
        <v>7.1649999999999995E-3</v>
      </c>
      <c r="BB34" s="53">
        <f>'LUC-2012-08-10-Run1'!CD41</f>
        <v>7.1925000000000001E-3</v>
      </c>
      <c r="BC34" s="53">
        <f>'LUC-2012-08-10-Run1'!CE41</f>
        <v>7.2199999999999999E-3</v>
      </c>
      <c r="BD34" s="53">
        <f>'LUC-2012-08-10-Run1'!CF41</f>
        <v>7.2474999999999996E-3</v>
      </c>
      <c r="BE34" s="53">
        <f>'LUC-2012-08-10-Run1'!CG41</f>
        <v>7.2750000000000002E-3</v>
      </c>
      <c r="BF34" s="53">
        <f>'LUC-2012-08-10-Run1'!CH41</f>
        <v>7.3025E-3</v>
      </c>
      <c r="BG34" s="53">
        <f>'LUC-2012-08-10-Run1'!CI41</f>
        <v>7.3299999999999997E-3</v>
      </c>
      <c r="BH34" s="53">
        <f>'LUC-2012-08-10-Run1'!CJ41</f>
        <v>7.3574999999999995E-3</v>
      </c>
      <c r="BI34" s="53">
        <f>'LUC-2012-08-10-Run1'!CK41</f>
        <v>7.3849999999999992E-3</v>
      </c>
      <c r="BJ34" s="53">
        <f>'LUC-2012-08-10-Run1'!CL41</f>
        <v>7.4124999999999998E-3</v>
      </c>
      <c r="BK34" s="53">
        <f>'LUC-2012-08-10-Run1'!CM41</f>
        <v>7.4399999999999996E-3</v>
      </c>
      <c r="BM34" s="108"/>
      <c r="BN34" s="57" t="s">
        <v>100</v>
      </c>
      <c r="BO34" s="83">
        <f t="shared" si="23"/>
        <v>2.3129545454545455</v>
      </c>
      <c r="BP34" s="83">
        <f t="shared" si="24"/>
        <v>2.5931818181818183</v>
      </c>
      <c r="BQ34" s="83">
        <f t="shared" si="25"/>
        <v>2.8572727272727274</v>
      </c>
      <c r="BR34" s="83">
        <f t="shared" si="26"/>
        <v>3.0504545454545458</v>
      </c>
      <c r="BS34" s="83">
        <f t="shared" si="27"/>
        <v>3.2436363636363641</v>
      </c>
      <c r="BT34" s="83">
        <f t="shared" si="28"/>
        <v>3.436818181818182</v>
      </c>
      <c r="BU34" s="83">
        <f t="shared" si="29"/>
        <v>3.63</v>
      </c>
    </row>
    <row r="35" spans="1:75" x14ac:dyDescent="0.25">
      <c r="A35" s="56" t="s">
        <v>38</v>
      </c>
      <c r="B35" s="54" t="s">
        <v>100</v>
      </c>
      <c r="C35" s="56" t="s">
        <v>107</v>
      </c>
      <c r="D35" s="53">
        <f>'LUC-2012-08-10-Run1'!AF42</f>
        <v>2.3129545454545456E-3</v>
      </c>
      <c r="E35" s="53">
        <f>'LUC-2012-08-10-Run1'!AG42</f>
        <v>2.3440909090909094E-3</v>
      </c>
      <c r="F35" s="53">
        <f>'LUC-2012-08-10-Run1'!AH42</f>
        <v>2.3752272727272728E-3</v>
      </c>
      <c r="G35" s="53">
        <f>'LUC-2012-08-10-Run1'!AI42</f>
        <v>2.4063636363636366E-3</v>
      </c>
      <c r="H35" s="53">
        <f>'LUC-2012-08-10-Run1'!AJ42</f>
        <v>2.4375000000000004E-3</v>
      </c>
      <c r="I35" s="53">
        <f>'LUC-2012-08-10-Run1'!AK42</f>
        <v>2.4686363636363638E-3</v>
      </c>
      <c r="J35" s="53">
        <f>'LUC-2012-08-10-Run1'!AL42</f>
        <v>2.4997727272727276E-3</v>
      </c>
      <c r="K35" s="53">
        <f>'LUC-2012-08-10-Run1'!AM42</f>
        <v>2.5309090909090915E-3</v>
      </c>
      <c r="L35" s="53">
        <f>'LUC-2012-08-10-Run1'!AN42</f>
        <v>2.5620454545454549E-3</v>
      </c>
      <c r="M35" s="53">
        <f>'LUC-2012-08-10-Run1'!AO42</f>
        <v>2.5931818181818183E-3</v>
      </c>
      <c r="N35" s="53">
        <f>'LUC-2012-08-10-Run1'!AP42</f>
        <v>2.6243181818181821E-3</v>
      </c>
      <c r="O35" s="53">
        <f>'LUC-2012-08-10-Run1'!AQ42</f>
        <v>2.6554545454545459E-3</v>
      </c>
      <c r="P35" s="53">
        <f>'LUC-2012-08-10-Run1'!AR42</f>
        <v>2.6865909090909093E-3</v>
      </c>
      <c r="Q35" s="53">
        <f>'LUC-2012-08-10-Run1'!AS42</f>
        <v>2.7177272727272731E-3</v>
      </c>
      <c r="R35" s="53">
        <f>'LUC-2012-08-10-Run1'!AT42</f>
        <v>2.748863636363637E-3</v>
      </c>
      <c r="S35" s="53">
        <f>'LUC-2012-08-10-Run1'!AU42</f>
        <v>2.7800000000000004E-3</v>
      </c>
      <c r="T35" s="53">
        <f>'LUC-2012-08-10-Run1'!AV42</f>
        <v>2.7993181818181823E-3</v>
      </c>
      <c r="U35" s="53">
        <f>'LUC-2012-08-10-Run1'!AW42</f>
        <v>2.8186363636363639E-3</v>
      </c>
      <c r="V35" s="53">
        <f>'LUC-2012-08-10-Run1'!AX42</f>
        <v>2.8379545454545459E-3</v>
      </c>
      <c r="W35" s="53">
        <f>'LUC-2012-08-10-Run1'!AY42</f>
        <v>2.8572727272727274E-3</v>
      </c>
      <c r="X35" s="53">
        <f>'LUC-2012-08-10-Run1'!AZ42</f>
        <v>2.8765909090909094E-3</v>
      </c>
      <c r="Y35" s="53">
        <f>'LUC-2012-08-10-Run1'!BA42</f>
        <v>2.8959090909090913E-3</v>
      </c>
      <c r="Z35" s="53">
        <f>'LUC-2012-08-10-Run1'!BB42</f>
        <v>2.9152272727272729E-3</v>
      </c>
      <c r="AA35" s="53">
        <f>'LUC-2012-08-10-Run1'!BC42</f>
        <v>2.9345454545454549E-3</v>
      </c>
      <c r="AB35" s="53">
        <f>'LUC-2012-08-10-Run1'!BD42</f>
        <v>2.9538636363636368E-3</v>
      </c>
      <c r="AC35" s="53">
        <f>'LUC-2012-08-10-Run1'!BE42</f>
        <v>2.9731818181818184E-3</v>
      </c>
      <c r="AD35" s="53">
        <f>'LUC-2012-08-10-Run1'!BF42</f>
        <v>2.9925000000000004E-3</v>
      </c>
      <c r="AE35" s="53">
        <f>'LUC-2012-08-10-Run1'!BG42</f>
        <v>3.0118181818181819E-3</v>
      </c>
      <c r="AF35" s="53">
        <f>'LUC-2012-08-10-Run1'!BH42</f>
        <v>3.0311363636363639E-3</v>
      </c>
      <c r="AG35" s="53">
        <f>'LUC-2012-08-10-Run1'!BI42</f>
        <v>3.0504545454545459E-3</v>
      </c>
      <c r="AH35" s="53">
        <f>'LUC-2012-08-10-Run1'!BJ42</f>
        <v>3.0697727272727274E-3</v>
      </c>
      <c r="AI35" s="53">
        <f>'LUC-2012-08-10-Run1'!BK42</f>
        <v>3.0890909090909094E-3</v>
      </c>
      <c r="AJ35" s="53">
        <f>'LUC-2012-08-10-Run1'!BL42</f>
        <v>3.1084090909090914E-3</v>
      </c>
      <c r="AK35" s="53">
        <f>'LUC-2012-08-10-Run1'!BM42</f>
        <v>3.1277272727272729E-3</v>
      </c>
      <c r="AL35" s="53">
        <f>'LUC-2012-08-10-Run1'!BN42</f>
        <v>3.1470454545454549E-3</v>
      </c>
      <c r="AM35" s="53">
        <f>'LUC-2012-08-10-Run1'!BO42</f>
        <v>3.1663636363636364E-3</v>
      </c>
      <c r="AN35" s="53">
        <f>'LUC-2012-08-10-Run1'!BP42</f>
        <v>3.1856818181818184E-3</v>
      </c>
      <c r="AO35" s="53">
        <f>'LUC-2012-08-10-Run1'!BQ42</f>
        <v>3.2050000000000004E-3</v>
      </c>
      <c r="AP35" s="53">
        <f>'LUC-2012-08-10-Run1'!BR42</f>
        <v>3.2243181818181819E-3</v>
      </c>
      <c r="AQ35" s="53">
        <f>'LUC-2012-08-10-Run1'!BS42</f>
        <v>3.2436363636363639E-3</v>
      </c>
      <c r="AR35" s="53">
        <f>'LUC-2012-08-10-Run1'!BT42</f>
        <v>3.2629545454545454E-3</v>
      </c>
      <c r="AS35" s="53">
        <f>'LUC-2012-08-10-Run1'!BU42</f>
        <v>3.2822727272727274E-3</v>
      </c>
      <c r="AT35" s="53">
        <f>'LUC-2012-08-10-Run1'!BV42</f>
        <v>3.3015909090909094E-3</v>
      </c>
      <c r="AU35" s="53">
        <f>'LUC-2012-08-10-Run1'!BW42</f>
        <v>3.3209090909090909E-3</v>
      </c>
      <c r="AV35" s="53">
        <f>'LUC-2012-08-10-Run1'!BX42</f>
        <v>3.3402272727272729E-3</v>
      </c>
      <c r="AW35" s="53">
        <f>'LUC-2012-08-10-Run1'!BY42</f>
        <v>3.3595454545454545E-3</v>
      </c>
      <c r="AX35" s="53">
        <f>'LUC-2012-08-10-Run1'!BZ42</f>
        <v>3.3788636363636364E-3</v>
      </c>
      <c r="AY35" s="53">
        <f>'LUC-2012-08-10-Run1'!CA42</f>
        <v>3.3981818181818184E-3</v>
      </c>
      <c r="AZ35" s="53">
        <f>'LUC-2012-08-10-Run1'!CB42</f>
        <v>3.4175E-3</v>
      </c>
      <c r="BA35" s="53">
        <f>'LUC-2012-08-10-Run1'!CC42</f>
        <v>3.4368181818181819E-3</v>
      </c>
      <c r="BB35" s="53">
        <f>'LUC-2012-08-10-Run1'!CD42</f>
        <v>3.4561363636363635E-3</v>
      </c>
      <c r="BC35" s="53">
        <f>'LUC-2012-08-10-Run1'!CE42</f>
        <v>3.4754545454545455E-3</v>
      </c>
      <c r="BD35" s="53">
        <f>'LUC-2012-08-10-Run1'!CF42</f>
        <v>3.4947727272727274E-3</v>
      </c>
      <c r="BE35" s="53">
        <f>'LUC-2012-08-10-Run1'!CG42</f>
        <v>3.5140909090909094E-3</v>
      </c>
      <c r="BF35" s="53">
        <f>'LUC-2012-08-10-Run1'!CH42</f>
        <v>3.533409090909091E-3</v>
      </c>
      <c r="BG35" s="53">
        <f>'LUC-2012-08-10-Run1'!CI42</f>
        <v>3.5527272727272729E-3</v>
      </c>
      <c r="BH35" s="53">
        <f>'LUC-2012-08-10-Run1'!CJ42</f>
        <v>3.5720454545454545E-3</v>
      </c>
      <c r="BI35" s="53">
        <f>'LUC-2012-08-10-Run1'!CK42</f>
        <v>3.5913636363636365E-3</v>
      </c>
      <c r="BJ35" s="53">
        <f>'LUC-2012-08-10-Run1'!CL42</f>
        <v>3.6106818181818184E-3</v>
      </c>
      <c r="BK35" s="53">
        <f>'LUC-2012-08-10-Run1'!CM42</f>
        <v>3.63E-3</v>
      </c>
      <c r="BM35" s="108"/>
      <c r="BN35" s="57" t="s">
        <v>101</v>
      </c>
      <c r="BO35" s="83">
        <f t="shared" si="23"/>
        <v>3.4209090909090913</v>
      </c>
      <c r="BP35" s="83">
        <f t="shared" si="24"/>
        <v>3.8463636363636371</v>
      </c>
      <c r="BQ35" s="83">
        <f t="shared" si="25"/>
        <v>4.2418181818181822</v>
      </c>
      <c r="BR35" s="83">
        <f t="shared" si="26"/>
        <v>4.5213636363636365</v>
      </c>
      <c r="BS35" s="83">
        <f t="shared" si="27"/>
        <v>4.8009090909090917</v>
      </c>
      <c r="BT35" s="83">
        <f t="shared" si="28"/>
        <v>5.080454545454546</v>
      </c>
      <c r="BU35" s="83">
        <f t="shared" si="29"/>
        <v>5.36</v>
      </c>
    </row>
    <row r="36" spans="1:75" x14ac:dyDescent="0.25">
      <c r="A36" s="56" t="s">
        <v>38</v>
      </c>
      <c r="B36" s="54" t="s">
        <v>101</v>
      </c>
      <c r="C36" s="56" t="s">
        <v>107</v>
      </c>
      <c r="D36" s="53">
        <f>'LUC-2012-08-10-Run1'!AF43</f>
        <v>3.4209090909090912E-3</v>
      </c>
      <c r="E36" s="53">
        <f>'LUC-2012-08-10-Run1'!AG43</f>
        <v>3.4681818181818186E-3</v>
      </c>
      <c r="F36" s="53">
        <f>'LUC-2012-08-10-Run1'!AH43</f>
        <v>3.5154545454545456E-3</v>
      </c>
      <c r="G36" s="53">
        <f>'LUC-2012-08-10-Run1'!AI43</f>
        <v>3.562727272727273E-3</v>
      </c>
      <c r="H36" s="53">
        <f>'LUC-2012-08-10-Run1'!AJ43</f>
        <v>3.6100000000000004E-3</v>
      </c>
      <c r="I36" s="53">
        <f>'LUC-2012-08-10-Run1'!AK43</f>
        <v>3.6572727272727278E-3</v>
      </c>
      <c r="J36" s="53">
        <f>'LUC-2012-08-10-Run1'!AL43</f>
        <v>3.7045454545454552E-3</v>
      </c>
      <c r="K36" s="53">
        <f>'LUC-2012-08-10-Run1'!AM43</f>
        <v>3.7518181818181826E-3</v>
      </c>
      <c r="L36" s="53">
        <f>'LUC-2012-08-10-Run1'!AN43</f>
        <v>3.7990909090909099E-3</v>
      </c>
      <c r="M36" s="53">
        <f>'LUC-2012-08-10-Run1'!AO43</f>
        <v>3.8463636363636369E-3</v>
      </c>
      <c r="N36" s="53">
        <f>'LUC-2012-08-10-Run1'!AP43</f>
        <v>3.8936363636363643E-3</v>
      </c>
      <c r="O36" s="53">
        <f>'LUC-2012-08-10-Run1'!AQ43</f>
        <v>3.9409090909090913E-3</v>
      </c>
      <c r="P36" s="53">
        <f>'LUC-2012-08-10-Run1'!AR43</f>
        <v>3.9881818181818187E-3</v>
      </c>
      <c r="Q36" s="53">
        <f>'LUC-2012-08-10-Run1'!AS43</f>
        <v>4.0354545454545461E-3</v>
      </c>
      <c r="R36" s="53">
        <f>'LUC-2012-08-10-Run1'!AT43</f>
        <v>4.0827272727272735E-3</v>
      </c>
      <c r="S36" s="53">
        <f>'LUC-2012-08-10-Run1'!AU43</f>
        <v>4.1300000000000009E-3</v>
      </c>
      <c r="T36" s="53">
        <f>'LUC-2012-08-10-Run1'!AV43</f>
        <v>4.1579545454545463E-3</v>
      </c>
      <c r="U36" s="53">
        <f>'LUC-2012-08-10-Run1'!AW43</f>
        <v>4.1859090909090917E-3</v>
      </c>
      <c r="V36" s="53">
        <f>'LUC-2012-08-10-Run1'!AX43</f>
        <v>4.2138636363636371E-3</v>
      </c>
      <c r="W36" s="53">
        <f>'LUC-2012-08-10-Run1'!AY43</f>
        <v>4.2418181818181825E-3</v>
      </c>
      <c r="X36" s="53">
        <f>'LUC-2012-08-10-Run1'!AZ43</f>
        <v>4.269772727272728E-3</v>
      </c>
      <c r="Y36" s="53">
        <f>'LUC-2012-08-10-Run1'!BA43</f>
        <v>4.2977272727272734E-3</v>
      </c>
      <c r="Z36" s="53">
        <f>'LUC-2012-08-10-Run1'!BB43</f>
        <v>4.3256818181818188E-3</v>
      </c>
      <c r="AA36" s="53">
        <f>'LUC-2012-08-10-Run1'!BC43</f>
        <v>4.3536363636363642E-3</v>
      </c>
      <c r="AB36" s="53">
        <f>'LUC-2012-08-10-Run1'!BD43</f>
        <v>4.3815909090909096E-3</v>
      </c>
      <c r="AC36" s="53">
        <f>'LUC-2012-08-10-Run1'!BE43</f>
        <v>4.4095454545454551E-3</v>
      </c>
      <c r="AD36" s="53">
        <f>'LUC-2012-08-10-Run1'!BF43</f>
        <v>4.4375000000000005E-3</v>
      </c>
      <c r="AE36" s="53">
        <f>'LUC-2012-08-10-Run1'!BG43</f>
        <v>4.4654545454545459E-3</v>
      </c>
      <c r="AF36" s="53">
        <f>'LUC-2012-08-10-Run1'!BH43</f>
        <v>4.4934090909090913E-3</v>
      </c>
      <c r="AG36" s="53">
        <f>'LUC-2012-08-10-Run1'!BI43</f>
        <v>4.5213636363636367E-3</v>
      </c>
      <c r="AH36" s="53">
        <f>'LUC-2012-08-10-Run1'!BJ43</f>
        <v>4.5493181818181821E-3</v>
      </c>
      <c r="AI36" s="53">
        <f>'LUC-2012-08-10-Run1'!BK43</f>
        <v>4.5772727272727276E-3</v>
      </c>
      <c r="AJ36" s="53">
        <f>'LUC-2012-08-10-Run1'!BL43</f>
        <v>4.605227272727273E-3</v>
      </c>
      <c r="AK36" s="53">
        <f>'LUC-2012-08-10-Run1'!BM43</f>
        <v>4.6331818181818184E-3</v>
      </c>
      <c r="AL36" s="53">
        <f>'LUC-2012-08-10-Run1'!BN43</f>
        <v>4.6611363636363638E-3</v>
      </c>
      <c r="AM36" s="53">
        <f>'LUC-2012-08-10-Run1'!BO43</f>
        <v>4.6890909090909101E-3</v>
      </c>
      <c r="AN36" s="53">
        <f>'LUC-2012-08-10-Run1'!BP43</f>
        <v>4.7170454545454547E-3</v>
      </c>
      <c r="AO36" s="53">
        <f>'LUC-2012-08-10-Run1'!BQ43</f>
        <v>4.745000000000001E-3</v>
      </c>
      <c r="AP36" s="53">
        <f>'LUC-2012-08-10-Run1'!BR43</f>
        <v>4.7729545454545455E-3</v>
      </c>
      <c r="AQ36" s="53">
        <f>'LUC-2012-08-10-Run1'!BS43</f>
        <v>4.8009090909090918E-3</v>
      </c>
      <c r="AR36" s="53">
        <f>'LUC-2012-08-10-Run1'!BT43</f>
        <v>4.8288636363636372E-3</v>
      </c>
      <c r="AS36" s="53">
        <f>'LUC-2012-08-10-Run1'!BU43</f>
        <v>4.8568181818181826E-3</v>
      </c>
      <c r="AT36" s="53">
        <f>'LUC-2012-08-10-Run1'!BV43</f>
        <v>4.8847727272727281E-3</v>
      </c>
      <c r="AU36" s="53">
        <f>'LUC-2012-08-10-Run1'!BW43</f>
        <v>4.9127272727272735E-3</v>
      </c>
      <c r="AV36" s="53">
        <f>'LUC-2012-08-10-Run1'!BX43</f>
        <v>4.9406818181818189E-3</v>
      </c>
      <c r="AW36" s="53">
        <f>'LUC-2012-08-10-Run1'!BY43</f>
        <v>4.9686363636363643E-3</v>
      </c>
      <c r="AX36" s="53">
        <f>'LUC-2012-08-10-Run1'!BZ43</f>
        <v>4.9965909090909097E-3</v>
      </c>
      <c r="AY36" s="53">
        <f>'LUC-2012-08-10-Run1'!CA43</f>
        <v>5.0245454545454551E-3</v>
      </c>
      <c r="AZ36" s="53">
        <f>'LUC-2012-08-10-Run1'!CB43</f>
        <v>5.0525000000000006E-3</v>
      </c>
      <c r="BA36" s="53">
        <f>'LUC-2012-08-10-Run1'!CC43</f>
        <v>5.080454545454546E-3</v>
      </c>
      <c r="BB36" s="53">
        <f>'LUC-2012-08-10-Run1'!CD43</f>
        <v>5.1084090909090914E-3</v>
      </c>
      <c r="BC36" s="53">
        <f>'LUC-2012-08-10-Run1'!CE43</f>
        <v>5.1363636363636368E-3</v>
      </c>
      <c r="BD36" s="53">
        <f>'LUC-2012-08-10-Run1'!CF43</f>
        <v>5.1643181818181822E-3</v>
      </c>
      <c r="BE36" s="53">
        <f>'LUC-2012-08-10-Run1'!CG43</f>
        <v>5.1922727272727277E-3</v>
      </c>
      <c r="BF36" s="53">
        <f>'LUC-2012-08-10-Run1'!CH43</f>
        <v>5.2202272727272731E-3</v>
      </c>
      <c r="BG36" s="53">
        <f>'LUC-2012-08-10-Run1'!CI43</f>
        <v>5.2481818181818185E-3</v>
      </c>
      <c r="BH36" s="53">
        <f>'LUC-2012-08-10-Run1'!CJ43</f>
        <v>5.2761363636363639E-3</v>
      </c>
      <c r="BI36" s="53">
        <f>'LUC-2012-08-10-Run1'!CK43</f>
        <v>5.3040909090909093E-3</v>
      </c>
      <c r="BJ36" s="53">
        <f>'LUC-2012-08-10-Run1'!CL43</f>
        <v>5.3320454545454548E-3</v>
      </c>
      <c r="BK36" s="53">
        <f>'LUC-2012-08-10-Run1'!CM43</f>
        <v>5.3600000000000002E-3</v>
      </c>
      <c r="BM36" s="108"/>
      <c r="BN36" s="57" t="s">
        <v>111</v>
      </c>
      <c r="BO36" s="83">
        <f t="shared" si="23"/>
        <v>1.4251346260975675</v>
      </c>
      <c r="BP36" s="83">
        <f t="shared" si="24"/>
        <v>1.5535321113085923</v>
      </c>
      <c r="BQ36" s="83">
        <f t="shared" si="25"/>
        <v>1.6874313272180377</v>
      </c>
      <c r="BR36" s="83">
        <f t="shared" si="26"/>
        <v>1.8081835583066099</v>
      </c>
      <c r="BS36" s="83">
        <f t="shared" si="27"/>
        <v>1.9289357893951826</v>
      </c>
      <c r="BT36" s="83">
        <f t="shared" si="28"/>
        <v>2.0496880204837549</v>
      </c>
      <c r="BU36" s="83">
        <f t="shared" si="29"/>
        <v>2.1704402515723271</v>
      </c>
    </row>
    <row r="37" spans="1:75" x14ac:dyDescent="0.25">
      <c r="A37" s="56" t="s">
        <v>38</v>
      </c>
      <c r="B37" s="54" t="s">
        <v>111</v>
      </c>
      <c r="C37" s="56" t="s">
        <v>107</v>
      </c>
      <c r="D37" s="53">
        <f>'LUC-2012-08-10-Run1'!AF44</f>
        <v>1.4251346260975674E-3</v>
      </c>
      <c r="E37" s="53">
        <f>'LUC-2012-08-10-Run1'!AG44</f>
        <v>1.4394010133432368E-3</v>
      </c>
      <c r="F37" s="53">
        <f>'LUC-2012-08-10-Run1'!AH44</f>
        <v>1.4536674005889063E-3</v>
      </c>
      <c r="G37" s="53">
        <f>'LUC-2012-08-10-Run1'!AI44</f>
        <v>1.4679337878345756E-3</v>
      </c>
      <c r="H37" s="53">
        <f>'LUC-2012-08-10-Run1'!AJ44</f>
        <v>1.4822001750802451E-3</v>
      </c>
      <c r="I37" s="53">
        <f>'LUC-2012-08-10-Run1'!AK44</f>
        <v>1.4964665623259145E-3</v>
      </c>
      <c r="J37" s="53">
        <f>'LUC-2012-08-10-Run1'!AL44</f>
        <v>1.510732949571584E-3</v>
      </c>
      <c r="K37" s="53">
        <f>'LUC-2012-08-10-Run1'!AM44</f>
        <v>1.5249993368172533E-3</v>
      </c>
      <c r="L37" s="53">
        <f>'LUC-2012-08-10-Run1'!AN44</f>
        <v>1.5392657240629226E-3</v>
      </c>
      <c r="M37" s="53">
        <f>'LUC-2012-08-10-Run1'!AO44</f>
        <v>1.5535321113085922E-3</v>
      </c>
      <c r="N37" s="53">
        <f>'LUC-2012-08-10-Run1'!AP44</f>
        <v>1.5677984985542617E-3</v>
      </c>
      <c r="O37" s="53">
        <f>'LUC-2012-08-10-Run1'!AQ44</f>
        <v>1.582064885799931E-3</v>
      </c>
      <c r="P37" s="53">
        <f>'LUC-2012-08-10-Run1'!AR44</f>
        <v>1.5963312730456003E-3</v>
      </c>
      <c r="Q37" s="53">
        <f>'LUC-2012-08-10-Run1'!AS44</f>
        <v>1.6105976602912699E-3</v>
      </c>
      <c r="R37" s="53">
        <f>'LUC-2012-08-10-Run1'!AT44</f>
        <v>1.6248640475369394E-3</v>
      </c>
      <c r="S37" s="53">
        <f>'LUC-2012-08-10-Run1'!AU44</f>
        <v>1.6391304347826087E-3</v>
      </c>
      <c r="T37" s="53">
        <f>'LUC-2012-08-10-Run1'!AV44</f>
        <v>1.6512056578914659E-3</v>
      </c>
      <c r="U37" s="53">
        <f>'LUC-2012-08-10-Run1'!AW44</f>
        <v>1.6632808810003231E-3</v>
      </c>
      <c r="V37" s="53">
        <f>'LUC-2012-08-10-Run1'!AX44</f>
        <v>1.6753561041091805E-3</v>
      </c>
      <c r="W37" s="53">
        <f>'LUC-2012-08-10-Run1'!AY44</f>
        <v>1.6874313272180377E-3</v>
      </c>
      <c r="X37" s="53">
        <f>'LUC-2012-08-10-Run1'!AZ44</f>
        <v>1.6995065503268949E-3</v>
      </c>
      <c r="Y37" s="53">
        <f>'LUC-2012-08-10-Run1'!BA44</f>
        <v>1.7115817734357521E-3</v>
      </c>
      <c r="Z37" s="53">
        <f>'LUC-2012-08-10-Run1'!BB44</f>
        <v>1.7236569965446095E-3</v>
      </c>
      <c r="AA37" s="53">
        <f>'LUC-2012-08-10-Run1'!BC44</f>
        <v>1.7357322196534667E-3</v>
      </c>
      <c r="AB37" s="53">
        <f>'LUC-2012-08-10-Run1'!BD44</f>
        <v>1.7478074427623239E-3</v>
      </c>
      <c r="AC37" s="53">
        <f>'LUC-2012-08-10-Run1'!BE44</f>
        <v>1.759882665871181E-3</v>
      </c>
      <c r="AD37" s="53">
        <f>'LUC-2012-08-10-Run1'!BF44</f>
        <v>1.7719578889800382E-3</v>
      </c>
      <c r="AE37" s="53">
        <f>'LUC-2012-08-10-Run1'!BG44</f>
        <v>1.7840331120888956E-3</v>
      </c>
      <c r="AF37" s="53">
        <f>'LUC-2012-08-10-Run1'!BH44</f>
        <v>1.7961083351977528E-3</v>
      </c>
      <c r="AG37" s="53">
        <f>'LUC-2012-08-10-Run1'!BI44</f>
        <v>1.80818355830661E-3</v>
      </c>
      <c r="AH37" s="53">
        <f>'LUC-2012-08-10-Run1'!BJ44</f>
        <v>1.8202587814154672E-3</v>
      </c>
      <c r="AI37" s="53">
        <f>'LUC-2012-08-10-Run1'!BK44</f>
        <v>1.8323340045243246E-3</v>
      </c>
      <c r="AJ37" s="53">
        <f>'LUC-2012-08-10-Run1'!BL44</f>
        <v>1.8444092276331818E-3</v>
      </c>
      <c r="AK37" s="53">
        <f>'LUC-2012-08-10-Run1'!BM44</f>
        <v>1.856484450742039E-3</v>
      </c>
      <c r="AL37" s="53">
        <f>'LUC-2012-08-10-Run1'!BN44</f>
        <v>1.8685596738508962E-3</v>
      </c>
      <c r="AM37" s="53">
        <f>'LUC-2012-08-10-Run1'!BO44</f>
        <v>1.8806348969597534E-3</v>
      </c>
      <c r="AN37" s="53">
        <f>'LUC-2012-08-10-Run1'!BP44</f>
        <v>1.8927101200686108E-3</v>
      </c>
      <c r="AO37" s="53">
        <f>'LUC-2012-08-10-Run1'!BQ44</f>
        <v>1.904785343177468E-3</v>
      </c>
      <c r="AP37" s="53">
        <f>'LUC-2012-08-10-Run1'!BR44</f>
        <v>1.9168605662863252E-3</v>
      </c>
      <c r="AQ37" s="53">
        <f>'LUC-2012-08-10-Run1'!BS44</f>
        <v>1.9289357893951826E-3</v>
      </c>
      <c r="AR37" s="53">
        <f>'LUC-2012-08-10-Run1'!BT44</f>
        <v>1.9410110125040398E-3</v>
      </c>
      <c r="AS37" s="53">
        <f>'LUC-2012-08-10-Run1'!BU44</f>
        <v>1.953086235612897E-3</v>
      </c>
      <c r="AT37" s="53">
        <f>'LUC-2012-08-10-Run1'!BV44</f>
        <v>1.9651614587217541E-3</v>
      </c>
      <c r="AU37" s="53">
        <f>'LUC-2012-08-10-Run1'!BW44</f>
        <v>1.9772366818306113E-3</v>
      </c>
      <c r="AV37" s="53">
        <f>'LUC-2012-08-10-Run1'!BX44</f>
        <v>1.9893119049394685E-3</v>
      </c>
      <c r="AW37" s="53">
        <f>'LUC-2012-08-10-Run1'!BY44</f>
        <v>2.0013871280483257E-3</v>
      </c>
      <c r="AX37" s="53">
        <f>'LUC-2012-08-10-Run1'!BZ44</f>
        <v>2.0134623511571829E-3</v>
      </c>
      <c r="AY37" s="53">
        <f>'LUC-2012-08-10-Run1'!CA44</f>
        <v>2.0255375742660405E-3</v>
      </c>
      <c r="AZ37" s="53">
        <f>'LUC-2012-08-10-Run1'!CB44</f>
        <v>2.0376127973748977E-3</v>
      </c>
      <c r="BA37" s="53">
        <f>'LUC-2012-08-10-Run1'!CC44</f>
        <v>2.0496880204837549E-3</v>
      </c>
      <c r="BB37" s="53">
        <f>'LUC-2012-08-10-Run1'!CD44</f>
        <v>2.0617632435926121E-3</v>
      </c>
      <c r="BC37" s="53">
        <f>'LUC-2012-08-10-Run1'!CE44</f>
        <v>2.0738384667014693E-3</v>
      </c>
      <c r="BD37" s="53">
        <f>'LUC-2012-08-10-Run1'!CF44</f>
        <v>2.0859136898103265E-3</v>
      </c>
      <c r="BE37" s="53">
        <f>'LUC-2012-08-10-Run1'!CG44</f>
        <v>2.0979889129191837E-3</v>
      </c>
      <c r="BF37" s="53">
        <f>'LUC-2012-08-10-Run1'!CH44</f>
        <v>2.1100641360280409E-3</v>
      </c>
      <c r="BG37" s="53">
        <f>'LUC-2012-08-10-Run1'!CI44</f>
        <v>2.1221393591368985E-3</v>
      </c>
      <c r="BH37" s="53">
        <f>'LUC-2012-08-10-Run1'!CJ44</f>
        <v>2.1342145822457557E-3</v>
      </c>
      <c r="BI37" s="53">
        <f>'LUC-2012-08-10-Run1'!CK44</f>
        <v>2.1462898053546129E-3</v>
      </c>
      <c r="BJ37" s="53">
        <f>'LUC-2012-08-10-Run1'!CL44</f>
        <v>2.1583650284634701E-3</v>
      </c>
      <c r="BK37" s="53">
        <f>'LUC-2012-08-10-Run1'!CM44</f>
        <v>2.1704402515723272E-3</v>
      </c>
      <c r="BM37" s="108"/>
      <c r="BN37" s="57" t="s">
        <v>102</v>
      </c>
      <c r="BO37" s="83">
        <f t="shared" si="23"/>
        <v>1.6577549140049139</v>
      </c>
      <c r="BP37" s="83">
        <f t="shared" si="24"/>
        <v>1.8618857493857495</v>
      </c>
      <c r="BQ37" s="83">
        <f t="shared" si="25"/>
        <v>2.0799754299754296</v>
      </c>
      <c r="BR37" s="83">
        <f t="shared" si="26"/>
        <v>2.2849815724815721</v>
      </c>
      <c r="BS37" s="83">
        <f t="shared" si="27"/>
        <v>2.489987714987715</v>
      </c>
      <c r="BT37" s="83">
        <f t="shared" si="28"/>
        <v>2.6949938574938574</v>
      </c>
      <c r="BU37" s="83">
        <f t="shared" si="29"/>
        <v>2.9</v>
      </c>
    </row>
    <row r="38" spans="1:75" x14ac:dyDescent="0.25">
      <c r="A38" s="56" t="s">
        <v>38</v>
      </c>
      <c r="B38" s="54" t="s">
        <v>102</v>
      </c>
      <c r="C38" s="56" t="s">
        <v>107</v>
      </c>
      <c r="D38" s="53">
        <f>'LUC-2012-08-10-Run1'!AF45</f>
        <v>1.6577549140049139E-3</v>
      </c>
      <c r="E38" s="53">
        <f>'LUC-2012-08-10-Run1'!AG45</f>
        <v>1.6804361179361179E-3</v>
      </c>
      <c r="F38" s="53">
        <f>'LUC-2012-08-10-Run1'!AH45</f>
        <v>1.7031173218673219E-3</v>
      </c>
      <c r="G38" s="53">
        <f>'LUC-2012-08-10-Run1'!AI45</f>
        <v>1.7257985257985258E-3</v>
      </c>
      <c r="H38" s="53">
        <f>'LUC-2012-08-10-Run1'!AJ45</f>
        <v>1.7484797297297296E-3</v>
      </c>
      <c r="I38" s="53">
        <f>'LUC-2012-08-10-Run1'!AK45</f>
        <v>1.7711609336609336E-3</v>
      </c>
      <c r="J38" s="53">
        <f>'LUC-2012-08-10-Run1'!AL45</f>
        <v>1.7938421375921377E-3</v>
      </c>
      <c r="K38" s="53">
        <f>'LUC-2012-08-10-Run1'!AM45</f>
        <v>1.8165233415233415E-3</v>
      </c>
      <c r="L38" s="53">
        <f>'LUC-2012-08-10-Run1'!AN45</f>
        <v>1.8392045454545453E-3</v>
      </c>
      <c r="M38" s="53">
        <f>'LUC-2012-08-10-Run1'!AO45</f>
        <v>1.8618857493857494E-3</v>
      </c>
      <c r="N38" s="53">
        <f>'LUC-2012-08-10-Run1'!AP45</f>
        <v>1.8845669533169532E-3</v>
      </c>
      <c r="O38" s="53">
        <f>'LUC-2012-08-10-Run1'!AQ45</f>
        <v>1.907248157248157E-3</v>
      </c>
      <c r="P38" s="53">
        <f>'LUC-2012-08-10-Run1'!AR45</f>
        <v>1.9299293611793611E-3</v>
      </c>
      <c r="Q38" s="53">
        <f>'LUC-2012-08-10-Run1'!AS45</f>
        <v>1.9526105651105651E-3</v>
      </c>
      <c r="R38" s="53">
        <f>'LUC-2012-08-10-Run1'!AT45</f>
        <v>1.9752917690417692E-3</v>
      </c>
      <c r="S38" s="53">
        <f>'LUC-2012-08-10-Run1'!AU45</f>
        <v>1.9979729729729728E-3</v>
      </c>
      <c r="T38" s="53">
        <f>'LUC-2012-08-10-Run1'!AV45</f>
        <v>2.0184735872235873E-3</v>
      </c>
      <c r="U38" s="53">
        <f>'LUC-2012-08-10-Run1'!AW45</f>
        <v>2.0389742014742013E-3</v>
      </c>
      <c r="V38" s="53">
        <f>'LUC-2012-08-10-Run1'!AX45</f>
        <v>2.0594748157248153E-3</v>
      </c>
      <c r="W38" s="53">
        <f>'LUC-2012-08-10-Run1'!AY45</f>
        <v>2.0799754299754298E-3</v>
      </c>
      <c r="X38" s="53">
        <f>'LUC-2012-08-10-Run1'!AZ45</f>
        <v>2.1004760442260443E-3</v>
      </c>
      <c r="Y38" s="53">
        <f>'LUC-2012-08-10-Run1'!BA45</f>
        <v>2.1209766584766583E-3</v>
      </c>
      <c r="Z38" s="53">
        <f>'LUC-2012-08-10-Run1'!BB45</f>
        <v>2.1414772727272723E-3</v>
      </c>
      <c r="AA38" s="53">
        <f>'LUC-2012-08-10-Run1'!BC45</f>
        <v>2.1619778869778868E-3</v>
      </c>
      <c r="AB38" s="53">
        <f>'LUC-2012-08-10-Run1'!BD45</f>
        <v>2.1824785012285013E-3</v>
      </c>
      <c r="AC38" s="53">
        <f>'LUC-2012-08-10-Run1'!BE45</f>
        <v>2.2029791154791153E-3</v>
      </c>
      <c r="AD38" s="53">
        <f>'LUC-2012-08-10-Run1'!BF45</f>
        <v>2.2234797297297293E-3</v>
      </c>
      <c r="AE38" s="53">
        <f>'LUC-2012-08-10-Run1'!BG45</f>
        <v>2.2439803439803438E-3</v>
      </c>
      <c r="AF38" s="53">
        <f>'LUC-2012-08-10-Run1'!BH45</f>
        <v>2.2644809582309583E-3</v>
      </c>
      <c r="AG38" s="53">
        <f>'LUC-2012-08-10-Run1'!BI45</f>
        <v>2.2849815724815723E-3</v>
      </c>
      <c r="AH38" s="53">
        <f>'LUC-2012-08-10-Run1'!BJ45</f>
        <v>2.3054821867321863E-3</v>
      </c>
      <c r="AI38" s="53">
        <f>'LUC-2012-08-10-Run1'!BK45</f>
        <v>2.3259828009828008E-3</v>
      </c>
      <c r="AJ38" s="53">
        <f>'LUC-2012-08-10-Run1'!BL45</f>
        <v>2.3464834152334153E-3</v>
      </c>
      <c r="AK38" s="53">
        <f>'LUC-2012-08-10-Run1'!BM45</f>
        <v>2.3669840294840293E-3</v>
      </c>
      <c r="AL38" s="53">
        <f>'LUC-2012-08-10-Run1'!BN45</f>
        <v>2.3874846437346433E-3</v>
      </c>
      <c r="AM38" s="53">
        <f>'LUC-2012-08-10-Run1'!BO45</f>
        <v>2.4079852579852578E-3</v>
      </c>
      <c r="AN38" s="53">
        <f>'LUC-2012-08-10-Run1'!BP45</f>
        <v>2.4284858722358723E-3</v>
      </c>
      <c r="AO38" s="53">
        <f>'LUC-2012-08-10-Run1'!BQ45</f>
        <v>2.4489864864864863E-3</v>
      </c>
      <c r="AP38" s="53">
        <f>'LUC-2012-08-10-Run1'!BR45</f>
        <v>2.4694871007371003E-3</v>
      </c>
      <c r="AQ38" s="53">
        <f>'LUC-2012-08-10-Run1'!BS45</f>
        <v>2.4899877149877148E-3</v>
      </c>
      <c r="AR38" s="53">
        <f>'LUC-2012-08-10-Run1'!BT45</f>
        <v>2.5104883292383293E-3</v>
      </c>
      <c r="AS38" s="53">
        <f>'LUC-2012-08-10-Run1'!BU45</f>
        <v>2.5309889434889433E-3</v>
      </c>
      <c r="AT38" s="53">
        <f>'LUC-2012-08-10-Run1'!BV45</f>
        <v>2.5514895577395573E-3</v>
      </c>
      <c r="AU38" s="53">
        <f>'LUC-2012-08-10-Run1'!BW45</f>
        <v>2.5719901719901718E-3</v>
      </c>
      <c r="AV38" s="53">
        <f>'LUC-2012-08-10-Run1'!BX45</f>
        <v>2.5924907862407863E-3</v>
      </c>
      <c r="AW38" s="53">
        <f>'LUC-2012-08-10-Run1'!BY45</f>
        <v>2.6129914004914003E-3</v>
      </c>
      <c r="AX38" s="53">
        <f>'LUC-2012-08-10-Run1'!BZ45</f>
        <v>2.6334920147420143E-3</v>
      </c>
      <c r="AY38" s="53">
        <f>'LUC-2012-08-10-Run1'!CA45</f>
        <v>2.6539926289926288E-3</v>
      </c>
      <c r="AZ38" s="53">
        <f>'LUC-2012-08-10-Run1'!CB45</f>
        <v>2.6744932432432433E-3</v>
      </c>
      <c r="BA38" s="53">
        <f>'LUC-2012-08-10-Run1'!CC45</f>
        <v>2.6949938574938573E-3</v>
      </c>
      <c r="BB38" s="53">
        <f>'LUC-2012-08-10-Run1'!CD45</f>
        <v>2.7154944717444713E-3</v>
      </c>
      <c r="BC38" s="53">
        <f>'LUC-2012-08-10-Run1'!CE45</f>
        <v>2.7359950859950858E-3</v>
      </c>
      <c r="BD38" s="53">
        <f>'LUC-2012-08-10-Run1'!CF45</f>
        <v>2.7564957002457003E-3</v>
      </c>
      <c r="BE38" s="53">
        <f>'LUC-2012-08-10-Run1'!CG45</f>
        <v>2.7769963144963143E-3</v>
      </c>
      <c r="BF38" s="53">
        <f>'LUC-2012-08-10-Run1'!CH45</f>
        <v>2.7974969287469283E-3</v>
      </c>
      <c r="BG38" s="53">
        <f>'LUC-2012-08-10-Run1'!CI45</f>
        <v>2.8179975429975428E-3</v>
      </c>
      <c r="BH38" s="53">
        <f>'LUC-2012-08-10-Run1'!CJ45</f>
        <v>2.8384981572481573E-3</v>
      </c>
      <c r="BI38" s="53">
        <f>'LUC-2012-08-10-Run1'!CK45</f>
        <v>2.8589987714987713E-3</v>
      </c>
      <c r="BJ38" s="53">
        <f>'LUC-2012-08-10-Run1'!CL45</f>
        <v>2.8794993857493853E-3</v>
      </c>
      <c r="BK38" s="53">
        <f>'LUC-2012-08-10-Run1'!CM45</f>
        <v>2.8999999999999998E-3</v>
      </c>
      <c r="BM38" s="108"/>
      <c r="BN38" s="57" t="s">
        <v>103</v>
      </c>
      <c r="BO38" s="67">
        <f t="shared" si="23"/>
        <v>61.52272727272728</v>
      </c>
      <c r="BP38" s="67">
        <f t="shared" si="24"/>
        <v>65.409090909090921</v>
      </c>
      <c r="BQ38" s="67">
        <f t="shared" si="25"/>
        <v>71.27272727272728</v>
      </c>
      <c r="BR38" s="67">
        <f t="shared" si="26"/>
        <v>79.454545454545453</v>
      </c>
      <c r="BS38" s="67">
        <f t="shared" si="27"/>
        <v>87.63636363636364</v>
      </c>
      <c r="BT38" s="67">
        <f t="shared" si="28"/>
        <v>95.818181818181813</v>
      </c>
      <c r="BU38" s="67">
        <f t="shared" si="29"/>
        <v>104</v>
      </c>
    </row>
    <row r="39" spans="1:75" x14ac:dyDescent="0.25">
      <c r="A39" s="56" t="s">
        <v>38</v>
      </c>
      <c r="B39" s="54" t="s">
        <v>103</v>
      </c>
      <c r="C39" s="56" t="s">
        <v>107</v>
      </c>
      <c r="D39" s="53">
        <f>'LUC-2012-08-10-Run1'!AF46</f>
        <v>6.1522727272727278E-2</v>
      </c>
      <c r="E39" s="53">
        <f>'LUC-2012-08-10-Run1'!AG46</f>
        <v>6.1954545454545457E-2</v>
      </c>
      <c r="F39" s="53">
        <f>'LUC-2012-08-10-Run1'!AH46</f>
        <v>6.2386363636363643E-2</v>
      </c>
      <c r="G39" s="53">
        <f>'LUC-2012-08-10-Run1'!AI46</f>
        <v>6.2818181818181829E-2</v>
      </c>
      <c r="H39" s="53">
        <f>'LUC-2012-08-10-Run1'!AJ46</f>
        <v>6.3250000000000001E-2</v>
      </c>
      <c r="I39" s="53">
        <f>'LUC-2012-08-10-Run1'!AK46</f>
        <v>6.3681818181818187E-2</v>
      </c>
      <c r="J39" s="53">
        <f>'LUC-2012-08-10-Run1'!AL46</f>
        <v>6.4113636363636373E-2</v>
      </c>
      <c r="K39" s="53">
        <f>'LUC-2012-08-10-Run1'!AM46</f>
        <v>6.4545454545454545E-2</v>
      </c>
      <c r="L39" s="53">
        <f>'LUC-2012-08-10-Run1'!AN46</f>
        <v>6.4977272727272731E-2</v>
      </c>
      <c r="M39" s="53">
        <f>'LUC-2012-08-10-Run1'!AO46</f>
        <v>6.5409090909090917E-2</v>
      </c>
      <c r="N39" s="53">
        <f>'LUC-2012-08-10-Run1'!AP46</f>
        <v>6.5840909090909089E-2</v>
      </c>
      <c r="O39" s="53">
        <f>'LUC-2012-08-10-Run1'!AQ46</f>
        <v>6.6272727272727275E-2</v>
      </c>
      <c r="P39" s="53">
        <f>'LUC-2012-08-10-Run1'!AR46</f>
        <v>6.6704545454545461E-2</v>
      </c>
      <c r="Q39" s="53">
        <f>'LUC-2012-08-10-Run1'!AS46</f>
        <v>6.7136363636363633E-2</v>
      </c>
      <c r="R39" s="53">
        <f>'LUC-2012-08-10-Run1'!AT46</f>
        <v>6.7568181818181819E-2</v>
      </c>
      <c r="S39" s="53">
        <f>'LUC-2012-08-10-Run1'!AU46</f>
        <v>6.8000000000000005E-2</v>
      </c>
      <c r="T39" s="53">
        <f>'LUC-2012-08-10-Run1'!AV46</f>
        <v>6.881818181818182E-2</v>
      </c>
      <c r="U39" s="53">
        <f>'LUC-2012-08-10-Run1'!AW46</f>
        <v>6.9636363636363635E-2</v>
      </c>
      <c r="V39" s="53">
        <f>'LUC-2012-08-10-Run1'!AX46</f>
        <v>7.0454545454545464E-2</v>
      </c>
      <c r="W39" s="53">
        <f>'LUC-2012-08-10-Run1'!AY46</f>
        <v>7.1272727272727279E-2</v>
      </c>
      <c r="X39" s="53">
        <f>'LUC-2012-08-10-Run1'!AZ46</f>
        <v>7.2090909090909094E-2</v>
      </c>
      <c r="Y39" s="53">
        <f>'LUC-2012-08-10-Run1'!BA46</f>
        <v>7.290909090909091E-2</v>
      </c>
      <c r="Z39" s="53">
        <f>'LUC-2012-08-10-Run1'!BB46</f>
        <v>7.3727272727272725E-2</v>
      </c>
      <c r="AA39" s="53">
        <f>'LUC-2012-08-10-Run1'!BC46</f>
        <v>7.4545454545454554E-2</v>
      </c>
      <c r="AB39" s="53">
        <f>'LUC-2012-08-10-Run1'!BD46</f>
        <v>7.5363636363636369E-2</v>
      </c>
      <c r="AC39" s="53">
        <f>'LUC-2012-08-10-Run1'!BE46</f>
        <v>7.6181818181818184E-2</v>
      </c>
      <c r="AD39" s="53">
        <f>'LUC-2012-08-10-Run1'!BF46</f>
        <v>7.6999999999999999E-2</v>
      </c>
      <c r="AE39" s="53">
        <f>'LUC-2012-08-10-Run1'!BG46</f>
        <v>7.7818181818181814E-2</v>
      </c>
      <c r="AF39" s="53">
        <f>'LUC-2012-08-10-Run1'!BH46</f>
        <v>7.8636363636363643E-2</v>
      </c>
      <c r="AG39" s="53">
        <f>'LUC-2012-08-10-Run1'!BI46</f>
        <v>7.9454545454545458E-2</v>
      </c>
      <c r="AH39" s="53">
        <f>'LUC-2012-08-10-Run1'!BJ46</f>
        <v>8.0272727272727273E-2</v>
      </c>
      <c r="AI39" s="53">
        <f>'LUC-2012-08-10-Run1'!BK46</f>
        <v>8.1090909090909088E-2</v>
      </c>
      <c r="AJ39" s="53">
        <f>'LUC-2012-08-10-Run1'!BL46</f>
        <v>8.1909090909090904E-2</v>
      </c>
      <c r="AK39" s="53">
        <f>'LUC-2012-08-10-Run1'!BM46</f>
        <v>8.2727272727272733E-2</v>
      </c>
      <c r="AL39" s="53">
        <f>'LUC-2012-08-10-Run1'!BN46</f>
        <v>8.3545454545454548E-2</v>
      </c>
      <c r="AM39" s="53">
        <f>'LUC-2012-08-10-Run1'!BO46</f>
        <v>8.4363636363636363E-2</v>
      </c>
      <c r="AN39" s="53">
        <f>'LUC-2012-08-10-Run1'!BP46</f>
        <v>8.5181818181818178E-2</v>
      </c>
      <c r="AO39" s="53">
        <f>'LUC-2012-08-10-Run1'!BQ46</f>
        <v>8.5999999999999993E-2</v>
      </c>
      <c r="AP39" s="53">
        <f>'LUC-2012-08-10-Run1'!BR46</f>
        <v>8.6818181818181822E-2</v>
      </c>
      <c r="AQ39" s="53">
        <f>'LUC-2012-08-10-Run1'!BS46</f>
        <v>8.7636363636363637E-2</v>
      </c>
      <c r="AR39" s="53">
        <f>'LUC-2012-08-10-Run1'!BT46</f>
        <v>8.8454545454545452E-2</v>
      </c>
      <c r="AS39" s="53">
        <f>'LUC-2012-08-10-Run1'!BU46</f>
        <v>8.9272727272727267E-2</v>
      </c>
      <c r="AT39" s="53">
        <f>'LUC-2012-08-10-Run1'!BV46</f>
        <v>9.0090909090909083E-2</v>
      </c>
      <c r="AU39" s="53">
        <f>'LUC-2012-08-10-Run1'!BW46</f>
        <v>9.0909090909090912E-2</v>
      </c>
      <c r="AV39" s="53">
        <f>'LUC-2012-08-10-Run1'!BX46</f>
        <v>9.1727272727272727E-2</v>
      </c>
      <c r="AW39" s="53">
        <f>'LUC-2012-08-10-Run1'!BY46</f>
        <v>9.2545454545454542E-2</v>
      </c>
      <c r="AX39" s="53">
        <f>'LUC-2012-08-10-Run1'!BZ46</f>
        <v>9.3363636363636357E-2</v>
      </c>
      <c r="AY39" s="53">
        <f>'LUC-2012-08-10-Run1'!CA46</f>
        <v>9.4181818181818172E-2</v>
      </c>
      <c r="AZ39" s="53">
        <f>'LUC-2012-08-10-Run1'!CB46</f>
        <v>9.5000000000000001E-2</v>
      </c>
      <c r="BA39" s="53">
        <f>'LUC-2012-08-10-Run1'!CC46</f>
        <v>9.5818181818181816E-2</v>
      </c>
      <c r="BB39" s="53">
        <f>'LUC-2012-08-10-Run1'!CD46</f>
        <v>9.6636363636363631E-2</v>
      </c>
      <c r="BC39" s="53">
        <f>'LUC-2012-08-10-Run1'!CE46</f>
        <v>9.7454545454545446E-2</v>
      </c>
      <c r="BD39" s="53">
        <f>'LUC-2012-08-10-Run1'!CF46</f>
        <v>9.8272727272727262E-2</v>
      </c>
      <c r="BE39" s="53">
        <f>'LUC-2012-08-10-Run1'!CG46</f>
        <v>9.9090909090909091E-2</v>
      </c>
      <c r="BF39" s="53">
        <f>'LUC-2012-08-10-Run1'!CH46</f>
        <v>9.9909090909090906E-2</v>
      </c>
      <c r="BG39" s="53">
        <f>'LUC-2012-08-10-Run1'!CI46</f>
        <v>0.10072727272727272</v>
      </c>
      <c r="BH39" s="53">
        <f>'LUC-2012-08-10-Run1'!CJ46</f>
        <v>0.10154545454545455</v>
      </c>
      <c r="BI39" s="53">
        <f>'LUC-2012-08-10-Run1'!CK46</f>
        <v>0.10236363636363635</v>
      </c>
      <c r="BJ39" s="53">
        <f>'LUC-2012-08-10-Run1'!CL46</f>
        <v>0.10318181818181818</v>
      </c>
      <c r="BK39" s="53">
        <f>'LUC-2012-08-10-Run1'!CM46</f>
        <v>0.104</v>
      </c>
      <c r="BM39" s="109"/>
      <c r="BN39" s="58" t="s">
        <v>104</v>
      </c>
      <c r="BO39" s="84">
        <f t="shared" si="23"/>
        <v>0.86618671127481961</v>
      </c>
      <c r="BP39" s="84">
        <f t="shared" si="24"/>
        <v>0.9303922102831238</v>
      </c>
      <c r="BQ39" s="84">
        <f t="shared" si="25"/>
        <v>1.043298969072165</v>
      </c>
      <c r="BR39" s="84">
        <f t="shared" si="26"/>
        <v>1.2185567010309277</v>
      </c>
      <c r="BS39" s="84">
        <f t="shared" si="27"/>
        <v>1.3938144329896907</v>
      </c>
      <c r="BT39" s="84">
        <f t="shared" si="28"/>
        <v>1.5690721649484536</v>
      </c>
      <c r="BU39" s="84">
        <f t="shared" si="29"/>
        <v>1.7443298969072165</v>
      </c>
    </row>
    <row r="40" spans="1:75" x14ac:dyDescent="0.25">
      <c r="A40" s="56" t="s">
        <v>38</v>
      </c>
      <c r="B40" s="54" t="s">
        <v>104</v>
      </c>
      <c r="C40" s="56" t="s">
        <v>107</v>
      </c>
      <c r="D40" s="53">
        <f>'LUC-2012-08-10-Run1'!AF50</f>
        <v>8.6618671127481966E-4</v>
      </c>
      <c r="E40" s="53">
        <f>'LUC-2012-08-10-Run1'!AG50</f>
        <v>8.7332065560907562E-4</v>
      </c>
      <c r="F40" s="53">
        <f>'LUC-2012-08-10-Run1'!AH50</f>
        <v>8.8045459994333169E-4</v>
      </c>
      <c r="G40" s="53">
        <f>'LUC-2012-08-10-Run1'!AI50</f>
        <v>8.8758854427758765E-4</v>
      </c>
      <c r="H40" s="53">
        <f>'LUC-2012-08-10-Run1'!AJ50</f>
        <v>8.9472248861184372E-4</v>
      </c>
      <c r="I40" s="53">
        <f>'LUC-2012-08-10-Run1'!AK50</f>
        <v>9.0185643294609969E-4</v>
      </c>
      <c r="J40" s="53">
        <f>'LUC-2012-08-10-Run1'!AL50</f>
        <v>9.0899037728035576E-4</v>
      </c>
      <c r="K40" s="53">
        <f>'LUC-2012-08-10-Run1'!AM50</f>
        <v>9.1612432161461172E-4</v>
      </c>
      <c r="L40" s="53">
        <f>'LUC-2012-08-10-Run1'!AN50</f>
        <v>9.2325826594886768E-4</v>
      </c>
      <c r="M40" s="53">
        <f>'LUC-2012-08-10-Run1'!AO50</f>
        <v>9.3039221028312375E-4</v>
      </c>
      <c r="N40" s="53">
        <f>'LUC-2012-08-10-Run1'!AP50</f>
        <v>9.3752615461737982E-4</v>
      </c>
      <c r="O40" s="53">
        <f>'LUC-2012-08-10-Run1'!AQ50</f>
        <v>9.4466009895163578E-4</v>
      </c>
      <c r="P40" s="53">
        <f>'LUC-2012-08-10-Run1'!AR50</f>
        <v>9.5179404328589175E-4</v>
      </c>
      <c r="Q40" s="53">
        <f>'LUC-2012-08-10-Run1'!AS50</f>
        <v>9.5892798762014782E-4</v>
      </c>
      <c r="R40" s="53">
        <f>'LUC-2012-08-10-Run1'!AT50</f>
        <v>9.6606193195440389E-4</v>
      </c>
      <c r="S40" s="53">
        <f>'LUC-2012-08-10-Run1'!AU50</f>
        <v>9.7319587628865985E-4</v>
      </c>
      <c r="T40" s="53">
        <f>'LUC-2012-08-10-Run1'!AV50</f>
        <v>9.9072164948453621E-4</v>
      </c>
      <c r="U40" s="53">
        <f>'LUC-2012-08-10-Run1'!AW50</f>
        <v>1.0082474226804125E-3</v>
      </c>
      <c r="V40" s="53">
        <f>'LUC-2012-08-10-Run1'!AX50</f>
        <v>1.0257731958762887E-3</v>
      </c>
      <c r="W40" s="53">
        <f>'LUC-2012-08-10-Run1'!AY50</f>
        <v>1.043298969072165E-3</v>
      </c>
      <c r="X40" s="53">
        <f>'LUC-2012-08-10-Run1'!AZ50</f>
        <v>1.0608247422680412E-3</v>
      </c>
      <c r="Y40" s="53">
        <f>'LUC-2012-08-10-Run1'!BA50</f>
        <v>1.0783505154639175E-3</v>
      </c>
      <c r="Z40" s="53">
        <f>'LUC-2012-08-10-Run1'!BB50</f>
        <v>1.095876288659794E-3</v>
      </c>
      <c r="AA40" s="53">
        <f>'LUC-2012-08-10-Run1'!BC50</f>
        <v>1.1134020618556702E-3</v>
      </c>
      <c r="AB40" s="53">
        <f>'LUC-2012-08-10-Run1'!BD50</f>
        <v>1.1309278350515465E-3</v>
      </c>
      <c r="AC40" s="53">
        <f>'LUC-2012-08-10-Run1'!BE50</f>
        <v>1.1484536082474227E-3</v>
      </c>
      <c r="AD40" s="53">
        <f>'LUC-2012-08-10-Run1'!BF50</f>
        <v>1.165979381443299E-3</v>
      </c>
      <c r="AE40" s="53">
        <f>'LUC-2012-08-10-Run1'!BG50</f>
        <v>1.1835051546391752E-3</v>
      </c>
      <c r="AF40" s="53">
        <f>'LUC-2012-08-10-Run1'!BH50</f>
        <v>1.2010309278350515E-3</v>
      </c>
      <c r="AG40" s="53">
        <f>'LUC-2012-08-10-Run1'!BI50</f>
        <v>1.2185567010309277E-3</v>
      </c>
      <c r="AH40" s="53">
        <f>'LUC-2012-08-10-Run1'!BJ50</f>
        <v>1.236082474226804E-3</v>
      </c>
      <c r="AI40" s="53">
        <f>'LUC-2012-08-10-Run1'!BK50</f>
        <v>1.2536082474226805E-3</v>
      </c>
      <c r="AJ40" s="53">
        <f>'LUC-2012-08-10-Run1'!BL50</f>
        <v>1.2711340206185567E-3</v>
      </c>
      <c r="AK40" s="53">
        <f>'LUC-2012-08-10-Run1'!BM50</f>
        <v>1.288659793814433E-3</v>
      </c>
      <c r="AL40" s="53">
        <f>'LUC-2012-08-10-Run1'!BN50</f>
        <v>1.3061855670103092E-3</v>
      </c>
      <c r="AM40" s="53">
        <f>'LUC-2012-08-10-Run1'!BO50</f>
        <v>1.3237113402061855E-3</v>
      </c>
      <c r="AN40" s="53">
        <f>'LUC-2012-08-10-Run1'!BP50</f>
        <v>1.3412371134020619E-3</v>
      </c>
      <c r="AO40" s="53">
        <f>'LUC-2012-08-10-Run1'!BQ50</f>
        <v>1.3587628865979382E-3</v>
      </c>
      <c r="AP40" s="53">
        <f>'LUC-2012-08-10-Run1'!BR50</f>
        <v>1.3762886597938145E-3</v>
      </c>
      <c r="AQ40" s="53">
        <f>'LUC-2012-08-10-Run1'!BS50</f>
        <v>1.3938144329896907E-3</v>
      </c>
      <c r="AR40" s="53">
        <f>'LUC-2012-08-10-Run1'!BT50</f>
        <v>1.411340206185567E-3</v>
      </c>
      <c r="AS40" s="53">
        <f>'LUC-2012-08-10-Run1'!BU50</f>
        <v>1.4288659793814432E-3</v>
      </c>
      <c r="AT40" s="53">
        <f>'LUC-2012-08-10-Run1'!BV50</f>
        <v>1.4463917525773195E-3</v>
      </c>
      <c r="AU40" s="53">
        <f>'LUC-2012-08-10-Run1'!BW50</f>
        <v>1.4639175257731957E-3</v>
      </c>
      <c r="AV40" s="53">
        <f>'LUC-2012-08-10-Run1'!BX50</f>
        <v>1.481443298969072E-3</v>
      </c>
      <c r="AW40" s="53">
        <f>'LUC-2012-08-10-Run1'!BY50</f>
        <v>1.4989690721649482E-3</v>
      </c>
      <c r="AX40" s="53">
        <f>'LUC-2012-08-10-Run1'!BZ50</f>
        <v>1.5164948453608247E-3</v>
      </c>
      <c r="AY40" s="53">
        <f>'LUC-2012-08-10-Run1'!CA50</f>
        <v>1.534020618556701E-3</v>
      </c>
      <c r="AZ40" s="53">
        <f>'LUC-2012-08-10-Run1'!CB50</f>
        <v>1.5515463917525772E-3</v>
      </c>
      <c r="BA40" s="53">
        <f>'LUC-2012-08-10-Run1'!CC50</f>
        <v>1.5690721649484537E-3</v>
      </c>
      <c r="BB40" s="53">
        <f>'LUC-2012-08-10-Run1'!CD50</f>
        <v>1.5865979381443299E-3</v>
      </c>
      <c r="BC40" s="53">
        <f>'LUC-2012-08-10-Run1'!CE50</f>
        <v>1.6041237113402062E-3</v>
      </c>
      <c r="BD40" s="53">
        <f>'LUC-2012-08-10-Run1'!CF50</f>
        <v>1.6216494845360824E-3</v>
      </c>
      <c r="BE40" s="53">
        <f>'LUC-2012-08-10-Run1'!CG50</f>
        <v>1.6391752577319587E-3</v>
      </c>
      <c r="BF40" s="53">
        <f>'LUC-2012-08-10-Run1'!CH50</f>
        <v>1.656701030927835E-3</v>
      </c>
      <c r="BG40" s="53">
        <f>'LUC-2012-08-10-Run1'!CI50</f>
        <v>1.6742268041237112E-3</v>
      </c>
      <c r="BH40" s="53">
        <f>'LUC-2012-08-10-Run1'!CJ50</f>
        <v>1.6917525773195875E-3</v>
      </c>
      <c r="BI40" s="53">
        <f>'LUC-2012-08-10-Run1'!CK50</f>
        <v>1.7092783505154637E-3</v>
      </c>
      <c r="BJ40" s="53">
        <f>'LUC-2012-08-10-Run1'!CL50</f>
        <v>1.72680412371134E-3</v>
      </c>
      <c r="BK40" s="53">
        <f>'LUC-2012-08-10-Run1'!CM50</f>
        <v>1.7443298969072164E-3</v>
      </c>
      <c r="BM40" s="54"/>
      <c r="BN40" s="56" t="s">
        <v>113</v>
      </c>
      <c r="BO40" s="51"/>
      <c r="BP40" s="51"/>
      <c r="BQ40" s="51"/>
      <c r="BR40" s="51"/>
      <c r="BS40" s="51"/>
      <c r="BT40" s="51"/>
      <c r="BU40" s="51"/>
    </row>
    <row r="41" spans="1:75" x14ac:dyDescent="0.25">
      <c r="BM41" s="61" t="s">
        <v>93</v>
      </c>
      <c r="BN41" s="61" t="s">
        <v>94</v>
      </c>
      <c r="BO41" s="61">
        <v>1991</v>
      </c>
      <c r="BP41" s="61">
        <v>2000</v>
      </c>
      <c r="BQ41" s="61">
        <v>2010</v>
      </c>
      <c r="BR41" s="61">
        <v>2020</v>
      </c>
      <c r="BS41" s="61">
        <v>2030</v>
      </c>
      <c r="BT41" s="61">
        <v>2040</v>
      </c>
      <c r="BU41" s="61">
        <v>2050</v>
      </c>
    </row>
    <row r="42" spans="1:75" x14ac:dyDescent="0.25">
      <c r="A42" s="54" t="s">
        <v>38</v>
      </c>
      <c r="B42" s="54" t="s">
        <v>105</v>
      </c>
      <c r="C42" s="54" t="s">
        <v>108</v>
      </c>
      <c r="D42" s="52">
        <f>'WAO Scenario Ag'!AF13</f>
        <v>264298.13384870189</v>
      </c>
      <c r="E42" s="52">
        <f>'WAO Scenario Ag'!AG13</f>
        <v>520633.93324715138</v>
      </c>
      <c r="F42" s="52">
        <f>'WAO Scenario Ag'!AH13</f>
        <v>769361.87263473251</v>
      </c>
      <c r="G42" s="52">
        <f>'WAO Scenario Ag'!AI13</f>
        <v>1010815.693040224</v>
      </c>
      <c r="H42" s="52">
        <f>'WAO Scenario Ag'!AJ13</f>
        <v>1245309.8961211501</v>
      </c>
      <c r="I42" s="52">
        <f>'WAO Scenario Ag'!AK13</f>
        <v>1473141.1108468894</v>
      </c>
      <c r="J42" s="52">
        <f>'WAO Scenario Ag'!AL13</f>
        <v>1694589.3453137057</v>
      </c>
      <c r="K42" s="52">
        <f>'WAO Scenario Ag'!AM13</f>
        <v>1909919.13479971</v>
      </c>
      <c r="L42" s="52">
        <f>'WAO Scenario Ag'!AN13</f>
        <v>2119380.5959568662</v>
      </c>
      <c r="M42" s="52">
        <f>'WAO Scenario Ag'!AO13</f>
        <v>2323210.3959727613</v>
      </c>
      <c r="N42" s="52">
        <f>'WAO Scenario Ag'!AP13</f>
        <v>2501128.3875601627</v>
      </c>
      <c r="O42" s="52">
        <f>'WAO Scenario Ag'!AQ13</f>
        <v>2992716.5447963728</v>
      </c>
      <c r="P42" s="52">
        <f>'WAO Scenario Ag'!AR13</f>
        <v>3870875.3137433636</v>
      </c>
      <c r="Q42" s="52">
        <f>'WAO Scenario Ag'!AS13</f>
        <v>4626359.6083531128</v>
      </c>
      <c r="R42" s="52">
        <f>'WAO Scenario Ag'!AT13</f>
        <v>5253285.8776954524</v>
      </c>
      <c r="S42" s="52">
        <f>'WAO Scenario Ag'!AU13</f>
        <v>6490042.973514053</v>
      </c>
      <c r="T42" s="52">
        <f>'WAO Scenario Ag'!AV13</f>
        <v>8626704.6787839495</v>
      </c>
      <c r="U42" s="52">
        <f>'WAO Scenario Ag'!AW13</f>
        <v>12139091.505161144</v>
      </c>
      <c r="V42" s="52">
        <f>'WAO Scenario Ag'!AX13</f>
        <v>13126471.001578134</v>
      </c>
      <c r="W42" s="52">
        <f>'WAO Scenario Ag'!AY13</f>
        <v>14105284.902994657</v>
      </c>
      <c r="X42" s="52">
        <f>'WAO Scenario Ag'!AZ13</f>
        <v>15075644.188851245</v>
      </c>
      <c r="Y42" s="52">
        <f>'WAO Scenario Ag'!BA13</f>
        <v>16037657.929637915</v>
      </c>
      <c r="Z42" s="52">
        <f>'WAO Scenario Ag'!BB13</f>
        <v>16991433.327763122</v>
      </c>
      <c r="AA42" s="52">
        <f>'WAO Scenario Ag'!BC13</f>
        <v>17937075.757377177</v>
      </c>
      <c r="AB42" s="52">
        <f>'WAO Scenario Ag'!BD13</f>
        <v>18874688.803181317</v>
      </c>
      <c r="AC42" s="52">
        <f>'WAO Scenario Ag'!BE13</f>
        <v>19804374.298252288</v>
      </c>
      <c r="AD42" s="52">
        <f>'WAO Scenario Ag'!BF13</f>
        <v>20726232.360911638</v>
      </c>
      <c r="AE42" s="52">
        <f>'WAO Scenario Ag'!BG13</f>
        <v>21640361.430667602</v>
      </c>
      <c r="AF42" s="52">
        <f>'WAO Scenario Ag'!BH13</f>
        <v>22546858.967190493</v>
      </c>
      <c r="AG42" s="52">
        <f>'WAO Scenario Ag'!BI13</f>
        <v>22453126.749261886</v>
      </c>
      <c r="AH42" s="52">
        <f>'WAO Scenario Ag'!BJ13</f>
        <v>22360170.635508824</v>
      </c>
      <c r="AI42" s="52">
        <f>'WAO Scenario Ag'!BK13</f>
        <v>22267981.026441887</v>
      </c>
      <c r="AJ42" s="52">
        <f>'WAO Scenario Ag'!BL13</f>
        <v>22176548.480234023</v>
      </c>
      <c r="AK42" s="52">
        <f>'WAO Scenario Ag'!BM13</f>
        <v>22085863.709497008</v>
      </c>
      <c r="AL42" s="52">
        <f>'WAO Scenario Ag'!BN13</f>
        <v>21995917.578136601</v>
      </c>
      <c r="AM42" s="52">
        <f>'WAO Scenario Ag'!BO13</f>
        <v>21906701.098284278</v>
      </c>
      <c r="AN42" s="52">
        <f>'WAO Scenario Ag'!BP13</f>
        <v>21818205.427303322</v>
      </c>
      <c r="AO42" s="52">
        <f>'WAO Scenario Ag'!BQ13</f>
        <v>21730421.86486721</v>
      </c>
      <c r="AP42" s="52">
        <f>'WAO Scenario Ag'!BR13</f>
        <v>21643341.85010818</v>
      </c>
      <c r="AQ42" s="52">
        <f>'WAO Scenario Ag'!BS13</f>
        <v>21556956.95883416</v>
      </c>
      <c r="AR42" s="52">
        <f>'WAO Scenario Ag'!BT13</f>
        <v>21471258.900812052</v>
      </c>
      <c r="AS42" s="52">
        <f>'WAO Scenario Ag'!BU13</f>
        <v>21386239.517115533</v>
      </c>
      <c r="AT42" s="52">
        <f>'WAO Scenario Ag'!BV13</f>
        <v>21301890.777535658</v>
      </c>
      <c r="AU42" s="52">
        <f>'WAO Scenario Ag'!BW13</f>
        <v>21218204.778052483</v>
      </c>
      <c r="AV42" s="52">
        <f>'WAO Scenario Ag'!BX13</f>
        <v>21135173.738366045</v>
      </c>
      <c r="AW42" s="52">
        <f>'WAO Scenario Ag'!BY13</f>
        <v>21052789.999485102</v>
      </c>
      <c r="AX42" s="52">
        <f>'WAO Scenario Ag'!BZ13</f>
        <v>20971046.021372028</v>
      </c>
      <c r="AY42" s="52">
        <f>'WAO Scenario Ag'!CA13</f>
        <v>20889934.380642388</v>
      </c>
      <c r="AZ42" s="52">
        <f>'WAO Scenario Ag'!CB13</f>
        <v>20809447.768317673</v>
      </c>
      <c r="BA42" s="52">
        <f>'WAO Scenario Ag'!CC13</f>
        <v>20729578.987629782</v>
      </c>
      <c r="BB42" s="52">
        <f>'WAO Scenario Ag'!CD13</f>
        <v>20650320.951875895</v>
      </c>
      <c r="BC42" s="52">
        <f>'WAO Scenario Ag'!CE13</f>
        <v>20571666.682322353</v>
      </c>
      <c r="BD42" s="52">
        <f>'WAO Scenario Ag'!CF13</f>
        <v>20493609.306156244</v>
      </c>
      <c r="BE42" s="52">
        <f>'WAO Scenario Ag'!CG13</f>
        <v>20416142.054483488</v>
      </c>
      <c r="BF42" s="52">
        <f>'WAO Scenario Ag'!CH13</f>
        <v>20339258.260372117</v>
      </c>
      <c r="BG42" s="52">
        <f>'WAO Scenario Ag'!CI13</f>
        <v>20262951.356939618</v>
      </c>
      <c r="BH42" s="52">
        <f>'WAO Scenario Ag'!CJ13</f>
        <v>20187214.875483166</v>
      </c>
      <c r="BI42" s="52">
        <f>'WAO Scenario Ag'!CK13</f>
        <v>20112042.443651643</v>
      </c>
      <c r="BJ42" s="52">
        <f>'WAO Scenario Ag'!CL13</f>
        <v>20037427.783658333</v>
      </c>
      <c r="BK42" s="52">
        <f>'WAO Scenario Ag'!CM13</f>
        <v>19963364.71053325</v>
      </c>
      <c r="BM42" s="103" t="s">
        <v>38</v>
      </c>
      <c r="BN42" s="59" t="s">
        <v>105</v>
      </c>
      <c r="BO42" s="80">
        <f>D42/1000000</f>
        <v>0.26429813384870188</v>
      </c>
      <c r="BP42" s="79">
        <f>M42/1000000</f>
        <v>2.3232103959727612</v>
      </c>
      <c r="BQ42" s="64">
        <f>W42/1000000</f>
        <v>14.105284902994656</v>
      </c>
      <c r="BR42" s="64">
        <f>AG42/1000000</f>
        <v>22.453126749261887</v>
      </c>
      <c r="BS42" s="64">
        <f>AQ42/1000000</f>
        <v>21.55695695883416</v>
      </c>
      <c r="BT42" s="64">
        <f>BA42/1000000</f>
        <v>20.729578987629782</v>
      </c>
      <c r="BU42" s="64">
        <f>BK42/1000000</f>
        <v>19.963364710533249</v>
      </c>
    </row>
    <row r="43" spans="1:75" x14ac:dyDescent="0.25">
      <c r="A43" s="54" t="s">
        <v>38</v>
      </c>
      <c r="B43" s="54" t="s">
        <v>106</v>
      </c>
      <c r="C43" s="54" t="s">
        <v>108</v>
      </c>
      <c r="D43" s="52">
        <f>'WAO Scenario Ag'!AF14</f>
        <v>0</v>
      </c>
      <c r="E43" s="52">
        <f>'WAO Scenario Ag'!AG14</f>
        <v>0</v>
      </c>
      <c r="F43" s="52">
        <f>'WAO Scenario Ag'!AH14</f>
        <v>0</v>
      </c>
      <c r="G43" s="52">
        <f>'WAO Scenario Ag'!AI14</f>
        <v>0</v>
      </c>
      <c r="H43" s="52">
        <f>'WAO Scenario Ag'!AJ14</f>
        <v>0</v>
      </c>
      <c r="I43" s="52">
        <f>'WAO Scenario Ag'!AK14</f>
        <v>0</v>
      </c>
      <c r="J43" s="52">
        <f>'WAO Scenario Ag'!AL14</f>
        <v>0</v>
      </c>
      <c r="K43" s="52">
        <f>'WAO Scenario Ag'!AM14</f>
        <v>0</v>
      </c>
      <c r="L43" s="52">
        <f>'WAO Scenario Ag'!AN14</f>
        <v>0</v>
      </c>
      <c r="M43" s="52">
        <f>'WAO Scenario Ag'!AO14</f>
        <v>0</v>
      </c>
      <c r="N43" s="52">
        <f>'WAO Scenario Ag'!AP14</f>
        <v>26902.341993431211</v>
      </c>
      <c r="O43" s="52">
        <f>'WAO Scenario Ag'!AQ14</f>
        <v>32526.606109635377</v>
      </c>
      <c r="P43" s="52">
        <f>'WAO Scenario Ag'!AR14</f>
        <v>43564.042547470432</v>
      </c>
      <c r="Q43" s="52">
        <f>'WAO Scenario Ag'!AS14</f>
        <v>84536.761375307266</v>
      </c>
      <c r="R43" s="52">
        <f>'WAO Scenario Ag'!AT14</f>
        <v>271911.14066607878</v>
      </c>
      <c r="S43" s="52">
        <f>'WAO Scenario Ag'!AU14</f>
        <v>741604.83511076646</v>
      </c>
      <c r="T43" s="52">
        <f>'WAO Scenario Ag'!AV14</f>
        <v>1435703.7325092244</v>
      </c>
      <c r="U43" s="52">
        <f>'WAO Scenario Ag'!AW14</f>
        <v>1777556.8524855981</v>
      </c>
      <c r="V43" s="52">
        <f>'WAO Scenario Ag'!AX14</f>
        <v>1863278.5505074349</v>
      </c>
      <c r="W43" s="52">
        <f>'WAO Scenario Ag'!AY14</f>
        <v>1947310.4713917852</v>
      </c>
      <c r="X43" s="52">
        <f>'WAO Scenario Ag'!AZ14</f>
        <v>2029702.0917361467</v>
      </c>
      <c r="Y43" s="52">
        <f>'WAO Scenario Ag'!BA14</f>
        <v>2110500.9752444732</v>
      </c>
      <c r="Z43" s="52">
        <f>'WAO Scenario Ag'!BB14</f>
        <v>2189752.8642889517</v>
      </c>
      <c r="AA43" s="52">
        <f>'WAO Scenario Ag'!BC14</f>
        <v>2267501.7662624517</v>
      </c>
      <c r="AB43" s="52">
        <f>'WAO Scenario Ag'!BD14</f>
        <v>2343790.0350641971</v>
      </c>
      <c r="AC43" s="52">
        <f>'WAO Scenario Ag'!BE14</f>
        <v>2418658.4480356607</v>
      </c>
      <c r="AD43" s="52">
        <f>'WAO Scenario Ag'!BF14</f>
        <v>2492146.2786403401</v>
      </c>
      <c r="AE43" s="52">
        <f>'WAO Scenario Ag'!BG14</f>
        <v>2564291.3651595972</v>
      </c>
      <c r="AF43" s="52">
        <f>'WAO Scenario Ag'!BH14</f>
        <v>2635128.1051006331</v>
      </c>
      <c r="AG43" s="52">
        <f>'WAO Scenario Ag'!BI14</f>
        <v>2611486.0130005423</v>
      </c>
      <c r="AH43" s="52">
        <f>'WAO Scenario Ag'!BJ14</f>
        <v>2588264.3773351274</v>
      </c>
      <c r="AI43" s="52">
        <f>'WAO Scenario Ag'!BK14</f>
        <v>2565452.080719721</v>
      </c>
      <c r="AJ43" s="52">
        <f>'WAO Scenario Ag'!BL14</f>
        <v>2543038.3942884281</v>
      </c>
      <c r="AK43" s="52">
        <f>'WAO Scenario Ag'!BM14</f>
        <v>2521012.960869187</v>
      </c>
      <c r="AL43" s="52">
        <f>'WAO Scenario Ag'!BN14</f>
        <v>2499365.7790256487</v>
      </c>
      <c r="AM43" s="52">
        <f>'WAO Scenario Ag'!BO14</f>
        <v>2478087.1879142313</v>
      </c>
      <c r="AN43" s="52">
        <f>'WAO Scenario Ag'!BP14</f>
        <v>2457167.8529081573</v>
      </c>
      <c r="AO43" s="52">
        <f>'WAO Scenario Ag'!BQ14</f>
        <v>2436598.751943558</v>
      </c>
      <c r="AP43" s="52">
        <f>'WAO Scenario Ag'!BR14</f>
        <v>2416371.1625456568</v>
      </c>
      <c r="AQ43" s="52">
        <f>'WAO Scenario Ag'!BS14</f>
        <v>2396476.6494958596</v>
      </c>
      <c r="AR43" s="52">
        <f>'WAO Scenario Ag'!BT14</f>
        <v>2376907.0531031038</v>
      </c>
      <c r="AS43" s="52">
        <f>'WAO Scenario Ag'!BU14</f>
        <v>2357654.4780452056</v>
      </c>
      <c r="AT43" s="52">
        <f>'WAO Scenario Ag'!BV14</f>
        <v>2338711.2827481581</v>
      </c>
      <c r="AU43" s="52">
        <f>'WAO Scenario Ag'!BW14</f>
        <v>2320070.0692733484</v>
      </c>
      <c r="AV43" s="52">
        <f>'WAO Scenario Ag'!BX14</f>
        <v>2301723.6736845965</v>
      </c>
      <c r="AW43" s="52">
        <f>'WAO Scenario Ag'!BY14</f>
        <v>2283665.1568686436</v>
      </c>
      <c r="AX43" s="52">
        <f>'WAO Scenario Ag'!BZ14</f>
        <v>2265887.795784404</v>
      </c>
      <c r="AY43" s="52">
        <f>'WAO Scenario Ag'!CA14</f>
        <v>2248385.0751177748</v>
      </c>
      <c r="AZ43" s="52">
        <f>'WAO Scenario Ag'!CB14</f>
        <v>2231150.6793202613</v>
      </c>
      <c r="BA43" s="52">
        <f>'WAO Scenario Ag'!CC14</f>
        <v>2214178.4850109671</v>
      </c>
      <c r="BB43" s="52">
        <f>'WAO Scenario Ag'!CD14</f>
        <v>2197462.5537227481</v>
      </c>
      <c r="BC43" s="52">
        <f>'WAO Scenario Ag'!CE14</f>
        <v>2180997.1249744887</v>
      </c>
      <c r="BD43" s="52">
        <f>'WAO Scenario Ag'!CF14</f>
        <v>2164776.6096525108</v>
      </c>
      <c r="BE43" s="52">
        <f>'WAO Scenario Ag'!CG14</f>
        <v>2148795.5836851476</v>
      </c>
      <c r="BF43" s="52">
        <f>'WAO Scenario Ag'!CH14</f>
        <v>2133048.7819954366</v>
      </c>
      <c r="BG43" s="52">
        <f>'WAO Scenario Ag'!CI14</f>
        <v>2117531.0927177821</v>
      </c>
      <c r="BH43" s="52">
        <f>'WAO Scenario Ag'!CJ14</f>
        <v>2102237.5516652218</v>
      </c>
      <c r="BI43" s="52">
        <f>'WAO Scenario Ag'!CK14</f>
        <v>2087163.3370347449</v>
      </c>
      <c r="BJ43" s="52">
        <f>'WAO Scenario Ag'!CL14</f>
        <v>2072303.7643387644</v>
      </c>
      <c r="BK43" s="52">
        <f>'WAO Scenario Ag'!CM14</f>
        <v>2057654.2815515902</v>
      </c>
      <c r="BM43" s="104"/>
      <c r="BN43" s="57" t="s">
        <v>106</v>
      </c>
      <c r="BO43" s="65">
        <f t="shared" ref="BO43:BO45" si="30">D43/1000000</f>
        <v>0</v>
      </c>
      <c r="BP43" s="65">
        <f>M43/1000000</f>
        <v>0</v>
      </c>
      <c r="BQ43" s="77">
        <f>W43/1000000</f>
        <v>1.9473104713917853</v>
      </c>
      <c r="BR43" s="77">
        <f>AG43/1000000</f>
        <v>2.6114860130005422</v>
      </c>
      <c r="BS43" s="77">
        <f>AQ43/1000000</f>
        <v>2.3964766494958596</v>
      </c>
      <c r="BT43" s="77">
        <f>BA43/1000000</f>
        <v>2.2141784850109669</v>
      </c>
      <c r="BU43" s="77">
        <f>BK43/1000000</f>
        <v>2.0576542815515904</v>
      </c>
    </row>
    <row r="44" spans="1:75" x14ac:dyDescent="0.25">
      <c r="A44" s="54" t="s">
        <v>71</v>
      </c>
      <c r="B44" s="54" t="s">
        <v>105</v>
      </c>
      <c r="C44" s="54" t="s">
        <v>108</v>
      </c>
      <c r="D44" s="52">
        <f>SUM('WAO Scenario Ag'!AF15:AF19)</f>
        <v>639160.18152283935</v>
      </c>
      <c r="E44" s="52">
        <f>SUM('WAO Scenario Ag'!AG15:AG19)</f>
        <v>1260334.4766563233</v>
      </c>
      <c r="F44" s="52">
        <f>SUM('WAO Scenario Ag'!AH15:AH19)</f>
        <v>1864320.3504968507</v>
      </c>
      <c r="G44" s="52">
        <f>SUM('WAO Scenario Ag'!AI15:AI19)</f>
        <v>2451866.8720739367</v>
      </c>
      <c r="H44" s="52">
        <f>SUM('WAO Scenario Ag'!AJ15:AJ19)</f>
        <v>3023678.4294577935</v>
      </c>
      <c r="I44" s="52">
        <f>SUM('WAO Scenario Ag'!AK15:AK19)</f>
        <v>3580418.101937185</v>
      </c>
      <c r="J44" s="52">
        <f>SUM('WAO Scenario Ag'!AL15:AL19)</f>
        <v>4122710.7260433994</v>
      </c>
      <c r="K44" s="52">
        <f>SUM('WAO Scenario Ag'!AM15:AM19)</f>
        <v>4651145.68772492</v>
      </c>
      <c r="L44" s="52">
        <f>SUM('WAO Scenario Ag'!AN15:AN19)</f>
        <v>5166279.4691113401</v>
      </c>
      <c r="M44" s="52">
        <f>SUM('WAO Scenario Ag'!AO15:AO19)</f>
        <v>5668637.9749544468</v>
      </c>
      <c r="N44" s="52">
        <f>SUM('WAO Scenario Ag'!AP15:AP19)</f>
        <v>5980546.2373877177</v>
      </c>
      <c r="O44" s="52">
        <f>SUM('WAO Scenario Ag'!AQ15:AQ19)</f>
        <v>6638800.9409040771</v>
      </c>
      <c r="P44" s="52">
        <f>SUM('WAO Scenario Ag'!AR15:AR19)</f>
        <v>7484130.7807543855</v>
      </c>
      <c r="Q44" s="52">
        <f>SUM('WAO Scenario Ag'!AS15:AS19)</f>
        <v>7034455.9229356954</v>
      </c>
      <c r="R44" s="52">
        <f>SUM('WAO Scenario Ag'!AT15:AT19)</f>
        <v>7903645.5993537521</v>
      </c>
      <c r="S44" s="52">
        <f>SUM('WAO Scenario Ag'!AU15:AU19)</f>
        <v>9197553.4458393417</v>
      </c>
      <c r="T44" s="52">
        <f>SUM('WAO Scenario Ag'!AV15:AV19)</f>
        <v>11066979.968464991</v>
      </c>
      <c r="U44" s="52">
        <f>SUM('WAO Scenario Ag'!AW15:AW19)</f>
        <v>14573348.882268846</v>
      </c>
      <c r="V44" s="52">
        <f>SUM('WAO Scenario Ag'!AX15:AX19)</f>
        <v>16480635.482583547</v>
      </c>
      <c r="W44" s="52">
        <f>SUM('WAO Scenario Ag'!AY15:AY19)</f>
        <v>18357374.759719029</v>
      </c>
      <c r="X44" s="52">
        <f>SUM('WAO Scenario Ag'!AZ15:AZ19)</f>
        <v>20204308.984758273</v>
      </c>
      <c r="Y44" s="52">
        <f>SUM('WAO Scenario Ag'!BA15:BA19)</f>
        <v>22022156.215674914</v>
      </c>
      <c r="Z44" s="52">
        <f>SUM('WAO Scenario Ag'!BB15:BB19)</f>
        <v>23811611.293651588</v>
      </c>
      <c r="AA44" s="52">
        <f>SUM('WAO Scenario Ag'!BC15:BC19)</f>
        <v>25573346.789631065</v>
      </c>
      <c r="AB44" s="52">
        <f>SUM('WAO Scenario Ag'!BD15:BD19)</f>
        <v>27308013.904040743</v>
      </c>
      <c r="AC44" s="52">
        <f>SUM('WAO Scenario Ag'!BE15:BE19)</f>
        <v>29016243.322429951</v>
      </c>
      <c r="AD44" s="52">
        <f>SUM('WAO Scenario Ag'!BF15:BF19)</f>
        <v>30698646.029573184</v>
      </c>
      <c r="AE44" s="52">
        <f>SUM('WAO Scenario Ag'!BG15:BG19)</f>
        <v>32355814.084421281</v>
      </c>
      <c r="AF44" s="52">
        <f>SUM('WAO Scenario Ag'!BH15:BH19)</f>
        <v>33988318.638258822</v>
      </c>
      <c r="AG44" s="52">
        <f>SUM('WAO Scenario Ag'!BI15:BI19)</f>
        <v>33736168.163949437</v>
      </c>
      <c r="AH44" s="52">
        <f>SUM('WAO Scenario Ag'!BJ15:BJ19)</f>
        <v>33487803.494097676</v>
      </c>
      <c r="AI44" s="52">
        <f>SUM('WAO Scenario Ag'!BK15:BK19)</f>
        <v>33243138.864732359</v>
      </c>
      <c r="AJ44" s="52">
        <f>SUM('WAO Scenario Ag'!BL15:BL19)</f>
        <v>33002091.122473001</v>
      </c>
      <c r="AK44" s="52">
        <f>SUM('WAO Scenario Ag'!BM15:BM19)</f>
        <v>32764579.624238435</v>
      </c>
      <c r="AL44" s="52">
        <f>SUM('WAO Scenario Ag'!BN15:BN19)</f>
        <v>32530526.141632184</v>
      </c>
      <c r="AM44" s="52">
        <f>SUM('WAO Scenario Ag'!BO15:BO19)</f>
        <v>32299854.76974697</v>
      </c>
      <c r="AN44" s="52">
        <f>SUM('WAO Scenario Ag'!BP15:BP19)</f>
        <v>32072491.840146884</v>
      </c>
      <c r="AO44" s="52">
        <f>SUM('WAO Scenario Ag'!BQ15:BQ19)</f>
        <v>31848365.837801337</v>
      </c>
      <c r="AP44" s="52">
        <f>SUM('WAO Scenario Ag'!BR15:BR19)</f>
        <v>31627407.321758781</v>
      </c>
      <c r="AQ44" s="52">
        <f>SUM('WAO Scenario Ag'!BS15:BS19)</f>
        <v>31409548.849361558</v>
      </c>
      <c r="AR44" s="52">
        <f>SUM('WAO Scenario Ag'!BT15:BT19)</f>
        <v>31194724.90381537</v>
      </c>
      <c r="AS44" s="52">
        <f>SUM('WAO Scenario Ag'!BU15:BU19)</f>
        <v>30982871.824938159</v>
      </c>
      <c r="AT44" s="52">
        <f>SUM('WAO Scenario Ag'!BV15:BV19)</f>
        <v>30773927.742923949</v>
      </c>
      <c r="AU44" s="52">
        <f>SUM('WAO Scenario Ag'!BW15:BW19)</f>
        <v>30567832.51496686</v>
      </c>
      <c r="AV44" s="52">
        <f>SUM('WAO Scenario Ag'!BX15:BX19)</f>
        <v>30364527.664599743</v>
      </c>
      <c r="AW44" s="52">
        <f>SUM('WAO Scenario Ag'!BY15:BY19)</f>
        <v>30163956.323610522</v>
      </c>
      <c r="AX44" s="52">
        <f>SUM('WAO Scenario Ag'!BZ15:BZ19)</f>
        <v>29966063.176407252</v>
      </c>
      <c r="AY44" s="52">
        <f>SUM('WAO Scenario Ag'!CA15:CA19)</f>
        <v>29770794.406710178</v>
      </c>
      <c r="AZ44" s="52">
        <f>SUM('WAO Scenario Ag'!CB15:CB19)</f>
        <v>29578097.64645654</v>
      </c>
      <c r="BA44" s="52">
        <f>SUM('WAO Scenario Ag'!CC15:CC19)</f>
        <v>29387921.926809732</v>
      </c>
      <c r="BB44" s="52">
        <f>SUM('WAO Scenario Ag'!CD15:CD19)</f>
        <v>29200217.631171055</v>
      </c>
      <c r="BC44" s="52">
        <f>SUM('WAO Scenario Ag'!CE15:CE19)</f>
        <v>29014936.450097706</v>
      </c>
      <c r="BD44" s="52">
        <f>SUM('WAO Scenario Ag'!CF15:CF19)</f>
        <v>28832031.338036075</v>
      </c>
      <c r="BE44" s="52">
        <f>SUM('WAO Scenario Ag'!CG15:CG19)</f>
        <v>28651456.471784424</v>
      </c>
      <c r="BF44" s="52">
        <f>SUM('WAO Scenario Ag'!CH15:CH19)</f>
        <v>28473167.210603755</v>
      </c>
      <c r="BG44" s="52">
        <f>SUM('WAO Scenario Ag'!CI15:CI19)</f>
        <v>28297120.057899848</v>
      </c>
      <c r="BH44" s="52">
        <f>SUM('WAO Scenario Ag'!CJ15:CJ19)</f>
        <v>28123272.624404017</v>
      </c>
      <c r="BI44" s="52">
        <f>SUM('WAO Scenario Ag'!CK15:CK19)</f>
        <v>27951583.592783477</v>
      </c>
      <c r="BJ44" s="52">
        <f>SUM('WAO Scenario Ag'!CL15:CL19)</f>
        <v>27782012.683616344</v>
      </c>
      <c r="BK44" s="52">
        <f>SUM('WAO Scenario Ag'!CM15:CM19)</f>
        <v>27614520.622669324</v>
      </c>
      <c r="BM44" s="104" t="s">
        <v>71</v>
      </c>
      <c r="BN44" s="57" t="s">
        <v>105</v>
      </c>
      <c r="BO44" s="77">
        <f t="shared" si="30"/>
        <v>0.63916018152283938</v>
      </c>
      <c r="BP44" s="77">
        <f>M44/1000000</f>
        <v>5.6686379749544464</v>
      </c>
      <c r="BQ44" s="65">
        <f>W44/1000000</f>
        <v>18.357374759719029</v>
      </c>
      <c r="BR44" s="65">
        <f>AG44/1000000</f>
        <v>33.736168163949436</v>
      </c>
      <c r="BS44" s="65">
        <f>AQ44/1000000</f>
        <v>31.409548849361556</v>
      </c>
      <c r="BT44" s="65">
        <f>BA44/1000000</f>
        <v>29.387921926809732</v>
      </c>
      <c r="BU44" s="65">
        <f>BK44/1000000</f>
        <v>27.614520622669325</v>
      </c>
    </row>
    <row r="45" spans="1:75" x14ac:dyDescent="0.25">
      <c r="A45" s="54" t="s">
        <v>71</v>
      </c>
      <c r="B45" s="54" t="s">
        <v>106</v>
      </c>
      <c r="C45" s="54" t="s">
        <v>108</v>
      </c>
      <c r="D45" s="52">
        <f>'WAO Scenario Ag'!AF20</f>
        <v>138599.56472198345</v>
      </c>
      <c r="E45" s="52">
        <f>'WAO Scenario Ag'!AG20</f>
        <v>273457.71379753767</v>
      </c>
      <c r="F45" s="52">
        <f>'WAO Scenario Ag'!AH20</f>
        <v>404723.92573324346</v>
      </c>
      <c r="G45" s="52">
        <f>'WAO Scenario Ag'!AI20</f>
        <v>532539.82098634238</v>
      </c>
      <c r="H45" s="52">
        <f>'WAO Scenario Ag'!AJ20</f>
        <v>657039.67163612996</v>
      </c>
      <c r="I45" s="52">
        <f>'WAO Scenario Ag'!AK20</f>
        <v>778350.87189472397</v>
      </c>
      <c r="J45" s="52">
        <f>'WAO Scenario Ag'!AL20</f>
        <v>896594.37292321946</v>
      </c>
      <c r="K45" s="52">
        <f>'WAO Scenario Ag'!AM20</f>
        <v>1011885.0850730242</v>
      </c>
      <c r="L45" s="52">
        <f>'WAO Scenario Ag'!AN20</f>
        <v>1124332.2503643718</v>
      </c>
      <c r="M45" s="52">
        <f>'WAO Scenario Ag'!AO20</f>
        <v>1234039.7877399891</v>
      </c>
      <c r="N45" s="52">
        <f>'WAO Scenario Ag'!AP20</f>
        <v>1527995.2742244024</v>
      </c>
      <c r="O45" s="52">
        <f>'WAO Scenario Ag'!AQ20</f>
        <v>1967130.5156948098</v>
      </c>
      <c r="P45" s="52">
        <f>'WAO Scenario Ag'!AR20</f>
        <v>2598021.0199561203</v>
      </c>
      <c r="Q45" s="52">
        <f>'WAO Scenario Ag'!AS20</f>
        <v>3251413.8990502795</v>
      </c>
      <c r="R45" s="52">
        <f>'WAO Scenario Ag'!AT20</f>
        <v>4998965.2574780276</v>
      </c>
      <c r="S45" s="52">
        <f>'WAO Scenario Ag'!AU20</f>
        <v>8192818.5498469528</v>
      </c>
      <c r="T45" s="52">
        <f>'WAO Scenario Ag'!AV20</f>
        <v>10999483.226062525</v>
      </c>
      <c r="U45" s="52">
        <f>'WAO Scenario Ag'!AW20</f>
        <v>16417552.904479241</v>
      </c>
      <c r="V45" s="52">
        <f>'WAO Scenario Ag'!AX20</f>
        <v>19071444.584975265</v>
      </c>
      <c r="W45" s="52">
        <f>'WAO Scenario Ag'!AY20</f>
        <v>21673021.79211675</v>
      </c>
      <c r="X45" s="52">
        <f>'WAO Scenario Ag'!AZ20</f>
        <v>24223816.291296955</v>
      </c>
      <c r="Y45" s="52">
        <f>'WAO Scenario Ag'!BA20</f>
        <v>26725300.625887387</v>
      </c>
      <c r="Z45" s="52">
        <f>'WAO Scenario Ag'!BB20</f>
        <v>29178890.951934762</v>
      </c>
      <c r="AA45" s="52">
        <f>'WAO Scenario Ag'!BC20</f>
        <v>31585949.711580537</v>
      </c>
      <c r="AB45" s="52">
        <f>'WAO Scenario Ag'!BD20</f>
        <v>33947788.155807592</v>
      </c>
      <c r="AC45" s="52">
        <f>'WAO Scenario Ag'!BE20</f>
        <v>36265668.726328865</v>
      </c>
      <c r="AD45" s="52">
        <f>'WAO Scenario Ag'!BF20</f>
        <v>38540807.305709042</v>
      </c>
      <c r="AE45" s="52">
        <f>'WAO Scenario Ag'!BG20</f>
        <v>40774375.344146028</v>
      </c>
      <c r="AF45" s="52">
        <f>'WAO Scenario Ag'!BH20</f>
        <v>42967496.11918278</v>
      </c>
      <c r="AG45" s="52">
        <f>'WAO Scenario Ag'!BI20</f>
        <v>42581996.264889657</v>
      </c>
      <c r="AH45" s="52">
        <f>'WAO Scenario Ag'!BJ20</f>
        <v>42203352.229177132</v>
      </c>
      <c r="AI45" s="52">
        <f>'WAO Scenario Ag'!BK20</f>
        <v>41831382.735779516</v>
      </c>
      <c r="AJ45" s="52">
        <f>'WAO Scenario Ag'!BL20</f>
        <v>41465912.84348508</v>
      </c>
      <c r="AK45" s="52">
        <f>'WAO Scenario Ag'!BM20</f>
        <v>41106773.671794437</v>
      </c>
      <c r="AL45" s="52">
        <f>'WAO Scenario Ag'!BN20</f>
        <v>40753802.140712865</v>
      </c>
      <c r="AM45" s="52">
        <f>'WAO Scenario Ag'!BO20</f>
        <v>40406840.723834582</v>
      </c>
      <c r="AN45" s="52">
        <f>'WAO Scenario Ag'!BP20</f>
        <v>40065737.213933289</v>
      </c>
      <c r="AO45" s="52">
        <f>'WAO Scenario Ag'!BQ20</f>
        <v>39730344.500326388</v>
      </c>
      <c r="AP45" s="52">
        <f>'WAO Scenario Ag'!BR20</f>
        <v>39400520.3573284</v>
      </c>
      <c r="AQ45" s="52">
        <f>'WAO Scenario Ag'!BS20</f>
        <v>39076127.243154719</v>
      </c>
      <c r="AR45" s="52">
        <f>'WAO Scenario Ag'!BT20</f>
        <v>38757032.108678281</v>
      </c>
      <c r="AS45" s="52">
        <f>'WAO Scenario Ag'!BU20</f>
        <v>38443106.215480417</v>
      </c>
      <c r="AT45" s="52">
        <f>'WAO Scenario Ag'!BV20</f>
        <v>38134224.962673269</v>
      </c>
      <c r="AU45" s="52">
        <f>'WAO Scenario Ag'!BW20</f>
        <v>37830267.722004265</v>
      </c>
      <c r="AV45" s="52">
        <f>'WAO Scenario Ag'!BX20</f>
        <v>37531117.680784315</v>
      </c>
      <c r="AW45" s="52">
        <f>'WAO Scenario Ag'!BY20</f>
        <v>37236661.692209892</v>
      </c>
      <c r="AX45" s="52">
        <f>'WAO Scenario Ag'!BZ20</f>
        <v>36946790.132676281</v>
      </c>
      <c r="AY45" s="52">
        <f>'WAO Scenario Ag'!CA20</f>
        <v>36661396.765703775</v>
      </c>
      <c r="AZ45" s="52">
        <f>'WAO Scenario Ag'!CB20</f>
        <v>36380378.612122275</v>
      </c>
      <c r="BA45" s="52">
        <f>'WAO Scenario Ag'!CC20</f>
        <v>36103635.826180644</v>
      </c>
      <c r="BB45" s="52">
        <f>'WAO Scenario Ag'!CD20</f>
        <v>35831071.577268109</v>
      </c>
      <c r="BC45" s="52">
        <f>'WAO Scenario Ag'!CE20</f>
        <v>35562591.936953053</v>
      </c>
      <c r="BD45" s="52">
        <f>'WAO Scenario Ag'!CF20</f>
        <v>35298105.771062598</v>
      </c>
      <c r="BE45" s="52">
        <f>'WAO Scenario Ag'!CG20</f>
        <v>35037524.63654238</v>
      </c>
      <c r="BF45" s="52">
        <f>'WAO Scenario Ag'!CH20</f>
        <v>34780762.682851195</v>
      </c>
      <c r="BG45" s="52">
        <f>'WAO Scenario Ag'!CI20</f>
        <v>34527736.557659894</v>
      </c>
      <c r="BH45" s="52">
        <f>'WAO Scenario Ag'!CJ20</f>
        <v>34278365.316636555</v>
      </c>
      <c r="BI45" s="52">
        <f>'WAO Scenario Ag'!CK20</f>
        <v>34032570.337113149</v>
      </c>
      <c r="BJ45" s="52">
        <f>'WAO Scenario Ag'!CL20</f>
        <v>33790275.235439949</v>
      </c>
      <c r="BK45" s="52">
        <f>'WAO Scenario Ag'!CM20</f>
        <v>33551405.787845522</v>
      </c>
      <c r="BM45" s="105"/>
      <c r="BN45" s="58" t="s">
        <v>106</v>
      </c>
      <c r="BO45" s="81">
        <f t="shared" si="30"/>
        <v>0.13859956472198345</v>
      </c>
      <c r="BP45" s="78">
        <f>M45/1000000</f>
        <v>1.2340397877399891</v>
      </c>
      <c r="BQ45" s="66">
        <f>W45/1000000</f>
        <v>21.673021792116749</v>
      </c>
      <c r="BR45" s="66">
        <f>AG45/1000000</f>
        <v>42.581996264889661</v>
      </c>
      <c r="BS45" s="66">
        <f>AQ45/1000000</f>
        <v>39.076127243154723</v>
      </c>
      <c r="BT45" s="66">
        <f>BA45/1000000</f>
        <v>36.103635826180643</v>
      </c>
      <c r="BU45" s="66">
        <f>BK45/1000000</f>
        <v>33.551405787845525</v>
      </c>
      <c r="BV45" s="102">
        <f>SUM(BP42:BP45)</f>
        <v>9.2258881586671979</v>
      </c>
      <c r="BW45" s="102"/>
    </row>
    <row r="46" spans="1:75" x14ac:dyDescent="0.25">
      <c r="BM46" s="54"/>
      <c r="BN46" s="54" t="s">
        <v>110</v>
      </c>
      <c r="BO46" s="54"/>
      <c r="BP46" s="54"/>
      <c r="BQ46" s="54"/>
      <c r="BR46" s="54"/>
      <c r="BS46" s="54"/>
      <c r="BT46" s="54"/>
      <c r="BU46" s="54"/>
    </row>
    <row r="47" spans="1:75" x14ac:dyDescent="0.25">
      <c r="A47" s="54" t="s">
        <v>38</v>
      </c>
      <c r="B47" s="54" t="s">
        <v>105</v>
      </c>
      <c r="C47" s="54" t="s">
        <v>109</v>
      </c>
      <c r="D47" s="54">
        <f>D52*$D$65</f>
        <v>20945863829.462044</v>
      </c>
      <c r="E47" s="54">
        <f t="shared" ref="E47:BK47" si="31">E52*$D$65</f>
        <v>41891727658.924088</v>
      </c>
      <c r="F47" s="54">
        <f t="shared" si="31"/>
        <v>62837591488.386124</v>
      </c>
      <c r="G47" s="54">
        <f t="shared" si="31"/>
        <v>83783455317.848175</v>
      </c>
      <c r="H47" s="54">
        <f t="shared" si="31"/>
        <v>104729319147.31021</v>
      </c>
      <c r="I47" s="54">
        <f t="shared" si="31"/>
        <v>125675182976.77226</v>
      </c>
      <c r="J47" s="54">
        <f t="shared" si="31"/>
        <v>146621046806.23428</v>
      </c>
      <c r="K47" s="54">
        <f t="shared" si="31"/>
        <v>167566910635.69635</v>
      </c>
      <c r="L47" s="54">
        <f t="shared" si="31"/>
        <v>188512774465.15839</v>
      </c>
      <c r="M47" s="54">
        <f t="shared" si="31"/>
        <v>209458638294.62042</v>
      </c>
      <c r="N47" s="54">
        <f t="shared" si="31"/>
        <v>228531004354.98901</v>
      </c>
      <c r="O47" s="54">
        <f t="shared" si="31"/>
        <v>277075236804.16864</v>
      </c>
      <c r="P47" s="54">
        <f t="shared" si="31"/>
        <v>363069578260.54443</v>
      </c>
      <c r="Q47" s="54">
        <f t="shared" si="31"/>
        <v>439537659874.07227</v>
      </c>
      <c r="R47" s="54">
        <f t="shared" si="31"/>
        <v>505467316536.44946</v>
      </c>
      <c r="S47" s="54">
        <f t="shared" si="31"/>
        <v>632333281993.57776</v>
      </c>
      <c r="T47" s="54">
        <f t="shared" si="31"/>
        <v>844221116548.12439</v>
      </c>
      <c r="U47" s="54">
        <f t="shared" si="31"/>
        <v>1193169600000.0002</v>
      </c>
      <c r="V47" s="54">
        <f t="shared" si="31"/>
        <v>1295865975600.0002</v>
      </c>
      <c r="W47" s="54">
        <f t="shared" si="31"/>
        <v>1398562351200.0002</v>
      </c>
      <c r="X47" s="54">
        <f t="shared" si="31"/>
        <v>1501258726800.0002</v>
      </c>
      <c r="Y47" s="54">
        <f t="shared" si="31"/>
        <v>1603955102400.0002</v>
      </c>
      <c r="Z47" s="54">
        <f t="shared" si="31"/>
        <v>1706651478000.0002</v>
      </c>
      <c r="AA47" s="54">
        <f t="shared" si="31"/>
        <v>1809347853599.9998</v>
      </c>
      <c r="AB47" s="54">
        <f t="shared" si="31"/>
        <v>1912044229199.9998</v>
      </c>
      <c r="AC47" s="54">
        <f t="shared" si="31"/>
        <v>2014740604799.9998</v>
      </c>
      <c r="AD47" s="54">
        <f t="shared" si="31"/>
        <v>2117436980399.9998</v>
      </c>
      <c r="AE47" s="54">
        <f t="shared" si="31"/>
        <v>2220133356000</v>
      </c>
      <c r="AF47" s="54">
        <f t="shared" si="31"/>
        <v>2322829800000</v>
      </c>
      <c r="AG47" s="54">
        <f t="shared" si="31"/>
        <v>2322829800000</v>
      </c>
      <c r="AH47" s="54">
        <f t="shared" si="31"/>
        <v>2322829800000</v>
      </c>
      <c r="AI47" s="54">
        <f t="shared" si="31"/>
        <v>2322829800000</v>
      </c>
      <c r="AJ47" s="54">
        <f t="shared" si="31"/>
        <v>2322829800000</v>
      </c>
      <c r="AK47" s="54">
        <f t="shared" si="31"/>
        <v>2322829800000</v>
      </c>
      <c r="AL47" s="54">
        <f t="shared" si="31"/>
        <v>2322829800000</v>
      </c>
      <c r="AM47" s="54">
        <f t="shared" si="31"/>
        <v>2322829800000</v>
      </c>
      <c r="AN47" s="54">
        <f t="shared" si="31"/>
        <v>2322829800000</v>
      </c>
      <c r="AO47" s="54">
        <f t="shared" si="31"/>
        <v>2322829800000</v>
      </c>
      <c r="AP47" s="54">
        <f t="shared" si="31"/>
        <v>2322829800000</v>
      </c>
      <c r="AQ47" s="54">
        <f t="shared" si="31"/>
        <v>2322829800000</v>
      </c>
      <c r="AR47" s="54">
        <f t="shared" si="31"/>
        <v>2322829800000</v>
      </c>
      <c r="AS47" s="54">
        <f t="shared" si="31"/>
        <v>2322829800000</v>
      </c>
      <c r="AT47" s="54">
        <f t="shared" si="31"/>
        <v>2322829800000</v>
      </c>
      <c r="AU47" s="54">
        <f t="shared" si="31"/>
        <v>2322829800000</v>
      </c>
      <c r="AV47" s="54">
        <f t="shared" si="31"/>
        <v>2322829800000</v>
      </c>
      <c r="AW47" s="54">
        <f t="shared" si="31"/>
        <v>2322829800000</v>
      </c>
      <c r="AX47" s="54">
        <f t="shared" si="31"/>
        <v>2322829800000</v>
      </c>
      <c r="AY47" s="54">
        <f t="shared" si="31"/>
        <v>2322829800000</v>
      </c>
      <c r="AZ47" s="54">
        <f t="shared" si="31"/>
        <v>2322829800000</v>
      </c>
      <c r="BA47" s="54">
        <f t="shared" si="31"/>
        <v>2322829800000</v>
      </c>
      <c r="BB47" s="54">
        <f t="shared" si="31"/>
        <v>2322829800000</v>
      </c>
      <c r="BC47" s="54">
        <f t="shared" si="31"/>
        <v>2322829800000</v>
      </c>
      <c r="BD47" s="54">
        <f t="shared" si="31"/>
        <v>2322829800000</v>
      </c>
      <c r="BE47" s="54">
        <f t="shared" si="31"/>
        <v>2322829800000</v>
      </c>
      <c r="BF47" s="54">
        <f t="shared" si="31"/>
        <v>2322829800000</v>
      </c>
      <c r="BG47" s="54">
        <f t="shared" si="31"/>
        <v>2322829800000</v>
      </c>
      <c r="BH47" s="54">
        <f t="shared" si="31"/>
        <v>2322829800000</v>
      </c>
      <c r="BI47" s="54">
        <f t="shared" si="31"/>
        <v>2322829800000</v>
      </c>
      <c r="BJ47" s="54">
        <f t="shared" si="31"/>
        <v>2322829800000</v>
      </c>
      <c r="BK47" s="54">
        <f t="shared" si="31"/>
        <v>2322829800000</v>
      </c>
      <c r="BM47" s="61" t="s">
        <v>93</v>
      </c>
      <c r="BN47" s="61" t="s">
        <v>94</v>
      </c>
      <c r="BO47" s="61">
        <v>1991</v>
      </c>
      <c r="BP47" s="61">
        <v>2000</v>
      </c>
      <c r="BQ47" s="61">
        <v>2010</v>
      </c>
      <c r="BR47" s="61">
        <v>2020</v>
      </c>
      <c r="BS47" s="61">
        <v>2030</v>
      </c>
      <c r="BT47" s="61">
        <v>2040</v>
      </c>
      <c r="BU47" s="61">
        <v>2050</v>
      </c>
    </row>
    <row r="48" spans="1:75" x14ac:dyDescent="0.25">
      <c r="A48" s="54" t="s">
        <v>38</v>
      </c>
      <c r="B48" s="54" t="s">
        <v>106</v>
      </c>
      <c r="C48" s="54" t="s">
        <v>109</v>
      </c>
      <c r="D48" s="54">
        <f>D53*$D$66</f>
        <v>0</v>
      </c>
      <c r="E48" s="54">
        <f t="shared" ref="E48:BK48" si="32">E53*$D$66</f>
        <v>0</v>
      </c>
      <c r="F48" s="54">
        <f t="shared" si="32"/>
        <v>0</v>
      </c>
      <c r="G48" s="54">
        <f t="shared" si="32"/>
        <v>0</v>
      </c>
      <c r="H48" s="54">
        <f t="shared" si="32"/>
        <v>0</v>
      </c>
      <c r="I48" s="54">
        <f t="shared" si="32"/>
        <v>0</v>
      </c>
      <c r="J48" s="54">
        <f t="shared" si="32"/>
        <v>0</v>
      </c>
      <c r="K48" s="54">
        <f t="shared" si="32"/>
        <v>0</v>
      </c>
      <c r="L48" s="54">
        <f t="shared" si="32"/>
        <v>0</v>
      </c>
      <c r="M48" s="54">
        <f t="shared" si="32"/>
        <v>0</v>
      </c>
      <c r="N48" s="54">
        <f t="shared" si="32"/>
        <v>1209973112.2397101</v>
      </c>
      <c r="O48" s="54">
        <f t="shared" si="32"/>
        <v>1480539550.5759602</v>
      </c>
      <c r="P48" s="54">
        <f t="shared" si="32"/>
        <v>2006520706.7016301</v>
      </c>
      <c r="Q48" s="54">
        <f t="shared" si="32"/>
        <v>3939447342.1758003</v>
      </c>
      <c r="R48" s="54">
        <f t="shared" si="32"/>
        <v>12818355582.618181</v>
      </c>
      <c r="S48" s="54">
        <f t="shared" si="32"/>
        <v>35361951224.794533</v>
      </c>
      <c r="T48" s="54">
        <f t="shared" si="32"/>
        <v>69161110701.758881</v>
      </c>
      <c r="U48" s="54">
        <f t="shared" si="32"/>
        <v>86498700000</v>
      </c>
      <c r="V48" s="54">
        <f t="shared" si="32"/>
        <v>91581682900</v>
      </c>
      <c r="W48" s="54">
        <f t="shared" si="32"/>
        <v>96664665800.000015</v>
      </c>
      <c r="X48" s="54">
        <f t="shared" si="32"/>
        <v>101747648700.00003</v>
      </c>
      <c r="Y48" s="54">
        <f t="shared" si="32"/>
        <v>106830631600.00002</v>
      </c>
      <c r="Z48" s="54">
        <f t="shared" si="32"/>
        <v>111913614500.00002</v>
      </c>
      <c r="AA48" s="54">
        <f t="shared" si="32"/>
        <v>116996597400.00005</v>
      </c>
      <c r="AB48" s="54">
        <f t="shared" si="32"/>
        <v>122079580300.00003</v>
      </c>
      <c r="AC48" s="54">
        <f t="shared" si="32"/>
        <v>127162563200.00003</v>
      </c>
      <c r="AD48" s="54">
        <f t="shared" si="32"/>
        <v>132245546100.00006</v>
      </c>
      <c r="AE48" s="54">
        <f t="shared" si="32"/>
        <v>137328529000.00005</v>
      </c>
      <c r="AF48" s="54">
        <f t="shared" si="32"/>
        <v>142411400000</v>
      </c>
      <c r="AG48" s="54">
        <f t="shared" si="32"/>
        <v>142411400000</v>
      </c>
      <c r="AH48" s="54">
        <f t="shared" si="32"/>
        <v>142411400000</v>
      </c>
      <c r="AI48" s="54">
        <f t="shared" si="32"/>
        <v>142411400000</v>
      </c>
      <c r="AJ48" s="54">
        <f t="shared" si="32"/>
        <v>142411400000</v>
      </c>
      <c r="AK48" s="54">
        <f t="shared" si="32"/>
        <v>142411400000</v>
      </c>
      <c r="AL48" s="54">
        <f t="shared" si="32"/>
        <v>142411400000</v>
      </c>
      <c r="AM48" s="54">
        <f t="shared" si="32"/>
        <v>142411400000</v>
      </c>
      <c r="AN48" s="54">
        <f t="shared" si="32"/>
        <v>142411400000</v>
      </c>
      <c r="AO48" s="54">
        <f t="shared" si="32"/>
        <v>142411400000</v>
      </c>
      <c r="AP48" s="54">
        <f t="shared" si="32"/>
        <v>142411400000</v>
      </c>
      <c r="AQ48" s="54">
        <f t="shared" si="32"/>
        <v>142411400000</v>
      </c>
      <c r="AR48" s="54">
        <f t="shared" si="32"/>
        <v>142411400000</v>
      </c>
      <c r="AS48" s="54">
        <f t="shared" si="32"/>
        <v>142411400000</v>
      </c>
      <c r="AT48" s="54">
        <f t="shared" si="32"/>
        <v>142411400000</v>
      </c>
      <c r="AU48" s="54">
        <f t="shared" si="32"/>
        <v>142411400000</v>
      </c>
      <c r="AV48" s="54">
        <f t="shared" si="32"/>
        <v>142411400000</v>
      </c>
      <c r="AW48" s="54">
        <f t="shared" si="32"/>
        <v>142411400000</v>
      </c>
      <c r="AX48" s="54">
        <f t="shared" si="32"/>
        <v>142411400000</v>
      </c>
      <c r="AY48" s="54">
        <f t="shared" si="32"/>
        <v>142411400000</v>
      </c>
      <c r="AZ48" s="54">
        <f t="shared" si="32"/>
        <v>142411400000</v>
      </c>
      <c r="BA48" s="54">
        <f t="shared" si="32"/>
        <v>142411400000</v>
      </c>
      <c r="BB48" s="54">
        <f t="shared" si="32"/>
        <v>142411400000</v>
      </c>
      <c r="BC48" s="54">
        <f t="shared" si="32"/>
        <v>142411400000</v>
      </c>
      <c r="BD48" s="54">
        <f t="shared" si="32"/>
        <v>142411400000</v>
      </c>
      <c r="BE48" s="54">
        <f t="shared" si="32"/>
        <v>142411400000</v>
      </c>
      <c r="BF48" s="54">
        <f t="shared" si="32"/>
        <v>142411400000</v>
      </c>
      <c r="BG48" s="54">
        <f t="shared" si="32"/>
        <v>142411400000</v>
      </c>
      <c r="BH48" s="54">
        <f t="shared" si="32"/>
        <v>142411400000</v>
      </c>
      <c r="BI48" s="54">
        <f t="shared" si="32"/>
        <v>142411400000</v>
      </c>
      <c r="BJ48" s="54">
        <f t="shared" si="32"/>
        <v>142411400000</v>
      </c>
      <c r="BK48" s="54">
        <f t="shared" si="32"/>
        <v>142411400000</v>
      </c>
      <c r="BM48" s="103" t="s">
        <v>38</v>
      </c>
      <c r="BN48" s="59" t="s">
        <v>105</v>
      </c>
      <c r="BO48" s="70">
        <f>D47/1000000000000</f>
        <v>2.0945863829462043E-2</v>
      </c>
      <c r="BP48" s="70">
        <f>M47/1000000000000</f>
        <v>0.20945863829462041</v>
      </c>
      <c r="BQ48" s="71">
        <f>W47/1000000000000</f>
        <v>1.3985623512000003</v>
      </c>
      <c r="BR48" s="71">
        <f>AG47/1000000000000</f>
        <v>2.3228298000000001</v>
      </c>
      <c r="BS48" s="71">
        <f>AQ47/1000000000000</f>
        <v>2.3228298000000001</v>
      </c>
      <c r="BT48" s="71">
        <f>BA47/1000000000000</f>
        <v>2.3228298000000001</v>
      </c>
      <c r="BU48" s="71">
        <f>BK47/1000000000000</f>
        <v>2.3228298000000001</v>
      </c>
    </row>
    <row r="49" spans="1:75" x14ac:dyDescent="0.25">
      <c r="A49" s="54" t="s">
        <v>71</v>
      </c>
      <c r="B49" s="54" t="s">
        <v>105</v>
      </c>
      <c r="C49" s="54" t="s">
        <v>109</v>
      </c>
      <c r="D49" s="54">
        <f>D54*$D$65</f>
        <v>38467632636.660408</v>
      </c>
      <c r="E49" s="54">
        <f t="shared" ref="E49:BK49" si="33">E54*$D$65</f>
        <v>76935265273.320816</v>
      </c>
      <c r="F49" s="54">
        <f t="shared" si="33"/>
        <v>115402897909.9812</v>
      </c>
      <c r="G49" s="54">
        <f t="shared" si="33"/>
        <v>153870530546.64163</v>
      </c>
      <c r="H49" s="54">
        <f t="shared" si="33"/>
        <v>192338163183.30203</v>
      </c>
      <c r="I49" s="54">
        <f t="shared" si="33"/>
        <v>230805795819.9624</v>
      </c>
      <c r="J49" s="54">
        <f t="shared" si="33"/>
        <v>269273428456.62283</v>
      </c>
      <c r="K49" s="54">
        <f t="shared" si="33"/>
        <v>307741061093.28326</v>
      </c>
      <c r="L49" s="54">
        <f t="shared" si="33"/>
        <v>346208693729.94366</v>
      </c>
      <c r="M49" s="54">
        <f t="shared" si="33"/>
        <v>384676326366.60406</v>
      </c>
      <c r="N49" s="54">
        <f t="shared" si="33"/>
        <v>413014964761.60956</v>
      </c>
      <c r="O49" s="54">
        <f t="shared" si="33"/>
        <v>473042309596.35553</v>
      </c>
      <c r="P49" s="54">
        <f t="shared" si="33"/>
        <v>560404066267.67346</v>
      </c>
      <c r="Q49" s="54">
        <f t="shared" si="33"/>
        <v>574487053735.35046</v>
      </c>
      <c r="R49" s="54">
        <f t="shared" si="33"/>
        <v>655601171659.73401</v>
      </c>
      <c r="S49" s="54">
        <f t="shared" si="33"/>
        <v>788161062010.43115</v>
      </c>
      <c r="T49" s="54">
        <f t="shared" si="33"/>
        <v>990135632416.01428</v>
      </c>
      <c r="U49" s="54">
        <f t="shared" si="33"/>
        <v>1346419800000.0002</v>
      </c>
      <c r="V49" s="54">
        <f t="shared" si="33"/>
        <v>1506727648800.0002</v>
      </c>
      <c r="W49" s="54">
        <f t="shared" si="33"/>
        <v>1667035497600.0002</v>
      </c>
      <c r="X49" s="54">
        <f t="shared" si="33"/>
        <v>1827343346400.0002</v>
      </c>
      <c r="Y49" s="54">
        <f t="shared" si="33"/>
        <v>1987651195200.0002</v>
      </c>
      <c r="Z49" s="54">
        <f t="shared" si="33"/>
        <v>2147959044000.0005</v>
      </c>
      <c r="AA49" s="54">
        <f t="shared" si="33"/>
        <v>2308266892800.0005</v>
      </c>
      <c r="AB49" s="54">
        <f t="shared" si="33"/>
        <v>2468574741600.001</v>
      </c>
      <c r="AC49" s="54">
        <f t="shared" si="33"/>
        <v>2628882590400.001</v>
      </c>
      <c r="AD49" s="54">
        <f t="shared" si="33"/>
        <v>2789190439200.001</v>
      </c>
      <c r="AE49" s="54">
        <f t="shared" si="33"/>
        <v>2949498288000.001</v>
      </c>
      <c r="AF49" s="54">
        <f t="shared" si="33"/>
        <v>3109806000000</v>
      </c>
      <c r="AG49" s="54">
        <f t="shared" si="33"/>
        <v>3109806000000</v>
      </c>
      <c r="AH49" s="54">
        <f t="shared" si="33"/>
        <v>3109806000000</v>
      </c>
      <c r="AI49" s="54">
        <f t="shared" si="33"/>
        <v>3109806000000</v>
      </c>
      <c r="AJ49" s="54">
        <f t="shared" si="33"/>
        <v>3109806000000</v>
      </c>
      <c r="AK49" s="54">
        <f t="shared" si="33"/>
        <v>3109806000000</v>
      </c>
      <c r="AL49" s="54">
        <f t="shared" si="33"/>
        <v>3109806000000</v>
      </c>
      <c r="AM49" s="54">
        <f t="shared" si="33"/>
        <v>3109806000000</v>
      </c>
      <c r="AN49" s="54">
        <f t="shared" si="33"/>
        <v>3109806000000</v>
      </c>
      <c r="AO49" s="54">
        <f t="shared" si="33"/>
        <v>3109806000000</v>
      </c>
      <c r="AP49" s="54">
        <f t="shared" si="33"/>
        <v>3109806000000</v>
      </c>
      <c r="AQ49" s="54">
        <f t="shared" si="33"/>
        <v>3109806000000</v>
      </c>
      <c r="AR49" s="54">
        <f t="shared" si="33"/>
        <v>3109806000000</v>
      </c>
      <c r="AS49" s="54">
        <f t="shared" si="33"/>
        <v>3109806000000</v>
      </c>
      <c r="AT49" s="54">
        <f t="shared" si="33"/>
        <v>3109806000000</v>
      </c>
      <c r="AU49" s="54">
        <f t="shared" si="33"/>
        <v>3109806000000</v>
      </c>
      <c r="AV49" s="54">
        <f t="shared" si="33"/>
        <v>3109806000000</v>
      </c>
      <c r="AW49" s="54">
        <f t="shared" si="33"/>
        <v>3109806000000</v>
      </c>
      <c r="AX49" s="54">
        <f t="shared" si="33"/>
        <v>3109806000000</v>
      </c>
      <c r="AY49" s="54">
        <f t="shared" si="33"/>
        <v>3109806000000</v>
      </c>
      <c r="AZ49" s="54">
        <f t="shared" si="33"/>
        <v>3109806000000</v>
      </c>
      <c r="BA49" s="54">
        <f t="shared" si="33"/>
        <v>3109806000000</v>
      </c>
      <c r="BB49" s="54">
        <f t="shared" si="33"/>
        <v>3109806000000</v>
      </c>
      <c r="BC49" s="54">
        <f t="shared" si="33"/>
        <v>3109806000000</v>
      </c>
      <c r="BD49" s="54">
        <f t="shared" si="33"/>
        <v>3109806000000</v>
      </c>
      <c r="BE49" s="54">
        <f t="shared" si="33"/>
        <v>3109806000000</v>
      </c>
      <c r="BF49" s="54">
        <f t="shared" si="33"/>
        <v>3109806000000</v>
      </c>
      <c r="BG49" s="54">
        <f t="shared" si="33"/>
        <v>3109806000000</v>
      </c>
      <c r="BH49" s="54">
        <f t="shared" si="33"/>
        <v>3109806000000</v>
      </c>
      <c r="BI49" s="54">
        <f t="shared" si="33"/>
        <v>3109806000000</v>
      </c>
      <c r="BJ49" s="54">
        <f t="shared" si="33"/>
        <v>3109806000000</v>
      </c>
      <c r="BK49" s="54">
        <f t="shared" si="33"/>
        <v>3109806000000</v>
      </c>
      <c r="BM49" s="104"/>
      <c r="BN49" s="57" t="s">
        <v>106</v>
      </c>
      <c r="BO49" s="73">
        <f>D48/1000000000000</f>
        <v>0</v>
      </c>
      <c r="BP49" s="73">
        <f>M48/1000000000000</f>
        <v>0</v>
      </c>
      <c r="BQ49" s="73">
        <f>W48/1000000000000</f>
        <v>9.6664665800000021E-2</v>
      </c>
      <c r="BR49" s="73">
        <f>AG48/1000000000000</f>
        <v>0.14241139999999999</v>
      </c>
      <c r="BS49" s="73">
        <f>AQ48/1000000000000</f>
        <v>0.14241139999999999</v>
      </c>
      <c r="BT49" s="73">
        <f>BA48/1000000000000</f>
        <v>0.14241139999999999</v>
      </c>
      <c r="BU49" s="73">
        <f>BK48/1000000000000</f>
        <v>0.14241139999999999</v>
      </c>
    </row>
    <row r="50" spans="1:75" x14ac:dyDescent="0.25">
      <c r="A50" s="54" t="s">
        <v>71</v>
      </c>
      <c r="B50" s="54" t="s">
        <v>106</v>
      </c>
      <c r="C50" s="54" t="s">
        <v>109</v>
      </c>
      <c r="D50" s="54">
        <f>D55*$D$66</f>
        <v>3290087890.1688004</v>
      </c>
      <c r="E50" s="54">
        <f t="shared" ref="E50:BK50" si="34">E55*$D$66</f>
        <v>6580175780.3376007</v>
      </c>
      <c r="F50" s="54">
        <f t="shared" si="34"/>
        <v>9870263670.506403</v>
      </c>
      <c r="G50" s="54">
        <f t="shared" si="34"/>
        <v>13160351560.675201</v>
      </c>
      <c r="H50" s="54">
        <f t="shared" si="34"/>
        <v>16450439450.844002</v>
      </c>
      <c r="I50" s="54">
        <f t="shared" si="34"/>
        <v>19740527341.012802</v>
      </c>
      <c r="J50" s="54">
        <f t="shared" si="34"/>
        <v>23030615231.181599</v>
      </c>
      <c r="K50" s="54">
        <f t="shared" si="34"/>
        <v>26320703121.350399</v>
      </c>
      <c r="L50" s="54">
        <f t="shared" si="34"/>
        <v>29610791011.519199</v>
      </c>
      <c r="M50" s="54">
        <f t="shared" si="34"/>
        <v>32900878901.688004</v>
      </c>
      <c r="N50" s="54">
        <f t="shared" si="34"/>
        <v>41234325202.444504</v>
      </c>
      <c r="O50" s="54">
        <f t="shared" si="34"/>
        <v>53723671996.045807</v>
      </c>
      <c r="P50" s="54">
        <f t="shared" si="34"/>
        <v>71797510076.907303</v>
      </c>
      <c r="Q50" s="54">
        <f t="shared" si="34"/>
        <v>90910323280.980011</v>
      </c>
      <c r="R50" s="54">
        <f t="shared" si="34"/>
        <v>141395856143.01758</v>
      </c>
      <c r="S50" s="54">
        <f t="shared" si="34"/>
        <v>234394952327.95343</v>
      </c>
      <c r="T50" s="54">
        <f t="shared" si="34"/>
        <v>317922058639.61383</v>
      </c>
      <c r="U50" s="54">
        <f t="shared" si="34"/>
        <v>479342300000</v>
      </c>
      <c r="V50" s="54">
        <f t="shared" si="34"/>
        <v>562426371500</v>
      </c>
      <c r="W50" s="54">
        <f t="shared" si="34"/>
        <v>645510443000</v>
      </c>
      <c r="X50" s="54">
        <f t="shared" si="34"/>
        <v>728594514499.99988</v>
      </c>
      <c r="Y50" s="54">
        <f t="shared" si="34"/>
        <v>811678586000</v>
      </c>
      <c r="Z50" s="54">
        <f t="shared" si="34"/>
        <v>894762657500</v>
      </c>
      <c r="AA50" s="54">
        <f t="shared" si="34"/>
        <v>977846729000.00024</v>
      </c>
      <c r="AB50" s="54">
        <f t="shared" si="34"/>
        <v>1060930800500.0002</v>
      </c>
      <c r="AC50" s="54">
        <f t="shared" si="34"/>
        <v>1144014872000.0002</v>
      </c>
      <c r="AD50" s="54">
        <f t="shared" si="34"/>
        <v>1227098943500.0002</v>
      </c>
      <c r="AE50" s="54">
        <f t="shared" si="34"/>
        <v>1310183015000.0002</v>
      </c>
      <c r="AF50" s="54">
        <f t="shared" si="34"/>
        <v>1393266900000.0002</v>
      </c>
      <c r="AG50" s="54">
        <f t="shared" si="34"/>
        <v>1393266900000.0002</v>
      </c>
      <c r="AH50" s="54">
        <f t="shared" si="34"/>
        <v>1393266900000.0002</v>
      </c>
      <c r="AI50" s="54">
        <f t="shared" si="34"/>
        <v>1393266900000.0002</v>
      </c>
      <c r="AJ50" s="54">
        <f t="shared" si="34"/>
        <v>1393266900000.0002</v>
      </c>
      <c r="AK50" s="54">
        <f t="shared" si="34"/>
        <v>1393266900000.0002</v>
      </c>
      <c r="AL50" s="54">
        <f t="shared" si="34"/>
        <v>1393266900000.0002</v>
      </c>
      <c r="AM50" s="54">
        <f t="shared" si="34"/>
        <v>1393266900000.0002</v>
      </c>
      <c r="AN50" s="54">
        <f t="shared" si="34"/>
        <v>1393266900000.0002</v>
      </c>
      <c r="AO50" s="54">
        <f t="shared" si="34"/>
        <v>1393266900000.0002</v>
      </c>
      <c r="AP50" s="54">
        <f t="shared" si="34"/>
        <v>1393266900000.0002</v>
      </c>
      <c r="AQ50" s="54">
        <f t="shared" si="34"/>
        <v>1393266900000.0002</v>
      </c>
      <c r="AR50" s="54">
        <f t="shared" si="34"/>
        <v>1393266900000.0002</v>
      </c>
      <c r="AS50" s="54">
        <f t="shared" si="34"/>
        <v>1393266900000.0002</v>
      </c>
      <c r="AT50" s="54">
        <f t="shared" si="34"/>
        <v>1393266900000.0002</v>
      </c>
      <c r="AU50" s="54">
        <f t="shared" si="34"/>
        <v>1393266900000.0002</v>
      </c>
      <c r="AV50" s="54">
        <f t="shared" si="34"/>
        <v>1393266900000.0002</v>
      </c>
      <c r="AW50" s="54">
        <f t="shared" si="34"/>
        <v>1393266900000.0002</v>
      </c>
      <c r="AX50" s="54">
        <f t="shared" si="34"/>
        <v>1393266900000.0002</v>
      </c>
      <c r="AY50" s="54">
        <f t="shared" si="34"/>
        <v>1393266900000.0002</v>
      </c>
      <c r="AZ50" s="54">
        <f t="shared" si="34"/>
        <v>1393266900000.0002</v>
      </c>
      <c r="BA50" s="54">
        <f t="shared" si="34"/>
        <v>1393266900000.0002</v>
      </c>
      <c r="BB50" s="54">
        <f t="shared" si="34"/>
        <v>1393266900000.0002</v>
      </c>
      <c r="BC50" s="54">
        <f t="shared" si="34"/>
        <v>1393266900000.0002</v>
      </c>
      <c r="BD50" s="54">
        <f t="shared" si="34"/>
        <v>1393266900000.0002</v>
      </c>
      <c r="BE50" s="54">
        <f t="shared" si="34"/>
        <v>1393266900000.0002</v>
      </c>
      <c r="BF50" s="54">
        <f t="shared" si="34"/>
        <v>1393266900000.0002</v>
      </c>
      <c r="BG50" s="54">
        <f t="shared" si="34"/>
        <v>1393266900000.0002</v>
      </c>
      <c r="BH50" s="54">
        <f t="shared" si="34"/>
        <v>1393266900000.0002</v>
      </c>
      <c r="BI50" s="54">
        <f t="shared" si="34"/>
        <v>1393266900000.0002</v>
      </c>
      <c r="BJ50" s="54">
        <f t="shared" si="34"/>
        <v>1393266900000.0002</v>
      </c>
      <c r="BK50" s="54">
        <f t="shared" si="34"/>
        <v>1393266900000.0002</v>
      </c>
      <c r="BM50" s="104" t="s">
        <v>71</v>
      </c>
      <c r="BN50" s="57" t="s">
        <v>105</v>
      </c>
      <c r="BO50" s="73">
        <f>D49/1000000000000</f>
        <v>3.8467632636660407E-2</v>
      </c>
      <c r="BP50" s="73">
        <f>M49/1000000000000</f>
        <v>0.38467632636660404</v>
      </c>
      <c r="BQ50" s="74">
        <f>W49/1000000000000</f>
        <v>1.6670354976000001</v>
      </c>
      <c r="BR50" s="74">
        <f>AG49/1000000000000</f>
        <v>3.1098059999999998</v>
      </c>
      <c r="BS50" s="74">
        <f>AQ49/1000000000000</f>
        <v>3.1098059999999998</v>
      </c>
      <c r="BT50" s="74">
        <f>BA49/1000000000000</f>
        <v>3.1098059999999998</v>
      </c>
      <c r="BU50" s="74">
        <f>BK49/1000000000000</f>
        <v>3.1098059999999998</v>
      </c>
    </row>
    <row r="51" spans="1:75" x14ac:dyDescent="0.25">
      <c r="A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M51" s="105"/>
      <c r="BN51" s="58" t="s">
        <v>106</v>
      </c>
      <c r="BO51" s="75">
        <f>D50/1000000000000</f>
        <v>3.2900878901688003E-3</v>
      </c>
      <c r="BP51" s="75">
        <f>M50/1000000000000</f>
        <v>3.2900878901688003E-2</v>
      </c>
      <c r="BQ51" s="75">
        <f>W50/1000000000000</f>
        <v>0.64551044300000004</v>
      </c>
      <c r="BR51" s="76">
        <f>AG50/1000000000000</f>
        <v>1.3932669000000002</v>
      </c>
      <c r="BS51" s="76">
        <f>AQ50/1000000000000</f>
        <v>1.3932669000000002</v>
      </c>
      <c r="BT51" s="76">
        <f>BA50/1000000000000</f>
        <v>1.3932669000000002</v>
      </c>
      <c r="BU51" s="76">
        <f>BK50/1000000000000</f>
        <v>1.3932669000000002</v>
      </c>
      <c r="BV51" s="102">
        <f>SUM(BP48:BP51)</f>
        <v>0.62703584356291242</v>
      </c>
      <c r="BW51" s="102"/>
    </row>
    <row r="52" spans="1:75" s="54" customFormat="1" x14ac:dyDescent="0.25">
      <c r="A52" s="54" t="s">
        <v>38</v>
      </c>
      <c r="B52" s="54" t="s">
        <v>105</v>
      </c>
      <c r="C52" s="54" t="s">
        <v>114</v>
      </c>
      <c r="D52" s="54">
        <f>'Sce 3 Table'!D52</f>
        <v>161792820</v>
      </c>
      <c r="E52" s="54">
        <f>'Sce 3 Table'!E52</f>
        <v>323585640</v>
      </c>
      <c r="F52" s="54">
        <f>'Sce 3 Table'!F52</f>
        <v>485378460</v>
      </c>
      <c r="G52" s="54">
        <f>'Sce 3 Table'!G52</f>
        <v>647171280</v>
      </c>
      <c r="H52" s="54">
        <f>'Sce 3 Table'!H52</f>
        <v>808964100</v>
      </c>
      <c r="I52" s="54">
        <f>'Sce 3 Table'!I52</f>
        <v>970756920.00000012</v>
      </c>
      <c r="J52" s="54">
        <f>'Sce 3 Table'!J52</f>
        <v>1132549740</v>
      </c>
      <c r="K52" s="54">
        <f>'Sce 3 Table'!K52</f>
        <v>1294342560</v>
      </c>
      <c r="L52" s="54">
        <f>'Sce 3 Table'!L52</f>
        <v>1456135380</v>
      </c>
      <c r="M52" s="54">
        <f>'Sce 3 Table'!M52</f>
        <v>1617928200</v>
      </c>
      <c r="N52" s="54">
        <f>'Sce 3 Table'!N52</f>
        <v>1765249500</v>
      </c>
      <c r="O52" s="54">
        <f>'Sce 3 Table'!O52</f>
        <v>2140221300</v>
      </c>
      <c r="P52" s="54">
        <f>'Sce 3 Table'!P52</f>
        <v>2804470200</v>
      </c>
      <c r="Q52" s="54">
        <f>'Sce 3 Table'!Q52</f>
        <v>3395135100</v>
      </c>
      <c r="R52" s="54">
        <f>'Sce 3 Table'!R52</f>
        <v>3904397700</v>
      </c>
      <c r="S52" s="54">
        <f>'Sce 3 Table'!S52</f>
        <v>4884352620</v>
      </c>
      <c r="T52" s="54">
        <f>'Sce 3 Table'!T52</f>
        <v>6521044740</v>
      </c>
      <c r="U52" s="54">
        <f>U57*1000000/$D$64</f>
        <v>9216438906.2215195</v>
      </c>
      <c r="V52" s="54">
        <f t="shared" ref="V52:BK52" si="35">V57*1000000/$D$64</f>
        <v>10009699873.989872</v>
      </c>
      <c r="W52" s="54">
        <f t="shared" si="35"/>
        <v>10802960841.758224</v>
      </c>
      <c r="X52" s="54">
        <f t="shared" si="35"/>
        <v>11596221809.526577</v>
      </c>
      <c r="Y52" s="54">
        <f t="shared" si="35"/>
        <v>12389482777.29493</v>
      </c>
      <c r="Z52" s="54">
        <f t="shared" si="35"/>
        <v>13182743745.063282</v>
      </c>
      <c r="AA52" s="54">
        <f t="shared" si="35"/>
        <v>13976004712.831633</v>
      </c>
      <c r="AB52" s="54">
        <f t="shared" si="35"/>
        <v>14769265680.599985</v>
      </c>
      <c r="AC52" s="54">
        <f t="shared" si="35"/>
        <v>15562526648.368338</v>
      </c>
      <c r="AD52" s="54">
        <f t="shared" si="35"/>
        <v>16355787616.13669</v>
      </c>
      <c r="AE52" s="54">
        <f t="shared" si="35"/>
        <v>17149048583.905043</v>
      </c>
      <c r="AF52" s="54">
        <f t="shared" si="35"/>
        <v>17942310080.01775</v>
      </c>
      <c r="AG52" s="54">
        <f t="shared" si="35"/>
        <v>17942310080.01775</v>
      </c>
      <c r="AH52" s="54">
        <f t="shared" si="35"/>
        <v>17942310080.01775</v>
      </c>
      <c r="AI52" s="54">
        <f t="shared" si="35"/>
        <v>17942310080.01775</v>
      </c>
      <c r="AJ52" s="54">
        <f t="shared" si="35"/>
        <v>17942310080.01775</v>
      </c>
      <c r="AK52" s="54">
        <f t="shared" si="35"/>
        <v>17942310080.01775</v>
      </c>
      <c r="AL52" s="54">
        <f t="shared" si="35"/>
        <v>17942310080.01775</v>
      </c>
      <c r="AM52" s="54">
        <f t="shared" si="35"/>
        <v>17942310080.01775</v>
      </c>
      <c r="AN52" s="54">
        <f t="shared" si="35"/>
        <v>17942310080.01775</v>
      </c>
      <c r="AO52" s="54">
        <f t="shared" si="35"/>
        <v>17942310080.01775</v>
      </c>
      <c r="AP52" s="54">
        <f t="shared" si="35"/>
        <v>17942310080.01775</v>
      </c>
      <c r="AQ52" s="54">
        <f t="shared" si="35"/>
        <v>17942310080.01775</v>
      </c>
      <c r="AR52" s="54">
        <f t="shared" si="35"/>
        <v>17942310080.01775</v>
      </c>
      <c r="AS52" s="54">
        <f t="shared" si="35"/>
        <v>17942310080.01775</v>
      </c>
      <c r="AT52" s="54">
        <f t="shared" si="35"/>
        <v>17942310080.01775</v>
      </c>
      <c r="AU52" s="54">
        <f t="shared" si="35"/>
        <v>17942310080.01775</v>
      </c>
      <c r="AV52" s="54">
        <f t="shared" si="35"/>
        <v>17942310080.01775</v>
      </c>
      <c r="AW52" s="54">
        <f t="shared" si="35"/>
        <v>17942310080.01775</v>
      </c>
      <c r="AX52" s="54">
        <f t="shared" si="35"/>
        <v>17942310080.01775</v>
      </c>
      <c r="AY52" s="54">
        <f t="shared" si="35"/>
        <v>17942310080.01775</v>
      </c>
      <c r="AZ52" s="54">
        <f t="shared" si="35"/>
        <v>17942310080.01775</v>
      </c>
      <c r="BA52" s="54">
        <f t="shared" si="35"/>
        <v>17942310080.01775</v>
      </c>
      <c r="BB52" s="54">
        <f t="shared" si="35"/>
        <v>17942310080.01775</v>
      </c>
      <c r="BC52" s="54">
        <f t="shared" si="35"/>
        <v>17942310080.01775</v>
      </c>
      <c r="BD52" s="54">
        <f t="shared" si="35"/>
        <v>17942310080.01775</v>
      </c>
      <c r="BE52" s="54">
        <f t="shared" si="35"/>
        <v>17942310080.01775</v>
      </c>
      <c r="BF52" s="54">
        <f t="shared" si="35"/>
        <v>17942310080.01775</v>
      </c>
      <c r="BG52" s="54">
        <f t="shared" si="35"/>
        <v>17942310080.01775</v>
      </c>
      <c r="BH52" s="54">
        <f t="shared" si="35"/>
        <v>17942310080.01775</v>
      </c>
      <c r="BI52" s="54">
        <f t="shared" si="35"/>
        <v>17942310080.01775</v>
      </c>
      <c r="BJ52" s="54">
        <f t="shared" si="35"/>
        <v>17942310080.01775</v>
      </c>
      <c r="BK52" s="54">
        <f t="shared" si="35"/>
        <v>17942310080.01775</v>
      </c>
      <c r="BM52" s="69" t="s">
        <v>120</v>
      </c>
    </row>
    <row r="53" spans="1:75" s="54" customFormat="1" x14ac:dyDescent="0.25">
      <c r="A53" s="54" t="s">
        <v>38</v>
      </c>
      <c r="B53" s="54" t="s">
        <v>106</v>
      </c>
      <c r="C53" s="54" t="s">
        <v>114</v>
      </c>
      <c r="D53" s="54">
        <f>'Sce 3 Table'!D53</f>
        <v>0</v>
      </c>
      <c r="E53" s="54">
        <f>'Sce 3 Table'!E53</f>
        <v>0</v>
      </c>
      <c r="F53" s="54">
        <f>'Sce 3 Table'!F53</f>
        <v>0</v>
      </c>
      <c r="G53" s="54">
        <f>'Sce 3 Table'!G53</f>
        <v>0</v>
      </c>
      <c r="H53" s="54">
        <f>'Sce 3 Table'!H53</f>
        <v>0</v>
      </c>
      <c r="I53" s="54">
        <f>'Sce 3 Table'!I53</f>
        <v>0</v>
      </c>
      <c r="J53" s="54">
        <f>'Sce 3 Table'!J53</f>
        <v>0</v>
      </c>
      <c r="K53" s="54">
        <f>'Sce 3 Table'!K53</f>
        <v>0</v>
      </c>
      <c r="L53" s="54">
        <f>'Sce 3 Table'!L53</f>
        <v>0</v>
      </c>
      <c r="M53" s="54">
        <f>'Sce 3 Table'!M53</f>
        <v>0</v>
      </c>
      <c r="N53" s="54">
        <f>'Sce 3 Table'!N53</f>
        <v>8569470</v>
      </c>
      <c r="O53" s="54">
        <f>'Sce 3 Table'!O53</f>
        <v>10485720</v>
      </c>
      <c r="P53" s="54">
        <f>'Sce 3 Table'!P53</f>
        <v>14210910</v>
      </c>
      <c r="Q53" s="54">
        <f>'Sce 3 Table'!Q53</f>
        <v>27900600</v>
      </c>
      <c r="R53" s="54">
        <f>'Sce 3 Table'!R53</f>
        <v>90784260</v>
      </c>
      <c r="S53" s="54">
        <f>'Sce 3 Table'!S53</f>
        <v>250446210</v>
      </c>
      <c r="T53" s="54">
        <f>'Sce 3 Table'!T53</f>
        <v>489824160</v>
      </c>
      <c r="U53" s="54">
        <f t="shared" ref="U53:BK55" si="36">U58*1000000/$D$64</f>
        <v>612615278.13367641</v>
      </c>
      <c r="V53" s="54">
        <f t="shared" si="36"/>
        <v>648614813.1906451</v>
      </c>
      <c r="W53" s="54">
        <f t="shared" si="36"/>
        <v>684614348.24761391</v>
      </c>
      <c r="X53" s="54">
        <f t="shared" si="36"/>
        <v>720613883.30458272</v>
      </c>
      <c r="Y53" s="54">
        <f t="shared" si="36"/>
        <v>756613418.3615514</v>
      </c>
      <c r="Z53" s="54">
        <f t="shared" si="36"/>
        <v>792612953.41852009</v>
      </c>
      <c r="AA53" s="54">
        <f t="shared" si="36"/>
        <v>828612488.47548902</v>
      </c>
      <c r="AB53" s="54">
        <f t="shared" si="36"/>
        <v>864612023.53245771</v>
      </c>
      <c r="AC53" s="54">
        <f t="shared" si="36"/>
        <v>900611558.5894264</v>
      </c>
      <c r="AD53" s="54">
        <f t="shared" si="36"/>
        <v>936611093.64639533</v>
      </c>
      <c r="AE53" s="54">
        <f t="shared" si="36"/>
        <v>972610628.70336401</v>
      </c>
      <c r="AF53" s="54">
        <f t="shared" si="36"/>
        <v>1008609371.2438018</v>
      </c>
      <c r="AG53" s="54">
        <f t="shared" si="36"/>
        <v>1008609371.2438018</v>
      </c>
      <c r="AH53" s="54">
        <f t="shared" si="36"/>
        <v>1008609371.2438018</v>
      </c>
      <c r="AI53" s="54">
        <f t="shared" si="36"/>
        <v>1008609371.2438018</v>
      </c>
      <c r="AJ53" s="54">
        <f t="shared" si="36"/>
        <v>1008609371.2438018</v>
      </c>
      <c r="AK53" s="54">
        <f t="shared" si="36"/>
        <v>1008609371.2438018</v>
      </c>
      <c r="AL53" s="54">
        <f t="shared" si="36"/>
        <v>1008609371.2438018</v>
      </c>
      <c r="AM53" s="54">
        <f t="shared" si="36"/>
        <v>1008609371.2438018</v>
      </c>
      <c r="AN53" s="54">
        <f t="shared" si="36"/>
        <v>1008609371.2438018</v>
      </c>
      <c r="AO53" s="54">
        <f t="shared" si="36"/>
        <v>1008609371.2438018</v>
      </c>
      <c r="AP53" s="54">
        <f t="shared" si="36"/>
        <v>1008609371.2438018</v>
      </c>
      <c r="AQ53" s="54">
        <f t="shared" si="36"/>
        <v>1008609371.2438018</v>
      </c>
      <c r="AR53" s="54">
        <f t="shared" si="36"/>
        <v>1008609371.2438018</v>
      </c>
      <c r="AS53" s="54">
        <f t="shared" si="36"/>
        <v>1008609371.2438018</v>
      </c>
      <c r="AT53" s="54">
        <f t="shared" si="36"/>
        <v>1008609371.2438018</v>
      </c>
      <c r="AU53" s="54">
        <f t="shared" si="36"/>
        <v>1008609371.2438018</v>
      </c>
      <c r="AV53" s="54">
        <f t="shared" si="36"/>
        <v>1008609371.2438018</v>
      </c>
      <c r="AW53" s="54">
        <f t="shared" si="36"/>
        <v>1008609371.2438018</v>
      </c>
      <c r="AX53" s="54">
        <f t="shared" si="36"/>
        <v>1008609371.2438018</v>
      </c>
      <c r="AY53" s="54">
        <f t="shared" si="36"/>
        <v>1008609371.2438018</v>
      </c>
      <c r="AZ53" s="54">
        <f t="shared" si="36"/>
        <v>1008609371.2438018</v>
      </c>
      <c r="BA53" s="54">
        <f t="shared" si="36"/>
        <v>1008609371.2438018</v>
      </c>
      <c r="BB53" s="54">
        <f t="shared" si="36"/>
        <v>1008609371.2438018</v>
      </c>
      <c r="BC53" s="54">
        <f t="shared" si="36"/>
        <v>1008609371.2438018</v>
      </c>
      <c r="BD53" s="54">
        <f t="shared" si="36"/>
        <v>1008609371.2438018</v>
      </c>
      <c r="BE53" s="54">
        <f t="shared" si="36"/>
        <v>1008609371.2438018</v>
      </c>
      <c r="BF53" s="54">
        <f t="shared" si="36"/>
        <v>1008609371.2438018</v>
      </c>
      <c r="BG53" s="54">
        <f t="shared" si="36"/>
        <v>1008609371.2438018</v>
      </c>
      <c r="BH53" s="54">
        <f t="shared" si="36"/>
        <v>1008609371.2438018</v>
      </c>
      <c r="BI53" s="54">
        <f t="shared" si="36"/>
        <v>1008609371.2438018</v>
      </c>
      <c r="BJ53" s="54">
        <f t="shared" si="36"/>
        <v>1008609371.2438018</v>
      </c>
      <c r="BK53" s="54">
        <f t="shared" si="36"/>
        <v>1008609371.2438018</v>
      </c>
    </row>
    <row r="54" spans="1:75" s="54" customFormat="1" x14ac:dyDescent="0.25">
      <c r="A54" s="54" t="s">
        <v>71</v>
      </c>
      <c r="B54" s="54" t="s">
        <v>105</v>
      </c>
      <c r="C54" s="54" t="s">
        <v>114</v>
      </c>
      <c r="D54" s="54">
        <f>'Sce 3 Table'!D54</f>
        <v>297136791</v>
      </c>
      <c r="E54" s="54">
        <f>'Sce 3 Table'!E54</f>
        <v>594273582</v>
      </c>
      <c r="F54" s="54">
        <f>'Sce 3 Table'!F54</f>
        <v>891410372.99999988</v>
      </c>
      <c r="G54" s="54">
        <f>'Sce 3 Table'!G54</f>
        <v>1188547164</v>
      </c>
      <c r="H54" s="54">
        <f>'Sce 3 Table'!H54</f>
        <v>1485683955</v>
      </c>
      <c r="I54" s="54">
        <f>'Sce 3 Table'!I54</f>
        <v>1782820745.9999998</v>
      </c>
      <c r="J54" s="54">
        <f>'Sce 3 Table'!J54</f>
        <v>2079957537</v>
      </c>
      <c r="K54" s="54">
        <f>'Sce 3 Table'!K54</f>
        <v>2377094328</v>
      </c>
      <c r="L54" s="54">
        <f>'Sce 3 Table'!L54</f>
        <v>2674231119</v>
      </c>
      <c r="M54" s="54">
        <f>'Sce 3 Table'!M54</f>
        <v>2971367910</v>
      </c>
      <c r="N54" s="54">
        <f>'Sce 3 Table'!N54</f>
        <v>3190264979.9999995</v>
      </c>
      <c r="O54" s="54">
        <f>'Sce 3 Table'!O54</f>
        <v>3653936159.9999995</v>
      </c>
      <c r="P54" s="54">
        <f>'Sce 3 Table'!P54</f>
        <v>4328747430</v>
      </c>
      <c r="Q54" s="54">
        <f>'Sce 3 Table'!Q54</f>
        <v>4437529110</v>
      </c>
      <c r="R54" s="54">
        <f>'Sce 3 Table'!R54</f>
        <v>5064081540</v>
      </c>
      <c r="S54" s="54">
        <f>'Sce 3 Table'!S54</f>
        <v>6088018230</v>
      </c>
      <c r="T54" s="54">
        <f>'Sce 3 Table'!T54</f>
        <v>7648137000.000001</v>
      </c>
      <c r="U54" s="54">
        <f>U59*1000000/$D$64</f>
        <v>10400194430.722168</v>
      </c>
      <c r="V54" s="54">
        <f>V59*1000000/$D$64</f>
        <v>11638465582.327938</v>
      </c>
      <c r="W54" s="54">
        <f t="shared" si="36"/>
        <v>12876736733.933708</v>
      </c>
      <c r="X54" s="54">
        <f t="shared" si="36"/>
        <v>14115007885.53948</v>
      </c>
      <c r="Y54" s="54">
        <f t="shared" si="36"/>
        <v>15353279037.14525</v>
      </c>
      <c r="Z54" s="54">
        <f t="shared" si="36"/>
        <v>16591550188.751022</v>
      </c>
      <c r="AA54" s="54">
        <f t="shared" si="36"/>
        <v>17829821340.356792</v>
      </c>
      <c r="AB54" s="54">
        <f t="shared" si="36"/>
        <v>19068092491.962566</v>
      </c>
      <c r="AC54" s="54">
        <f t="shared" si="36"/>
        <v>20306363643.568336</v>
      </c>
      <c r="AD54" s="54">
        <f t="shared" si="36"/>
        <v>21544634795.174107</v>
      </c>
      <c r="AE54" s="54">
        <f t="shared" si="36"/>
        <v>22782905946.779877</v>
      </c>
      <c r="AF54" s="54">
        <f t="shared" si="36"/>
        <v>24021176041.696934</v>
      </c>
      <c r="AG54" s="54">
        <f t="shared" si="36"/>
        <v>24021176041.696934</v>
      </c>
      <c r="AH54" s="54">
        <f t="shared" si="36"/>
        <v>24021176041.696934</v>
      </c>
      <c r="AI54" s="54">
        <f t="shared" si="36"/>
        <v>24021176041.696934</v>
      </c>
      <c r="AJ54" s="54">
        <f t="shared" si="36"/>
        <v>24021176041.696934</v>
      </c>
      <c r="AK54" s="54">
        <f t="shared" si="36"/>
        <v>24021176041.696934</v>
      </c>
      <c r="AL54" s="54">
        <f t="shared" si="36"/>
        <v>24021176041.696934</v>
      </c>
      <c r="AM54" s="54">
        <f t="shared" si="36"/>
        <v>24021176041.696934</v>
      </c>
      <c r="AN54" s="54">
        <f t="shared" si="36"/>
        <v>24021176041.696934</v>
      </c>
      <c r="AO54" s="54">
        <f t="shared" si="36"/>
        <v>24021176041.696934</v>
      </c>
      <c r="AP54" s="54">
        <f t="shared" si="36"/>
        <v>24021176041.696934</v>
      </c>
      <c r="AQ54" s="54">
        <f t="shared" si="36"/>
        <v>24021176041.696934</v>
      </c>
      <c r="AR54" s="54">
        <f t="shared" si="36"/>
        <v>24021176041.696934</v>
      </c>
      <c r="AS54" s="54">
        <f t="shared" si="36"/>
        <v>24021176041.696934</v>
      </c>
      <c r="AT54" s="54">
        <f t="shared" si="36"/>
        <v>24021176041.696934</v>
      </c>
      <c r="AU54" s="54">
        <f t="shared" si="36"/>
        <v>24021176041.696934</v>
      </c>
      <c r="AV54" s="54">
        <f t="shared" si="36"/>
        <v>24021176041.696934</v>
      </c>
      <c r="AW54" s="54">
        <f t="shared" si="36"/>
        <v>24021176041.696934</v>
      </c>
      <c r="AX54" s="54">
        <f t="shared" si="36"/>
        <v>24021176041.696934</v>
      </c>
      <c r="AY54" s="54">
        <f t="shared" si="36"/>
        <v>24021176041.696934</v>
      </c>
      <c r="AZ54" s="54">
        <f t="shared" si="36"/>
        <v>24021176041.696934</v>
      </c>
      <c r="BA54" s="54">
        <f t="shared" si="36"/>
        <v>24021176041.696934</v>
      </c>
      <c r="BB54" s="54">
        <f t="shared" si="36"/>
        <v>24021176041.696934</v>
      </c>
      <c r="BC54" s="54">
        <f t="shared" si="36"/>
        <v>24021176041.696934</v>
      </c>
      <c r="BD54" s="54">
        <f t="shared" si="36"/>
        <v>24021176041.696934</v>
      </c>
      <c r="BE54" s="54">
        <f t="shared" si="36"/>
        <v>24021176041.696934</v>
      </c>
      <c r="BF54" s="54">
        <f t="shared" si="36"/>
        <v>24021176041.696934</v>
      </c>
      <c r="BG54" s="54">
        <f t="shared" si="36"/>
        <v>24021176041.696934</v>
      </c>
      <c r="BH54" s="54">
        <f t="shared" si="36"/>
        <v>24021176041.696934</v>
      </c>
      <c r="BI54" s="54">
        <f t="shared" si="36"/>
        <v>24021176041.696934</v>
      </c>
      <c r="BJ54" s="54">
        <f t="shared" si="36"/>
        <v>24021176041.696934</v>
      </c>
      <c r="BK54" s="54">
        <f t="shared" si="36"/>
        <v>24021176041.696934</v>
      </c>
    </row>
    <row r="55" spans="1:75" s="54" customFormat="1" x14ac:dyDescent="0.25">
      <c r="A55" s="54" t="s">
        <v>71</v>
      </c>
      <c r="B55" s="54" t="s">
        <v>106</v>
      </c>
      <c r="C55" s="54" t="s">
        <v>114</v>
      </c>
      <c r="D55" s="54">
        <f>'Sce 3 Table'!D55</f>
        <v>23301600</v>
      </c>
      <c r="E55" s="54">
        <f>'Sce 3 Table'!E55</f>
        <v>46603200</v>
      </c>
      <c r="F55" s="54">
        <f>'Sce 3 Table'!F55</f>
        <v>69904800.000000015</v>
      </c>
      <c r="G55" s="54">
        <f>'Sce 3 Table'!G55</f>
        <v>93206400</v>
      </c>
      <c r="H55" s="54">
        <f>'Sce 3 Table'!H55</f>
        <v>116508000</v>
      </c>
      <c r="I55" s="54">
        <f>'Sce 3 Table'!I55</f>
        <v>139809600</v>
      </c>
      <c r="J55" s="54">
        <f>'Sce 3 Table'!J55</f>
        <v>163111199.99999997</v>
      </c>
      <c r="K55" s="54">
        <f>'Sce 3 Table'!K55</f>
        <v>186412799.99999997</v>
      </c>
      <c r="L55" s="54">
        <f>'Sce 3 Table'!L55</f>
        <v>209714399.99999997</v>
      </c>
      <c r="M55" s="54">
        <f>'Sce 3 Table'!M55</f>
        <v>233016000</v>
      </c>
      <c r="N55" s="54">
        <f>'Sce 3 Table'!N55</f>
        <v>292036500</v>
      </c>
      <c r="O55" s="54">
        <f>'Sce 3 Table'!O55</f>
        <v>380490600</v>
      </c>
      <c r="P55" s="54">
        <f>'Sce 3 Table'!P55</f>
        <v>508496100</v>
      </c>
      <c r="Q55" s="54">
        <f>'Sce 3 Table'!Q55</f>
        <v>643860000</v>
      </c>
      <c r="R55" s="54">
        <f>'Sce 3 Table'!R55</f>
        <v>1001416920</v>
      </c>
      <c r="S55" s="54">
        <f>'Sce 3 Table'!S55</f>
        <v>1660070370</v>
      </c>
      <c r="T55" s="54">
        <f>'Sce 3 Table'!T55</f>
        <v>2251639740</v>
      </c>
      <c r="U55" s="54">
        <f>U60*1000000/$D$64</f>
        <v>3394876644.8020158</v>
      </c>
      <c r="V55" s="54">
        <f t="shared" si="36"/>
        <v>3983308281.0052276</v>
      </c>
      <c r="W55" s="54">
        <f t="shared" si="36"/>
        <v>4571739917.2084398</v>
      </c>
      <c r="X55" s="54">
        <f t="shared" si="36"/>
        <v>5160171553.4116507</v>
      </c>
      <c r="Y55" s="54">
        <f t="shared" si="36"/>
        <v>5748603189.6148634</v>
      </c>
      <c r="Z55" s="54">
        <f t="shared" si="36"/>
        <v>6337034825.8180752</v>
      </c>
      <c r="AA55" s="54">
        <f t="shared" si="36"/>
        <v>6925466462.0212879</v>
      </c>
      <c r="AB55" s="54">
        <f t="shared" si="36"/>
        <v>7513898098.2244997</v>
      </c>
      <c r="AC55" s="54">
        <f t="shared" si="36"/>
        <v>8102329734.4277124</v>
      </c>
      <c r="AD55" s="54">
        <f t="shared" si="36"/>
        <v>8690761370.6309242</v>
      </c>
      <c r="AE55" s="54">
        <f t="shared" si="36"/>
        <v>9279193006.8341351</v>
      </c>
      <c r="AF55" s="54">
        <f t="shared" si="36"/>
        <v>9867623322.1764622</v>
      </c>
      <c r="AG55" s="54">
        <f t="shared" si="36"/>
        <v>9867623322.1764622</v>
      </c>
      <c r="AH55" s="54">
        <f t="shared" si="36"/>
        <v>9867623322.1764622</v>
      </c>
      <c r="AI55" s="54">
        <f t="shared" si="36"/>
        <v>9867623322.1764622</v>
      </c>
      <c r="AJ55" s="54">
        <f t="shared" si="36"/>
        <v>9867623322.1764622</v>
      </c>
      <c r="AK55" s="54">
        <f t="shared" si="36"/>
        <v>9867623322.1764622</v>
      </c>
      <c r="AL55" s="54">
        <f t="shared" si="36"/>
        <v>9867623322.1764622</v>
      </c>
      <c r="AM55" s="54">
        <f t="shared" si="36"/>
        <v>9867623322.1764622</v>
      </c>
      <c r="AN55" s="54">
        <f t="shared" si="36"/>
        <v>9867623322.1764622</v>
      </c>
      <c r="AO55" s="54">
        <f t="shared" si="36"/>
        <v>9867623322.1764622</v>
      </c>
      <c r="AP55" s="54">
        <f t="shared" si="36"/>
        <v>9867623322.1764622</v>
      </c>
      <c r="AQ55" s="54">
        <f t="shared" si="36"/>
        <v>9867623322.1764622</v>
      </c>
      <c r="AR55" s="54">
        <f t="shared" si="36"/>
        <v>9867623322.1764622</v>
      </c>
      <c r="AS55" s="54">
        <f t="shared" si="36"/>
        <v>9867623322.1764622</v>
      </c>
      <c r="AT55" s="54">
        <f t="shared" si="36"/>
        <v>9867623322.1764622</v>
      </c>
      <c r="AU55" s="54">
        <f t="shared" si="36"/>
        <v>9867623322.1764622</v>
      </c>
      <c r="AV55" s="54">
        <f t="shared" si="36"/>
        <v>9867623322.1764622</v>
      </c>
      <c r="AW55" s="54">
        <f t="shared" si="36"/>
        <v>9867623322.1764622</v>
      </c>
      <c r="AX55" s="54">
        <f t="shared" si="36"/>
        <v>9867623322.1764622</v>
      </c>
      <c r="AY55" s="54">
        <f t="shared" si="36"/>
        <v>9867623322.1764622</v>
      </c>
      <c r="AZ55" s="54">
        <f t="shared" si="36"/>
        <v>9867623322.1764622</v>
      </c>
      <c r="BA55" s="54">
        <f t="shared" si="36"/>
        <v>9867623322.1764622</v>
      </c>
      <c r="BB55" s="54">
        <f t="shared" si="36"/>
        <v>9867623322.1764622</v>
      </c>
      <c r="BC55" s="54">
        <f t="shared" si="36"/>
        <v>9867623322.1764622</v>
      </c>
      <c r="BD55" s="54">
        <f t="shared" si="36"/>
        <v>9867623322.1764622</v>
      </c>
      <c r="BE55" s="54">
        <f t="shared" si="36"/>
        <v>9867623322.1764622</v>
      </c>
      <c r="BF55" s="54">
        <f t="shared" si="36"/>
        <v>9867623322.1764622</v>
      </c>
      <c r="BG55" s="54">
        <f t="shared" si="36"/>
        <v>9867623322.1764622</v>
      </c>
      <c r="BH55" s="54">
        <f t="shared" si="36"/>
        <v>9867623322.1764622</v>
      </c>
      <c r="BI55" s="54">
        <f t="shared" si="36"/>
        <v>9867623322.1764622</v>
      </c>
      <c r="BJ55" s="54">
        <f t="shared" si="36"/>
        <v>9867623322.1764622</v>
      </c>
      <c r="BK55" s="54">
        <f t="shared" si="36"/>
        <v>9867623322.1764622</v>
      </c>
    </row>
    <row r="56" spans="1:75" s="54" customFormat="1" x14ac:dyDescent="0.25"/>
    <row r="57" spans="1:75" s="54" customFormat="1" x14ac:dyDescent="0.25">
      <c r="A57" s="54" t="s">
        <v>38</v>
      </c>
      <c r="B57" s="54" t="s">
        <v>105</v>
      </c>
      <c r="C57" s="54" t="s">
        <v>133</v>
      </c>
      <c r="U57" s="54">
        <v>34888</v>
      </c>
      <c r="V57" s="54">
        <v>37890.817999999999</v>
      </c>
      <c r="W57" s="54">
        <v>40893.635999999999</v>
      </c>
      <c r="X57" s="54">
        <v>43896.453999999998</v>
      </c>
      <c r="Y57" s="54">
        <v>46899.271999999997</v>
      </c>
      <c r="Z57" s="54">
        <v>49902.09</v>
      </c>
      <c r="AA57" s="54">
        <v>52904.907999999996</v>
      </c>
      <c r="AB57" s="54">
        <v>55907.725999999995</v>
      </c>
      <c r="AC57" s="54">
        <v>58910.543999999994</v>
      </c>
      <c r="AD57" s="54">
        <v>61913.361999999994</v>
      </c>
      <c r="AE57" s="54">
        <v>64916.179999999993</v>
      </c>
      <c r="AF57" s="54">
        <v>67919</v>
      </c>
      <c r="AG57" s="54">
        <v>67919</v>
      </c>
      <c r="AH57" s="54">
        <v>67919</v>
      </c>
      <c r="AI57" s="54">
        <v>67919</v>
      </c>
      <c r="AJ57" s="54">
        <v>67919</v>
      </c>
      <c r="AK57" s="54">
        <v>67919</v>
      </c>
      <c r="AL57" s="54">
        <v>67919</v>
      </c>
      <c r="AM57" s="54">
        <v>67919</v>
      </c>
      <c r="AN57" s="54">
        <v>67919</v>
      </c>
      <c r="AO57" s="54">
        <v>67919</v>
      </c>
      <c r="AP57" s="54">
        <v>67919</v>
      </c>
      <c r="AQ57" s="54">
        <v>67919</v>
      </c>
      <c r="AR57" s="54">
        <v>67919</v>
      </c>
      <c r="AS57" s="54">
        <v>67919</v>
      </c>
      <c r="AT57" s="54">
        <v>67919</v>
      </c>
      <c r="AU57" s="54">
        <v>67919</v>
      </c>
      <c r="AV57" s="54">
        <v>67919</v>
      </c>
      <c r="AW57" s="54">
        <v>67919</v>
      </c>
      <c r="AX57" s="54">
        <v>67919</v>
      </c>
      <c r="AY57" s="54">
        <v>67919</v>
      </c>
      <c r="AZ57" s="54">
        <v>67919</v>
      </c>
      <c r="BA57" s="54">
        <v>67919</v>
      </c>
      <c r="BB57" s="54">
        <v>67919</v>
      </c>
      <c r="BC57" s="54">
        <v>67919</v>
      </c>
      <c r="BD57" s="54">
        <v>67919</v>
      </c>
      <c r="BE57" s="54">
        <v>67919</v>
      </c>
      <c r="BF57" s="54">
        <v>67919</v>
      </c>
      <c r="BG57" s="54">
        <v>67919</v>
      </c>
      <c r="BH57" s="54">
        <v>67919</v>
      </c>
      <c r="BI57" s="54">
        <v>67919</v>
      </c>
      <c r="BJ57" s="54">
        <v>67919</v>
      </c>
      <c r="BK57" s="54">
        <v>67919</v>
      </c>
    </row>
    <row r="58" spans="1:75" s="54" customFormat="1" x14ac:dyDescent="0.25">
      <c r="A58" s="54" t="s">
        <v>38</v>
      </c>
      <c r="B58" s="54" t="s">
        <v>106</v>
      </c>
      <c r="C58" s="54" t="s">
        <v>133</v>
      </c>
      <c r="U58" s="54">
        <v>2319</v>
      </c>
      <c r="V58" s="54">
        <v>2455.2730000000001</v>
      </c>
      <c r="W58" s="54">
        <v>2591.5460000000003</v>
      </c>
      <c r="X58" s="54">
        <v>2727.8190000000004</v>
      </c>
      <c r="Y58" s="54">
        <v>2864.0920000000006</v>
      </c>
      <c r="Z58" s="54">
        <v>3000.3650000000007</v>
      </c>
      <c r="AA58" s="54">
        <v>3136.6380000000008</v>
      </c>
      <c r="AB58" s="54">
        <v>3272.911000000001</v>
      </c>
      <c r="AC58" s="54">
        <v>3409.1840000000011</v>
      </c>
      <c r="AD58" s="54">
        <v>3545.4570000000012</v>
      </c>
      <c r="AE58" s="54">
        <v>3681.7300000000014</v>
      </c>
      <c r="AF58" s="54">
        <v>3818</v>
      </c>
      <c r="AG58" s="54">
        <v>3818</v>
      </c>
      <c r="AH58" s="54">
        <v>3818</v>
      </c>
      <c r="AI58" s="54">
        <v>3818</v>
      </c>
      <c r="AJ58" s="54">
        <v>3818</v>
      </c>
      <c r="AK58" s="54">
        <v>3818</v>
      </c>
      <c r="AL58" s="54">
        <v>3818</v>
      </c>
      <c r="AM58" s="54">
        <v>3818</v>
      </c>
      <c r="AN58" s="54">
        <v>3818</v>
      </c>
      <c r="AO58" s="54">
        <v>3818</v>
      </c>
      <c r="AP58" s="54">
        <v>3818</v>
      </c>
      <c r="AQ58" s="54">
        <v>3818</v>
      </c>
      <c r="AR58" s="54">
        <v>3818</v>
      </c>
      <c r="AS58" s="54">
        <v>3818</v>
      </c>
      <c r="AT58" s="54">
        <v>3818</v>
      </c>
      <c r="AU58" s="54">
        <v>3818</v>
      </c>
      <c r="AV58" s="54">
        <v>3818</v>
      </c>
      <c r="AW58" s="54">
        <v>3818</v>
      </c>
      <c r="AX58" s="54">
        <v>3818</v>
      </c>
      <c r="AY58" s="54">
        <v>3818</v>
      </c>
      <c r="AZ58" s="54">
        <v>3818</v>
      </c>
      <c r="BA58" s="54">
        <v>3818</v>
      </c>
      <c r="BB58" s="54">
        <v>3818</v>
      </c>
      <c r="BC58" s="54">
        <v>3818</v>
      </c>
      <c r="BD58" s="54">
        <v>3818</v>
      </c>
      <c r="BE58" s="54">
        <v>3818</v>
      </c>
      <c r="BF58" s="54">
        <v>3818</v>
      </c>
      <c r="BG58" s="54">
        <v>3818</v>
      </c>
      <c r="BH58" s="54">
        <v>3818</v>
      </c>
      <c r="BI58" s="54">
        <v>3818</v>
      </c>
      <c r="BJ58" s="54">
        <v>3818</v>
      </c>
      <c r="BK58" s="54">
        <v>3818</v>
      </c>
    </row>
    <row r="59" spans="1:75" s="54" customFormat="1" x14ac:dyDescent="0.25">
      <c r="A59" s="54" t="s">
        <v>71</v>
      </c>
      <c r="B59" s="54" t="s">
        <v>105</v>
      </c>
      <c r="C59" s="54" t="s">
        <v>133</v>
      </c>
      <c r="U59" s="54">
        <v>39369</v>
      </c>
      <c r="V59" s="54">
        <v>44056.364000000001</v>
      </c>
      <c r="W59" s="54">
        <v>48743.728000000003</v>
      </c>
      <c r="X59" s="54">
        <v>53431.092000000004</v>
      </c>
      <c r="Y59" s="54">
        <v>58118.456000000006</v>
      </c>
      <c r="Z59" s="54">
        <v>62805.820000000007</v>
      </c>
      <c r="AA59" s="54">
        <v>67493.184000000008</v>
      </c>
      <c r="AB59" s="54">
        <v>72180.54800000001</v>
      </c>
      <c r="AC59" s="54">
        <v>76867.912000000011</v>
      </c>
      <c r="AD59" s="54">
        <v>81555.276000000013</v>
      </c>
      <c r="AE59" s="54">
        <v>86242.640000000014</v>
      </c>
      <c r="AF59" s="54">
        <v>90930</v>
      </c>
      <c r="AG59" s="54">
        <v>90930</v>
      </c>
      <c r="AH59" s="54">
        <v>90930</v>
      </c>
      <c r="AI59" s="54">
        <v>90930</v>
      </c>
      <c r="AJ59" s="54">
        <v>90930</v>
      </c>
      <c r="AK59" s="54">
        <v>90930</v>
      </c>
      <c r="AL59" s="54">
        <v>90930</v>
      </c>
      <c r="AM59" s="54">
        <v>90930</v>
      </c>
      <c r="AN59" s="54">
        <v>90930</v>
      </c>
      <c r="AO59" s="54">
        <v>90930</v>
      </c>
      <c r="AP59" s="54">
        <v>90930</v>
      </c>
      <c r="AQ59" s="54">
        <v>90930</v>
      </c>
      <c r="AR59" s="54">
        <v>90930</v>
      </c>
      <c r="AS59" s="54">
        <v>90930</v>
      </c>
      <c r="AT59" s="54">
        <v>90930</v>
      </c>
      <c r="AU59" s="54">
        <v>90930</v>
      </c>
      <c r="AV59" s="54">
        <v>90930</v>
      </c>
      <c r="AW59" s="54">
        <v>90930</v>
      </c>
      <c r="AX59" s="54">
        <v>90930</v>
      </c>
      <c r="AY59" s="54">
        <v>90930</v>
      </c>
      <c r="AZ59" s="54">
        <v>90930</v>
      </c>
      <c r="BA59" s="54">
        <v>90930</v>
      </c>
      <c r="BB59" s="54">
        <v>90930</v>
      </c>
      <c r="BC59" s="54">
        <v>90930</v>
      </c>
      <c r="BD59" s="54">
        <v>90930</v>
      </c>
      <c r="BE59" s="54">
        <v>90930</v>
      </c>
      <c r="BF59" s="54">
        <v>90930</v>
      </c>
      <c r="BG59" s="54">
        <v>90930</v>
      </c>
      <c r="BH59" s="54">
        <v>90930</v>
      </c>
      <c r="BI59" s="54">
        <v>90930</v>
      </c>
      <c r="BJ59" s="54">
        <v>90930</v>
      </c>
      <c r="BK59" s="54">
        <v>90930</v>
      </c>
    </row>
    <row r="60" spans="1:75" s="54" customFormat="1" x14ac:dyDescent="0.25">
      <c r="A60" s="54" t="s">
        <v>71</v>
      </c>
      <c r="B60" s="54" t="s">
        <v>106</v>
      </c>
      <c r="C60" s="54" t="s">
        <v>133</v>
      </c>
      <c r="U60" s="54">
        <v>12851</v>
      </c>
      <c r="V60" s="54">
        <v>15078.455</v>
      </c>
      <c r="W60" s="54">
        <v>17305.91</v>
      </c>
      <c r="X60" s="54">
        <v>19533.364999999998</v>
      </c>
      <c r="Y60" s="54">
        <v>21760.82</v>
      </c>
      <c r="Z60" s="54">
        <v>23988.275000000001</v>
      </c>
      <c r="AA60" s="54">
        <v>26215.730000000003</v>
      </c>
      <c r="AB60" s="54">
        <v>28443.185000000005</v>
      </c>
      <c r="AC60" s="54">
        <v>30670.640000000007</v>
      </c>
      <c r="AD60" s="54">
        <v>32898.095000000008</v>
      </c>
      <c r="AE60" s="54">
        <v>35125.55000000001</v>
      </c>
      <c r="AF60" s="54">
        <v>37353</v>
      </c>
      <c r="AG60" s="54">
        <v>37353</v>
      </c>
      <c r="AH60" s="54">
        <v>37353</v>
      </c>
      <c r="AI60" s="54">
        <v>37353</v>
      </c>
      <c r="AJ60" s="54">
        <v>37353</v>
      </c>
      <c r="AK60" s="54">
        <v>37353</v>
      </c>
      <c r="AL60" s="54">
        <v>37353</v>
      </c>
      <c r="AM60" s="54">
        <v>37353</v>
      </c>
      <c r="AN60" s="54">
        <v>37353</v>
      </c>
      <c r="AO60" s="54">
        <v>37353</v>
      </c>
      <c r="AP60" s="54">
        <v>37353</v>
      </c>
      <c r="AQ60" s="54">
        <v>37353</v>
      </c>
      <c r="AR60" s="54">
        <v>37353</v>
      </c>
      <c r="AS60" s="54">
        <v>37353</v>
      </c>
      <c r="AT60" s="54">
        <v>37353</v>
      </c>
      <c r="AU60" s="54">
        <v>37353</v>
      </c>
      <c r="AV60" s="54">
        <v>37353</v>
      </c>
      <c r="AW60" s="54">
        <v>37353</v>
      </c>
      <c r="AX60" s="54">
        <v>37353</v>
      </c>
      <c r="AY60" s="54">
        <v>37353</v>
      </c>
      <c r="AZ60" s="54">
        <v>37353</v>
      </c>
      <c r="BA60" s="54">
        <v>37353</v>
      </c>
      <c r="BB60" s="54">
        <v>37353</v>
      </c>
      <c r="BC60" s="54">
        <v>37353</v>
      </c>
      <c r="BD60" s="54">
        <v>37353</v>
      </c>
      <c r="BE60" s="54">
        <v>37353</v>
      </c>
      <c r="BF60" s="54">
        <v>37353</v>
      </c>
      <c r="BG60" s="54">
        <v>37353</v>
      </c>
      <c r="BH60" s="54">
        <v>37353</v>
      </c>
      <c r="BI60" s="54">
        <v>37353</v>
      </c>
      <c r="BJ60" s="54">
        <v>37353</v>
      </c>
      <c r="BK60" s="54">
        <v>37353</v>
      </c>
    </row>
    <row r="61" spans="1:75" x14ac:dyDescent="0.25">
      <c r="A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row>
    <row r="62" spans="1:75" x14ac:dyDescent="0.25">
      <c r="A62" s="54"/>
      <c r="C62" s="54"/>
      <c r="D62" s="54">
        <v>34.200000000000003</v>
      </c>
      <c r="E62" s="54" t="s">
        <v>115</v>
      </c>
      <c r="F62" s="54" t="s">
        <v>116</v>
      </c>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row>
    <row r="63" spans="1:75" x14ac:dyDescent="0.25">
      <c r="A63" s="54"/>
      <c r="C63" s="54"/>
      <c r="D63" s="54">
        <v>37.299999999999997</v>
      </c>
      <c r="E63" s="54" t="s">
        <v>115</v>
      </c>
      <c r="F63" s="54" t="s">
        <v>117</v>
      </c>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row>
    <row r="64" spans="1:75" x14ac:dyDescent="0.25">
      <c r="A64" s="54"/>
      <c r="C64" s="54"/>
      <c r="D64" s="54">
        <v>3.7854100000000002</v>
      </c>
      <c r="E64" s="54" t="s">
        <v>118</v>
      </c>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row>
    <row r="65" spans="1:63" x14ac:dyDescent="0.25">
      <c r="A65" s="54"/>
      <c r="C65" s="54"/>
      <c r="D65" s="54">
        <f>D62*D64</f>
        <v>129.46102200000001</v>
      </c>
      <c r="E65" s="54" t="s">
        <v>119</v>
      </c>
      <c r="F65" s="54" t="s">
        <v>116</v>
      </c>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row>
    <row r="66" spans="1:63" x14ac:dyDescent="0.25">
      <c r="A66" s="54"/>
      <c r="C66" s="54"/>
      <c r="D66" s="54">
        <f>D63*D64</f>
        <v>141.19579300000001</v>
      </c>
      <c r="E66" s="54" t="s">
        <v>119</v>
      </c>
      <c r="F66" s="54" t="s">
        <v>117</v>
      </c>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row>
    <row r="67" spans="1:63" x14ac:dyDescent="0.25">
      <c r="D67" s="54">
        <v>24</v>
      </c>
      <c r="E67" s="54" t="s">
        <v>115</v>
      </c>
      <c r="F67" s="54" t="s">
        <v>105</v>
      </c>
    </row>
    <row r="68" spans="1:63" x14ac:dyDescent="0.25">
      <c r="D68" s="54">
        <v>33</v>
      </c>
      <c r="E68" s="54" t="s">
        <v>115</v>
      </c>
      <c r="F68" s="54" t="s">
        <v>132</v>
      </c>
    </row>
    <row r="69" spans="1:63" x14ac:dyDescent="0.25">
      <c r="D69" s="54">
        <f>D64*D67</f>
        <v>90.84984</v>
      </c>
      <c r="E69" s="54" t="s">
        <v>119</v>
      </c>
      <c r="F69" s="54" t="s">
        <v>105</v>
      </c>
    </row>
    <row r="70" spans="1:63" x14ac:dyDescent="0.25">
      <c r="D70" s="54">
        <f>D64*D68</f>
        <v>124.91853</v>
      </c>
      <c r="E70" s="54" t="s">
        <v>119</v>
      </c>
      <c r="F70" s="54" t="s">
        <v>132</v>
      </c>
    </row>
  </sheetData>
  <mergeCells count="8">
    <mergeCell ref="BM48:BM49"/>
    <mergeCell ref="BM50:BM51"/>
    <mergeCell ref="BM2:BM12"/>
    <mergeCell ref="BM13:BM23"/>
    <mergeCell ref="BM26:BM32"/>
    <mergeCell ref="BM33:BM39"/>
    <mergeCell ref="BM42:BM43"/>
    <mergeCell ref="BM44:BM4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70"/>
  <sheetViews>
    <sheetView tabSelected="1" workbookViewId="0">
      <selection activeCell="D18" sqref="D18"/>
    </sheetView>
  </sheetViews>
  <sheetFormatPr defaultRowHeight="15" x14ac:dyDescent="0.25"/>
  <cols>
    <col min="1" max="1" width="8.42578125" style="54" bestFit="1" customWidth="1"/>
    <col min="2" max="2" width="26.140625" style="54" bestFit="1" customWidth="1"/>
    <col min="3" max="3" width="15.7109375" style="54" bestFit="1" customWidth="1"/>
    <col min="4" max="4" width="12" style="54" bestFit="1" customWidth="1"/>
    <col min="5" max="20" width="9.140625" style="54"/>
    <col min="21" max="21" width="11" style="54" bestFit="1" customWidth="1"/>
    <col min="22" max="32" width="9.140625" style="54"/>
    <col min="33" max="33" width="9.28515625" style="54" customWidth="1"/>
    <col min="34" max="64" width="9.140625" style="54"/>
    <col min="65" max="65" width="8.42578125" style="54" bestFit="1" customWidth="1"/>
    <col min="66" max="66" width="26.140625" style="54" bestFit="1" customWidth="1"/>
    <col min="67" max="67" width="5" style="54" bestFit="1" customWidth="1"/>
    <col min="68" max="68" width="5.5703125" style="54" bestFit="1" customWidth="1"/>
    <col min="69" max="73" width="5" style="54" bestFit="1" customWidth="1"/>
    <col min="74" max="74" width="12" style="54" bestFit="1" customWidth="1"/>
    <col min="75" max="75" width="12" style="54" customWidth="1"/>
    <col min="76" max="76" width="16.85546875" style="54" bestFit="1" customWidth="1"/>
    <col min="77" max="77" width="9.140625" style="54"/>
    <col min="78" max="78" width="9.28515625" style="54" bestFit="1" customWidth="1"/>
    <col min="79" max="16384" width="9.140625" style="54"/>
  </cols>
  <sheetData>
    <row r="1" spans="1:80" x14ac:dyDescent="0.25">
      <c r="A1" s="54" t="s">
        <v>93</v>
      </c>
      <c r="B1" s="54" t="s">
        <v>94</v>
      </c>
      <c r="C1" s="54" t="s">
        <v>73</v>
      </c>
      <c r="D1" s="54">
        <v>1991</v>
      </c>
      <c r="E1" s="54">
        <v>1992</v>
      </c>
      <c r="F1" s="54">
        <v>1993</v>
      </c>
      <c r="G1" s="54">
        <v>1994</v>
      </c>
      <c r="H1" s="54">
        <v>1995</v>
      </c>
      <c r="I1" s="54">
        <v>1996</v>
      </c>
      <c r="J1" s="54">
        <v>1997</v>
      </c>
      <c r="K1" s="54">
        <v>1998</v>
      </c>
      <c r="L1" s="54">
        <v>1999</v>
      </c>
      <c r="M1" s="54">
        <v>2000</v>
      </c>
      <c r="N1" s="54">
        <v>2001</v>
      </c>
      <c r="O1" s="54">
        <v>2002</v>
      </c>
      <c r="P1" s="54">
        <v>2003</v>
      </c>
      <c r="Q1" s="54">
        <v>2004</v>
      </c>
      <c r="R1" s="54">
        <v>2005</v>
      </c>
      <c r="S1" s="54">
        <v>2006</v>
      </c>
      <c r="T1" s="54">
        <v>2007</v>
      </c>
      <c r="U1" s="54">
        <v>2008</v>
      </c>
      <c r="V1" s="54">
        <v>2009</v>
      </c>
      <c r="W1" s="54">
        <v>2010</v>
      </c>
      <c r="X1" s="54">
        <v>2011</v>
      </c>
      <c r="Y1" s="54">
        <v>2012</v>
      </c>
      <c r="Z1" s="54">
        <v>2013</v>
      </c>
      <c r="AA1" s="54">
        <v>2014</v>
      </c>
      <c r="AB1" s="54">
        <v>2015</v>
      </c>
      <c r="AC1" s="54">
        <v>2016</v>
      </c>
      <c r="AD1" s="54">
        <v>2017</v>
      </c>
      <c r="AE1" s="54">
        <v>2018</v>
      </c>
      <c r="AF1" s="54">
        <v>2019</v>
      </c>
      <c r="AG1" s="54">
        <v>2020</v>
      </c>
      <c r="AH1" s="54">
        <v>2021</v>
      </c>
      <c r="AI1" s="54">
        <v>2022</v>
      </c>
      <c r="AJ1" s="54">
        <v>2023</v>
      </c>
      <c r="AK1" s="54">
        <v>2024</v>
      </c>
      <c r="AL1" s="54">
        <v>2025</v>
      </c>
      <c r="AM1" s="54">
        <v>2026</v>
      </c>
      <c r="AN1" s="54">
        <v>2027</v>
      </c>
      <c r="AO1" s="54">
        <v>2028</v>
      </c>
      <c r="AP1" s="54">
        <v>2029</v>
      </c>
      <c r="AQ1" s="54">
        <v>2030</v>
      </c>
      <c r="AR1" s="54">
        <v>2031</v>
      </c>
      <c r="AS1" s="54">
        <v>2032</v>
      </c>
      <c r="AT1" s="54">
        <v>2033</v>
      </c>
      <c r="AU1" s="54">
        <v>2034</v>
      </c>
      <c r="AV1" s="54">
        <v>2035</v>
      </c>
      <c r="AW1" s="54">
        <v>2036</v>
      </c>
      <c r="AX1" s="54">
        <v>2037</v>
      </c>
      <c r="AY1" s="54">
        <v>2038</v>
      </c>
      <c r="AZ1" s="54">
        <v>2039</v>
      </c>
      <c r="BA1" s="54">
        <v>2040</v>
      </c>
      <c r="BB1" s="54">
        <v>2041</v>
      </c>
      <c r="BC1" s="54">
        <v>2042</v>
      </c>
      <c r="BD1" s="54">
        <v>2043</v>
      </c>
      <c r="BE1" s="54">
        <v>2044</v>
      </c>
      <c r="BF1" s="54">
        <v>2045</v>
      </c>
      <c r="BG1" s="54">
        <v>2046</v>
      </c>
      <c r="BH1" s="54">
        <v>2047</v>
      </c>
      <c r="BI1" s="54">
        <v>2048</v>
      </c>
      <c r="BJ1" s="54">
        <v>2049</v>
      </c>
      <c r="BK1" s="54">
        <v>2050</v>
      </c>
      <c r="BM1" s="60" t="s">
        <v>93</v>
      </c>
      <c r="BN1" s="60" t="s">
        <v>94</v>
      </c>
      <c r="BO1" s="60">
        <v>1991</v>
      </c>
      <c r="BP1" s="60">
        <v>2000</v>
      </c>
      <c r="BQ1" s="60">
        <v>2010</v>
      </c>
      <c r="BR1" s="60">
        <v>2020</v>
      </c>
      <c r="BS1" s="60">
        <v>2030</v>
      </c>
      <c r="BT1" s="60">
        <v>2040</v>
      </c>
      <c r="BU1" s="60">
        <v>2050</v>
      </c>
      <c r="BV1" s="54" t="s">
        <v>135</v>
      </c>
      <c r="BW1" s="54" t="s">
        <v>138</v>
      </c>
      <c r="BX1" s="54" t="s">
        <v>136</v>
      </c>
      <c r="BZ1" s="54" t="s">
        <v>137</v>
      </c>
    </row>
    <row r="2" spans="1:80" x14ac:dyDescent="0.25">
      <c r="A2" s="54" t="s">
        <v>71</v>
      </c>
      <c r="B2" s="54" t="s">
        <v>96</v>
      </c>
      <c r="C2" s="54" t="s">
        <v>92</v>
      </c>
      <c r="D2" s="55">
        <f>'LUC-2012-08-10-Run2'!AF2</f>
        <v>1.0508415631190336E-5</v>
      </c>
      <c r="E2" s="55">
        <f>'LUC-2012-08-10-Run2'!AG2</f>
        <v>1.0527618537027347E-5</v>
      </c>
      <c r="F2" s="55">
        <f>'LUC-2012-08-10-Run2'!AH2</f>
        <v>1.0524144816427411E-5</v>
      </c>
      <c r="G2" s="55">
        <f>'LUC-2012-08-10-Run2'!AI2</f>
        <v>1.0522462802637258E-5</v>
      </c>
      <c r="H2" s="55">
        <f>'LUC-2012-08-10-Run2'!AJ2</f>
        <v>1.05226809524005E-5</v>
      </c>
      <c r="I2" s="55">
        <f>'LUC-2012-08-10-Run2'!AK2</f>
        <v>1.0524797835739828E-5</v>
      </c>
      <c r="J2" s="55">
        <f>'LUC-2012-08-10-Run2'!AL2</f>
        <v>1.0528848568531622E-5</v>
      </c>
      <c r="K2" s="55">
        <f>'LUC-2012-08-10-Run2'!AM2</f>
        <v>1.0535257891350468E-5</v>
      </c>
      <c r="L2" s="55">
        <f>'LUC-2012-08-10-Run2'!AN2</f>
        <v>1.0544407835154982E-5</v>
      </c>
      <c r="M2" s="55">
        <f>'LUC-2012-08-10-Run2'!AO2</f>
        <v>1.0556611219831291E-5</v>
      </c>
      <c r="N2" s="55">
        <f>'LUC-2012-08-10-Run2'!AP2</f>
        <v>1.0571844928448045E-5</v>
      </c>
      <c r="O2" s="55">
        <f>'LUC-2012-08-10-Run2'!AQ2</f>
        <v>1.0589980349233616E-5</v>
      </c>
      <c r="P2" s="55">
        <f>'LUC-2012-08-10-Run2'!AR2</f>
        <v>1.0610719107102551E-5</v>
      </c>
      <c r="Q2" s="55">
        <f>'LUC-2012-08-10-Run2'!AS2</f>
        <v>1.0633798162037924E-5</v>
      </c>
      <c r="R2" s="55">
        <f>'LUC-2012-08-10-Run2'!AT2</f>
        <v>1.0658934712118934E-5</v>
      </c>
      <c r="S2" s="55">
        <f>'LUC-2012-08-10-Run2'!AU2</f>
        <v>1.0847332703046877E-5</v>
      </c>
      <c r="T2" s="55">
        <f>'LUC-2012-08-10-Run2'!AV2</f>
        <v>1.0964836112430804E-5</v>
      </c>
      <c r="U2" s="55">
        <f>'LUC-2012-08-10-Run2'!AW2</f>
        <v>1.1083992348417336E-5</v>
      </c>
      <c r="V2" s="55">
        <f>'LUC-2012-08-10-Run2'!AX2</f>
        <v>1.1204770395154344E-5</v>
      </c>
      <c r="W2" s="55">
        <f>'LUC-2012-08-10-Run2'!AY2</f>
        <v>1.1327126153256903E-5</v>
      </c>
      <c r="X2" s="55">
        <f>'LUC-2012-08-10-Run2'!AZ2</f>
        <v>1.1451082991095796E-5</v>
      </c>
      <c r="Y2" s="55">
        <f>'LUC-2012-08-10-Run2'!BA2</f>
        <v>1.1576694440980276E-5</v>
      </c>
      <c r="Z2" s="55">
        <f>'LUC-2012-08-10-Run2'!BB2</f>
        <v>1.1703990120910524E-5</v>
      </c>
      <c r="AA2" s="55">
        <f>'LUC-2012-08-10-Run2'!BC2</f>
        <v>1.1833062981199678E-5</v>
      </c>
      <c r="AB2" s="55">
        <f>'LUC-2012-08-10-Run2'!BD2</f>
        <v>1.1963939200804165E-5</v>
      </c>
      <c r="AC2" s="55">
        <f>'LUC-2012-08-10-Run2'!BE2</f>
        <v>1.2096649107742124E-5</v>
      </c>
      <c r="AD2" s="55">
        <f>'LUC-2012-08-10-Run2'!BF2</f>
        <v>1.2231179027703737E-5</v>
      </c>
      <c r="AE2" s="55">
        <f>'LUC-2012-08-10-Run2'!BG2</f>
        <v>1.2367491102724216E-5</v>
      </c>
      <c r="AF2" s="55">
        <f>'LUC-2012-08-10-Run2'!BH2</f>
        <v>1.2505587125350255E-5</v>
      </c>
      <c r="AG2" s="55">
        <f>'LUC-2012-08-10-Run2'!BI2</f>
        <v>1.2645391460335783E-5</v>
      </c>
      <c r="AH2" s="55">
        <f>'LUC-2012-08-10-Run2'!BJ2</f>
        <v>1.2786912777983501E-5</v>
      </c>
      <c r="AI2" s="55">
        <f>'LUC-2012-08-10-Run2'!BK2</f>
        <v>1.2930111981195844E-5</v>
      </c>
      <c r="AJ2" s="55">
        <f>'LUC-2012-08-10-Run2'!BL2</f>
        <v>1.3074987114622234E-5</v>
      </c>
      <c r="AK2" s="55">
        <f>'LUC-2012-08-10-Run2'!BM2</f>
        <v>1.3221532009949526E-5</v>
      </c>
      <c r="AL2" s="55">
        <f>'LUC-2012-08-10-Run2'!BN2</f>
        <v>1.336975621292177E-5</v>
      </c>
      <c r="AM2" s="55">
        <f>'LUC-2012-08-10-Run2'!BO2</f>
        <v>1.3519600210944814E-5</v>
      </c>
      <c r="AN2" s="55">
        <f>'LUC-2012-08-10-Run2'!BP2</f>
        <v>1.3671072306706926E-5</v>
      </c>
      <c r="AO2" s="55">
        <f>'LUC-2012-08-10-Run2'!BQ2</f>
        <v>1.3824160526861523E-5</v>
      </c>
      <c r="AP2" s="55">
        <f>'LUC-2012-08-10-Run2'!BR2</f>
        <v>1.3978932771532774E-5</v>
      </c>
      <c r="AQ2" s="55">
        <f>'LUC-2012-08-10-Run2'!BS2</f>
        <v>1.4135376399489679E-5</v>
      </c>
      <c r="AR2" s="55">
        <f>'LUC-2012-08-10-Run2'!BT2</f>
        <v>1.4293509548508365E-5</v>
      </c>
      <c r="AS2" s="55">
        <f>'LUC-2012-08-10-Run2'!BU2</f>
        <v>1.4453326694501365E-5</v>
      </c>
      <c r="AT2" s="55">
        <f>'LUC-2012-08-10-Run2'!BV2</f>
        <v>1.461472877710608E-5</v>
      </c>
      <c r="AU2" s="55">
        <f>'LUC-2012-08-10-Run2'!BW2</f>
        <v>1.4777608887724497E-5</v>
      </c>
      <c r="AV2" s="55">
        <f>'LUC-2012-08-10-Run2'!BX2</f>
        <v>1.4941900379275375E-5</v>
      </c>
      <c r="AW2" s="55">
        <f>'LUC-2012-08-10-Run2'!BY2</f>
        <v>1.5107582006366144E-5</v>
      </c>
      <c r="AX2" s="55">
        <f>'LUC-2012-08-10-Run2'!BZ2</f>
        <v>1.5274650565041359E-5</v>
      </c>
      <c r="AY2" s="55">
        <f>'LUC-2012-08-10-Run2'!CA2</f>
        <v>1.5443152813069433E-5</v>
      </c>
      <c r="AZ2" s="55">
        <f>'LUC-2012-08-10-Run2'!CB2</f>
        <v>1.561315753966831E-5</v>
      </c>
      <c r="BA2" s="55">
        <f>'LUC-2012-08-10-Run2'!CC2</f>
        <v>1.5784720843484096E-5</v>
      </c>
      <c r="BB2" s="55">
        <f>'LUC-2012-08-10-Run2'!CD2</f>
        <v>1.5957833983506664E-5</v>
      </c>
      <c r="BC2" s="55">
        <f>'LUC-2012-08-10-Run2'!CE2</f>
        <v>1.6132524720255121E-5</v>
      </c>
      <c r="BD2" s="55">
        <f>'LUC-2012-08-10-Run2'!CF2</f>
        <v>1.6308756580048994E-5</v>
      </c>
      <c r="BE2" s="55">
        <f>'LUC-2012-08-10-Run2'!CG2</f>
        <v>1.648651616536634E-5</v>
      </c>
      <c r="BF2" s="55">
        <f>'LUC-2012-08-10-Run2'!CH2</f>
        <v>1.6665822935154385E-5</v>
      </c>
      <c r="BG2" s="55">
        <f>'LUC-2012-08-10-Run2'!CI2</f>
        <v>1.6846654192520645E-5</v>
      </c>
      <c r="BH2" s="55">
        <f>'LUC-2012-08-10-Run2'!CJ2</f>
        <v>1.7029046477618662E-5</v>
      </c>
      <c r="BI2" s="55">
        <f>'LUC-2012-08-10-Run2'!CK2</f>
        <v>1.7213053532147078E-5</v>
      </c>
      <c r="BJ2" s="55">
        <f>'LUC-2012-08-10-Run2'!CL2</f>
        <v>1.7398717254626916E-5</v>
      </c>
      <c r="BK2" s="55">
        <f>'LUC-2012-08-10-Run2'!CM2</f>
        <v>1.7586114631468625E-5</v>
      </c>
      <c r="BM2" s="106" t="s">
        <v>71</v>
      </c>
      <c r="BN2" s="54" t="s">
        <v>96</v>
      </c>
      <c r="BO2" s="68">
        <f>D2*1000000</f>
        <v>10.508415631190337</v>
      </c>
      <c r="BP2" s="68">
        <f t="shared" ref="BP2:BP12" si="0">M2*1000000</f>
        <v>10.556611219831291</v>
      </c>
      <c r="BQ2" s="68">
        <f t="shared" ref="BQ2:BQ12" si="1">W2*1000000</f>
        <v>11.327126153256904</v>
      </c>
      <c r="BR2" s="68">
        <f t="shared" ref="BR2:BR12" si="2">AG2*1000000</f>
        <v>12.645391460335782</v>
      </c>
      <c r="BS2" s="68">
        <f t="shared" ref="BS2:BS12" si="3">AQ2*1000000</f>
        <v>14.135376399489679</v>
      </c>
      <c r="BT2" s="68">
        <f t="shared" ref="BT2:BT12" si="4">BA2*1000000</f>
        <v>15.784720843484095</v>
      </c>
      <c r="BU2" s="68">
        <f t="shared" ref="BU2:BU12" si="5">BK2*1000000</f>
        <v>17.586114631468625</v>
      </c>
      <c r="BV2" s="51">
        <f>SUM(M2:M5)*1000000</f>
        <v>108.18871139589582</v>
      </c>
      <c r="BW2" s="51">
        <f>SUM(BU2:BU5)</f>
        <v>200.28652160130508</v>
      </c>
      <c r="BX2" s="100">
        <f t="shared" ref="BX2:BX12" si="6">(BK2-R2)/R2</f>
        <v>0.64989420673284226</v>
      </c>
      <c r="BZ2" s="101">
        <f>(BK2-'Sce 1 Table'!BK2)/'Sce 1 Table'!BK2</f>
        <v>0.40717932788153505</v>
      </c>
      <c r="CB2" s="51">
        <f>BU2+BU4+BU5</f>
        <v>71.48616748920621</v>
      </c>
    </row>
    <row r="3" spans="1:80" x14ac:dyDescent="0.25">
      <c r="A3" s="54" t="s">
        <v>71</v>
      </c>
      <c r="B3" s="54" t="s">
        <v>97</v>
      </c>
      <c r="C3" s="54" t="s">
        <v>92</v>
      </c>
      <c r="D3" s="55">
        <f>'LUC-2012-08-10-Run2'!AF3</f>
        <v>7.0000430409191978E-5</v>
      </c>
      <c r="E3" s="55">
        <f>'LUC-2012-08-10-Run2'!AG3</f>
        <v>7.0630961246729871E-5</v>
      </c>
      <c r="F3" s="55">
        <f>'LUC-2012-08-10-Run2'!AH3</f>
        <v>7.1066274150239037E-5</v>
      </c>
      <c r="G3" s="55">
        <f>'LUC-2012-08-10-Run2'!AI3</f>
        <v>7.150778011594632E-5</v>
      </c>
      <c r="H3" s="55">
        <f>'LUC-2012-08-10-Run2'!AJ3</f>
        <v>7.1952944698856812E-5</v>
      </c>
      <c r="I3" s="55">
        <f>'LUC-2012-08-10-Run2'!AK3</f>
        <v>7.2400861735737981E-5</v>
      </c>
      <c r="J3" s="55">
        <f>'LUC-2012-08-10-Run2'!AL3</f>
        <v>7.285284622485931E-5</v>
      </c>
      <c r="K3" s="55">
        <f>'LUC-2012-08-10-Run2'!AM3</f>
        <v>7.3313273932656012E-5</v>
      </c>
      <c r="L3" s="55">
        <f>'LUC-2012-08-10-Run2'!AN3</f>
        <v>7.3787111123243884E-5</v>
      </c>
      <c r="M3" s="55">
        <f>'LUC-2012-08-10-Run2'!AO3</f>
        <v>7.4277957562576602E-5</v>
      </c>
      <c r="N3" s="55">
        <f>'LUC-2012-08-10-Run2'!AP3</f>
        <v>7.478586235260993E-5</v>
      </c>
      <c r="O3" s="55">
        <f>'LUC-2012-08-10-Run2'!AQ3</f>
        <v>7.5308758342790844E-5</v>
      </c>
      <c r="P3" s="55">
        <f>'LUC-2012-08-10-Run2'!AR3</f>
        <v>7.5842609785929511E-5</v>
      </c>
      <c r="Q3" s="55">
        <f>'LUC-2012-08-10-Run2'!AS3</f>
        <v>7.6383079700261544E-5</v>
      </c>
      <c r="R3" s="55">
        <f>'LUC-2012-08-10-Run2'!AT3</f>
        <v>7.6926134271035562E-5</v>
      </c>
      <c r="S3" s="55">
        <f>'LUC-2012-08-10-Run2'!AU3</f>
        <v>7.8564814285327943E-5</v>
      </c>
      <c r="T3" s="55">
        <f>'LUC-2012-08-10-Run2'!AV3</f>
        <v>7.975963310304218E-5</v>
      </c>
      <c r="U3" s="55">
        <f>'LUC-2012-08-10-Run2'!AW3</f>
        <v>8.0954261880852003E-5</v>
      </c>
      <c r="V3" s="55">
        <f>'LUC-2012-08-10-Run2'!AX3</f>
        <v>8.2147891965987329E-5</v>
      </c>
      <c r="W3" s="55">
        <f>'LUC-2012-08-10-Run2'!AY3</f>
        <v>8.3339977261299875E-5</v>
      </c>
      <c r="X3" s="55">
        <f>'LUC-2012-08-10-Run2'!AZ3</f>
        <v>8.4530221105783915E-5</v>
      </c>
      <c r="Y3" s="55">
        <f>'LUC-2012-08-10-Run2'!BA3</f>
        <v>8.5718612444647251E-5</v>
      </c>
      <c r="Z3" s="55">
        <f>'LUC-2012-08-10-Run2'!BB3</f>
        <v>8.6905669889591832E-5</v>
      </c>
      <c r="AA3" s="55">
        <f>'LUC-2012-08-10-Run2'!BC3</f>
        <v>8.8092572774455127E-5</v>
      </c>
      <c r="AB3" s="55">
        <f>'LUC-2012-08-10-Run2'!BD3</f>
        <v>8.9279966565095401E-5</v>
      </c>
      <c r="AC3" s="55">
        <f>'LUC-2012-08-10-Run2'!BE3</f>
        <v>9.0467983154341602E-5</v>
      </c>
      <c r="AD3" s="55">
        <f>'LUC-2012-08-10-Run2'!BF3</f>
        <v>9.1656451978961193E-5</v>
      </c>
      <c r="AE3" s="55">
        <f>'LUC-2012-08-10-Run2'!BG3</f>
        <v>9.2845626529475093E-5</v>
      </c>
      <c r="AF3" s="55">
        <f>'LUC-2012-08-10-Run2'!BH3</f>
        <v>9.4035979030347884E-5</v>
      </c>
      <c r="AG3" s="55">
        <f>'LUC-2012-08-10-Run2'!BI3</f>
        <v>9.5227510574324398E-5</v>
      </c>
      <c r="AH3" s="55">
        <f>'LUC-2012-08-10-Run2'!BJ3</f>
        <v>9.6420416442247414E-5</v>
      </c>
      <c r="AI3" s="55">
        <f>'LUC-2012-08-10-Run2'!BK3</f>
        <v>9.7614503715712849E-5</v>
      </c>
      <c r="AJ3" s="55">
        <f>'LUC-2012-08-10-Run2'!BL3</f>
        <v>9.8809372181047912E-5</v>
      </c>
      <c r="AK3" s="55">
        <f>'LUC-2012-08-10-Run2'!BM3</f>
        <v>1.0000446419189215E-4</v>
      </c>
      <c r="AL3" s="55">
        <f>'LUC-2012-08-10-Run2'!BN3</f>
        <v>1.011995727197744E-4</v>
      </c>
      <c r="AM3" s="55">
        <f>'LUC-2012-08-10-Run2'!BO3</f>
        <v>1.0239414762549752E-4</v>
      </c>
      <c r="AN3" s="55">
        <f>'LUC-2012-08-10-Run2'!BP3</f>
        <v>1.0358838103355418E-4</v>
      </c>
      <c r="AO3" s="55">
        <f>'LUC-2012-08-10-Run2'!BQ3</f>
        <v>1.0478175869485435E-4</v>
      </c>
      <c r="AP3" s="55">
        <f>'LUC-2012-08-10-Run2'!BR3</f>
        <v>1.0597432428171442E-4</v>
      </c>
      <c r="AQ3" s="55">
        <f>'LUC-2012-08-10-Run2'!BS3</f>
        <v>1.0716564825407785E-4</v>
      </c>
      <c r="AR3" s="55">
        <f>'LUC-2012-08-10-Run2'!BT3</f>
        <v>1.0822524976050468E-4</v>
      </c>
      <c r="AS3" s="55">
        <f>'LUC-2012-08-10-Run2'!BU3</f>
        <v>1.0928722791460635E-4</v>
      </c>
      <c r="AT3" s="55">
        <f>'LUC-2012-08-10-Run2'!BV3</f>
        <v>1.1035132417498938E-4</v>
      </c>
      <c r="AU3" s="55">
        <f>'LUC-2012-08-10-Run2'!BW3</f>
        <v>1.1141783799382022E-4</v>
      </c>
      <c r="AV3" s="55">
        <f>'LUC-2012-08-10-Run2'!BX3</f>
        <v>1.1248685991353272E-4</v>
      </c>
      <c r="AW3" s="55">
        <f>'LUC-2012-08-10-Run2'!BY3</f>
        <v>1.1355858475974895E-4</v>
      </c>
      <c r="AX3" s="55">
        <f>'LUC-2012-08-10-Run2'!BZ3</f>
        <v>1.1463260759244673E-4</v>
      </c>
      <c r="AY3" s="55">
        <f>'LUC-2012-08-10-Run2'!CA3</f>
        <v>1.157091962436633E-4</v>
      </c>
      <c r="AZ3" s="55">
        <f>'LUC-2012-08-10-Run2'!CB3</f>
        <v>1.1678823506150475E-4</v>
      </c>
      <c r="BA3" s="55">
        <f>'LUC-2012-08-10-Run2'!CC3</f>
        <v>1.1786969517439455E-4</v>
      </c>
      <c r="BB3" s="55">
        <f>'LUC-2012-08-10-Run2'!CD3</f>
        <v>1.1895337378753631E-4</v>
      </c>
      <c r="BC3" s="55">
        <f>'LUC-2012-08-10-Run2'!CE3</f>
        <v>1.2003930941952695E-4</v>
      </c>
      <c r="BD3" s="55">
        <f>'LUC-2012-08-10-Run2'!CF3</f>
        <v>1.2112747901802054E-4</v>
      </c>
      <c r="BE3" s="55">
        <f>'LUC-2012-08-10-Run2'!CG3</f>
        <v>1.2221779370117183E-4</v>
      </c>
      <c r="BF3" s="55">
        <f>'LUC-2012-08-10-Run2'!CH3</f>
        <v>1.2331033229500272E-4</v>
      </c>
      <c r="BG3" s="55">
        <f>'LUC-2012-08-10-Run2'!CI3</f>
        <v>1.2440494790464076E-4</v>
      </c>
      <c r="BH3" s="55">
        <f>'LUC-2012-08-10-Run2'!CJ3</f>
        <v>1.2550153274019381E-4</v>
      </c>
      <c r="BI3" s="55">
        <f>'LUC-2012-08-10-Run2'!CK3</f>
        <v>1.2659968153820708E-4</v>
      </c>
      <c r="BJ3" s="55">
        <f>'LUC-2012-08-10-Run2'!CL3</f>
        <v>1.276994691580742E-4</v>
      </c>
      <c r="BK3" s="55">
        <f>'LUC-2012-08-10-Run2'!CM3</f>
        <v>1.288003541120989E-4</v>
      </c>
      <c r="BM3" s="107"/>
      <c r="BN3" s="54" t="s">
        <v>97</v>
      </c>
      <c r="BO3" s="68">
        <f t="shared" ref="BO3:BO12" si="7">D3*1000000</f>
        <v>70.000430409191978</v>
      </c>
      <c r="BP3" s="68">
        <f t="shared" si="0"/>
        <v>74.277957562576603</v>
      </c>
      <c r="BQ3" s="68">
        <f t="shared" si="1"/>
        <v>83.339977261299879</v>
      </c>
      <c r="BR3" s="68">
        <f t="shared" si="2"/>
        <v>95.227510574324398</v>
      </c>
      <c r="BS3" s="68">
        <f t="shared" si="3"/>
        <v>107.16564825407785</v>
      </c>
      <c r="BT3" s="68">
        <f t="shared" si="4"/>
        <v>117.86969517439455</v>
      </c>
      <c r="BU3" s="68">
        <f t="shared" si="5"/>
        <v>128.80035411209889</v>
      </c>
      <c r="BX3" s="100">
        <f t="shared" si="6"/>
        <v>0.67433805601479646</v>
      </c>
      <c r="BZ3" s="101">
        <f>(BK3-'Sce 1 Table'!BK3)/'Sce 1 Table'!BK3</f>
        <v>0.3704307074939594</v>
      </c>
    </row>
    <row r="4" spans="1:80" x14ac:dyDescent="0.25">
      <c r="A4" s="54" t="s">
        <v>71</v>
      </c>
      <c r="B4" s="54" t="s">
        <v>95</v>
      </c>
      <c r="C4" s="54" t="s">
        <v>92</v>
      </c>
      <c r="D4" s="55">
        <f>'LUC-2012-08-10-Run2'!AF4</f>
        <v>1.3228986578653787E-5</v>
      </c>
      <c r="E4" s="55">
        <f>'LUC-2012-08-10-Run2'!AG4</f>
        <v>1.3351004035312167E-5</v>
      </c>
      <c r="F4" s="55">
        <f>'LUC-2012-08-10-Run2'!AH4</f>
        <v>1.3448210690384045E-5</v>
      </c>
      <c r="G4" s="55">
        <f>'LUC-2012-08-10-Run2'!AI4</f>
        <v>1.3548882358160103E-5</v>
      </c>
      <c r="H4" s="55">
        <f>'LUC-2012-08-10-Run2'!AJ4</f>
        <v>1.365327018224468E-5</v>
      </c>
      <c r="I4" s="55">
        <f>'LUC-2012-08-10-Run2'!AK4</f>
        <v>1.3761500883312822E-5</v>
      </c>
      <c r="J4" s="55">
        <f>'LUC-2012-08-10-Run2'!AL4</f>
        <v>1.387370090955609E-5</v>
      </c>
      <c r="K4" s="55">
        <f>'LUC-2012-08-10-Run2'!AM4</f>
        <v>1.3990474699641369E-5</v>
      </c>
      <c r="L4" s="55">
        <f>'LUC-2012-08-10-Run2'!AN4</f>
        <v>1.4112378817260886E-5</v>
      </c>
      <c r="M4" s="55">
        <f>'LUC-2012-08-10-Run2'!AO4</f>
        <v>1.4239928335395459E-5</v>
      </c>
      <c r="N4" s="55">
        <f>'LUC-2012-08-10-Run2'!AP4</f>
        <v>1.4373258842965937E-5</v>
      </c>
      <c r="O4" s="55">
        <f>'LUC-2012-08-10-Run2'!AQ4</f>
        <v>1.4512396972370334E-5</v>
      </c>
      <c r="P4" s="55">
        <f>'LUC-2012-08-10-Run2'!AR4</f>
        <v>1.4657165111117269E-5</v>
      </c>
      <c r="Q4" s="55">
        <f>'LUC-2012-08-10-Run2'!AS4</f>
        <v>1.4807426681632889E-5</v>
      </c>
      <c r="R4" s="55">
        <f>'LUC-2012-08-10-Run2'!AT4</f>
        <v>1.4962997035753534E-5</v>
      </c>
      <c r="S4" s="55">
        <f>'LUC-2012-08-10-Run2'!AU4</f>
        <v>1.5469466422515655E-5</v>
      </c>
      <c r="T4" s="55">
        <f>'LUC-2012-08-10-Run2'!AV4</f>
        <v>1.5574976370094695E-5</v>
      </c>
      <c r="U4" s="55">
        <f>'LUC-2012-08-10-Run2'!AW4</f>
        <v>1.5682744238183712E-5</v>
      </c>
      <c r="V4" s="55">
        <f>'LUC-2012-08-10-Run2'!AX4</f>
        <v>1.579276536744829E-5</v>
      </c>
      <c r="W4" s="55">
        <f>'LUC-2012-08-10-Run2'!AY4</f>
        <v>1.590501523153287E-5</v>
      </c>
      <c r="X4" s="55">
        <f>'LUC-2012-08-10-Run2'!AZ4</f>
        <v>1.6019564264837292E-5</v>
      </c>
      <c r="Y4" s="55">
        <f>'LUC-2012-08-10-Run2'!BA4</f>
        <v>1.6136521123591277E-5</v>
      </c>
      <c r="Z4" s="55">
        <f>'LUC-2012-08-10-Run2'!BB4</f>
        <v>1.6255961000692786E-5</v>
      </c>
      <c r="AA4" s="55">
        <f>'LUC-2012-08-10-Run2'!BC4</f>
        <v>1.6378047391306338E-5</v>
      </c>
      <c r="AB4" s="55">
        <f>'LUC-2012-08-10-Run2'!BD4</f>
        <v>1.6502859414118649E-5</v>
      </c>
      <c r="AC4" s="55">
        <f>'LUC-2012-08-10-Run2'!BE4</f>
        <v>1.6630485774268858E-5</v>
      </c>
      <c r="AD4" s="55">
        <f>'LUC-2012-08-10-Run2'!BF4</f>
        <v>1.6760961637346351E-5</v>
      </c>
      <c r="AE4" s="55">
        <f>'LUC-2012-08-10-Run2'!BG4</f>
        <v>1.6894312433243585E-5</v>
      </c>
      <c r="AF4" s="55">
        <f>'LUC-2012-08-10-Run2'!BH4</f>
        <v>1.703062755161906E-5</v>
      </c>
      <c r="AG4" s="55">
        <f>'LUC-2012-08-10-Run2'!BI4</f>
        <v>1.716988964677118E-5</v>
      </c>
      <c r="AH4" s="55">
        <f>'LUC-2012-08-10-Run2'!BJ4</f>
        <v>1.7312207426551629E-5</v>
      </c>
      <c r="AI4" s="55">
        <f>'LUC-2012-08-10-Run2'!BK4</f>
        <v>1.7457606054617057E-5</v>
      </c>
      <c r="AJ4" s="55">
        <f>'LUC-2012-08-10-Run2'!BL4</f>
        <v>1.7606171496817636E-5</v>
      </c>
      <c r="AK4" s="55">
        <f>'LUC-2012-08-10-Run2'!BM4</f>
        <v>1.7757977604245819E-5</v>
      </c>
      <c r="AL4" s="55">
        <f>'LUC-2012-08-10-Run2'!BN4</f>
        <v>1.7913133711696151E-5</v>
      </c>
      <c r="AM4" s="55">
        <f>'LUC-2012-08-10-Run2'!BO4</f>
        <v>1.8071652865918737E-5</v>
      </c>
      <c r="AN4" s="55">
        <f>'LUC-2012-08-10-Run2'!BP4</f>
        <v>1.8233635514169785E-5</v>
      </c>
      <c r="AO4" s="55">
        <f>'LUC-2012-08-10-Run2'!BQ4</f>
        <v>1.8399148666801222E-5</v>
      </c>
      <c r="AP4" s="55">
        <f>'LUC-2012-08-10-Run2'!BR4</f>
        <v>1.8568334276582576E-5</v>
      </c>
      <c r="AQ4" s="55">
        <f>'LUC-2012-08-10-Run2'!BS4</f>
        <v>1.8741252850249103E-5</v>
      </c>
      <c r="AR4" s="55">
        <f>'LUC-2012-08-10-Run2'!BT4</f>
        <v>1.8917994086357809E-5</v>
      </c>
      <c r="AS4" s="55">
        <f>'LUC-2012-08-10-Run2'!BU4</f>
        <v>1.9098656551532022E-5</v>
      </c>
      <c r="AT4" s="55">
        <f>'LUC-2012-08-10-Run2'!BV4</f>
        <v>1.9283182040007754E-5</v>
      </c>
      <c r="AU4" s="55">
        <f>'LUC-2012-08-10-Run2'!BW4</f>
        <v>1.947151926724002E-5</v>
      </c>
      <c r="AV4" s="55">
        <f>'LUC-2012-08-10-Run2'!BX4</f>
        <v>1.9663666430494453E-5</v>
      </c>
      <c r="AW4" s="55">
        <f>'LUC-2012-08-10-Run2'!BY4</f>
        <v>1.9859684135003457E-5</v>
      </c>
      <c r="AX4" s="55">
        <f>'LUC-2012-08-10-Run2'!BZ4</f>
        <v>2.0059662924267403E-5</v>
      </c>
      <c r="AY4" s="55">
        <f>'LUC-2012-08-10-Run2'!CA4</f>
        <v>2.0263768203733196E-5</v>
      </c>
      <c r="AZ4" s="55">
        <f>'LUC-2012-08-10-Run2'!CB4</f>
        <v>2.0472217863934785E-5</v>
      </c>
      <c r="BA4" s="55">
        <f>'LUC-2012-08-10-Run2'!CC4</f>
        <v>2.0685177630400022E-5</v>
      </c>
      <c r="BB4" s="55">
        <f>'LUC-2012-08-10-Run2'!CD4</f>
        <v>2.0902762801762623E-5</v>
      </c>
      <c r="BC4" s="55">
        <f>'LUC-2012-08-10-Run2'!CE4</f>
        <v>2.1125137609645198E-5</v>
      </c>
      <c r="BD4" s="55">
        <f>'LUC-2012-08-10-Run2'!CF4</f>
        <v>2.13523592396579E-5</v>
      </c>
      <c r="BE4" s="55">
        <f>'LUC-2012-08-10-Run2'!CG4</f>
        <v>2.1584550274591934E-5</v>
      </c>
      <c r="BF4" s="55">
        <f>'LUC-2012-08-10-Run2'!CH4</f>
        <v>2.1821849605301195E-5</v>
      </c>
      <c r="BG4" s="55">
        <f>'LUC-2012-08-10-Run2'!CI4</f>
        <v>2.2064400207881321E-5</v>
      </c>
      <c r="BH4" s="55">
        <f>'LUC-2012-08-10-Run2'!CJ4</f>
        <v>2.2312384995534275E-5</v>
      </c>
      <c r="BI4" s="55">
        <f>'LUC-2012-08-10-Run2'!CK4</f>
        <v>2.2566061124170165E-5</v>
      </c>
      <c r="BJ4" s="55">
        <f>'LUC-2012-08-10-Run2'!CL4</f>
        <v>2.2825634709128289E-5</v>
      </c>
      <c r="BK4" s="55">
        <f>'LUC-2012-08-10-Run2'!CM4</f>
        <v>2.3091432921461527E-5</v>
      </c>
      <c r="BM4" s="107"/>
      <c r="BN4" s="54" t="s">
        <v>95</v>
      </c>
      <c r="BO4" s="68">
        <f t="shared" si="7"/>
        <v>13.228986578653787</v>
      </c>
      <c r="BP4" s="68">
        <f t="shared" si="0"/>
        <v>14.23992833539546</v>
      </c>
      <c r="BQ4" s="68">
        <f t="shared" si="1"/>
        <v>15.90501523153287</v>
      </c>
      <c r="BR4" s="68">
        <f t="shared" si="2"/>
        <v>17.169889646771178</v>
      </c>
      <c r="BS4" s="68">
        <f t="shared" si="3"/>
        <v>18.741252850249104</v>
      </c>
      <c r="BT4" s="68">
        <f t="shared" si="4"/>
        <v>20.685177630400023</v>
      </c>
      <c r="BU4" s="68">
        <f t="shared" si="5"/>
        <v>23.091432921461529</v>
      </c>
      <c r="BX4" s="100">
        <f t="shared" si="6"/>
        <v>0.54323581474255411</v>
      </c>
      <c r="BZ4" s="101">
        <f>(BK4-'Sce 1 Table'!BK4)/'Sce 1 Table'!BK4</f>
        <v>0.3633768097730507</v>
      </c>
    </row>
    <row r="5" spans="1:80" x14ac:dyDescent="0.25">
      <c r="A5" s="54" t="s">
        <v>71</v>
      </c>
      <c r="B5" s="54" t="s">
        <v>98</v>
      </c>
      <c r="C5" s="54" t="s">
        <v>92</v>
      </c>
      <c r="D5" s="55">
        <f>'LUC-2012-08-10-Run2'!AF5</f>
        <v>7.0121002027183778E-6</v>
      </c>
      <c r="E5" s="55">
        <f>'LUC-2012-08-10-Run2'!AG5</f>
        <v>7.2210894119728063E-6</v>
      </c>
      <c r="F5" s="55">
        <f>'LUC-2012-08-10-Run2'!AH5</f>
        <v>7.4202145751621905E-6</v>
      </c>
      <c r="G5" s="55">
        <f>'LUC-2012-08-10-Run2'!AI5</f>
        <v>7.6288203120131999E-6</v>
      </c>
      <c r="H5" s="55">
        <f>'LUC-2012-08-10-Run2'!AJ5</f>
        <v>7.8474396653895003E-6</v>
      </c>
      <c r="I5" s="55">
        <f>'LUC-2012-08-10-Run2'!AK5</f>
        <v>8.0765895476182639E-6</v>
      </c>
      <c r="J5" s="55">
        <f>'LUC-2012-08-10-Run2'!AL5</f>
        <v>8.3168765465417997E-6</v>
      </c>
      <c r="K5" s="55">
        <f>'LUC-2012-08-10-Run2'!AM5</f>
        <v>8.569263350893212E-6</v>
      </c>
      <c r="L5" s="55">
        <f>'LUC-2012-08-10-Run2'!AN5</f>
        <v>8.8347261253526665E-6</v>
      </c>
      <c r="M5" s="55">
        <f>'LUC-2012-08-10-Run2'!AO5</f>
        <v>9.11421427809247E-6</v>
      </c>
      <c r="N5" s="55">
        <f>'LUC-2012-08-10-Run2'!AP5</f>
        <v>9.4084016592827995E-6</v>
      </c>
      <c r="O5" s="55">
        <f>'LUC-2012-08-10-Run2'!AQ5</f>
        <v>9.7178946223932155E-6</v>
      </c>
      <c r="P5" s="55">
        <f>'LUC-2012-08-10-Run2'!AR5</f>
        <v>1.0043173749519153E-5</v>
      </c>
      <c r="Q5" s="55">
        <f>'LUC-2012-08-10-Run2'!AS5</f>
        <v>1.0384788452865011E-5</v>
      </c>
      <c r="R5" s="55">
        <f>'LUC-2012-08-10-Run2'!AT5</f>
        <v>1.0743308883754397E-5</v>
      </c>
      <c r="S5" s="55">
        <f>'LUC-2012-08-10-Run2'!AU5</f>
        <v>1.1732150845198387E-5</v>
      </c>
      <c r="T5" s="55">
        <f>'LUC-2012-08-10-Run2'!AV5</f>
        <v>1.2029101934575739E-5</v>
      </c>
      <c r="U5" s="55">
        <f>'LUC-2012-08-10-Run2'!AW5</f>
        <v>1.2330362812000245E-5</v>
      </c>
      <c r="V5" s="55">
        <f>'LUC-2012-08-10-Run2'!AX5</f>
        <v>1.2636010643891824E-5</v>
      </c>
      <c r="W5" s="55">
        <f>'LUC-2012-08-10-Run2'!AY5</f>
        <v>1.294610467098004E-5</v>
      </c>
      <c r="X5" s="55">
        <f>'LUC-2012-08-10-Run2'!AZ5</f>
        <v>1.3260781122275616E-5</v>
      </c>
      <c r="Y5" s="55">
        <f>'LUC-2012-08-10-Run2'!BA5</f>
        <v>1.3580209329302407E-5</v>
      </c>
      <c r="Z5" s="55">
        <f>'LUC-2012-08-10-Run2'!BB5</f>
        <v>1.3904534506306729E-5</v>
      </c>
      <c r="AA5" s="55">
        <f>'LUC-2012-08-10-Run2'!BC5</f>
        <v>1.4233979095234456E-5</v>
      </c>
      <c r="AB5" s="55">
        <f>'LUC-2012-08-10-Run2'!BD5</f>
        <v>1.4568700292291712E-5</v>
      </c>
      <c r="AC5" s="55">
        <f>'LUC-2012-08-10-Run2'!BE5</f>
        <v>1.490886503450716E-5</v>
      </c>
      <c r="AD5" s="55">
        <f>'LUC-2012-08-10-Run2'!BF5</f>
        <v>1.5254594004074044E-5</v>
      </c>
      <c r="AE5" s="55">
        <f>'LUC-2012-08-10-Run2'!BG5</f>
        <v>1.5605990085826174E-5</v>
      </c>
      <c r="AF5" s="55">
        <f>'LUC-2012-08-10-Run2'!BH5</f>
        <v>1.5963210744890837E-5</v>
      </c>
      <c r="AG5" s="55">
        <f>'LUC-2012-08-10-Run2'!BI5</f>
        <v>1.6326321960921515E-5</v>
      </c>
      <c r="AH5" s="55">
        <f>'LUC-2012-08-10-Run2'!BJ5</f>
        <v>1.6695498066511173E-5</v>
      </c>
      <c r="AI5" s="55">
        <f>'LUC-2012-08-10-Run2'!BK5</f>
        <v>1.7070852196150819E-5</v>
      </c>
      <c r="AJ5" s="55">
        <f>'LUC-2012-08-10-Run2'!BL5</f>
        <v>1.7452545021238879E-5</v>
      </c>
      <c r="AK5" s="55">
        <f>'LUC-2012-08-10-Run2'!BM5</f>
        <v>1.7840733475907901E-5</v>
      </c>
      <c r="AL5" s="55">
        <f>'LUC-2012-08-10-Run2'!BN5</f>
        <v>1.823560246986816E-5</v>
      </c>
      <c r="AM5" s="55">
        <f>'LUC-2012-08-10-Run2'!BO5</f>
        <v>1.8637252878765394E-5</v>
      </c>
      <c r="AN5" s="55">
        <f>'LUC-2012-08-10-Run2'!BP5</f>
        <v>1.9045873585162299E-5</v>
      </c>
      <c r="AO5" s="55">
        <f>'LUC-2012-08-10-Run2'!BQ5</f>
        <v>1.9461627645654656E-5</v>
      </c>
      <c r="AP5" s="55">
        <f>'LUC-2012-08-10-Run2'!BR5</f>
        <v>1.9884772486444035E-5</v>
      </c>
      <c r="AQ5" s="55">
        <f>'LUC-2012-08-10-Run2'!BS5</f>
        <v>2.0315473648547058E-5</v>
      </c>
      <c r="AR5" s="55">
        <f>'LUC-2012-08-10-Run2'!BT5</f>
        <v>2.0753937998592071E-5</v>
      </c>
      <c r="AS5" s="55">
        <f>'LUC-2012-08-10-Run2'!BU5</f>
        <v>2.1200361852035525E-5</v>
      </c>
      <c r="AT5" s="55">
        <f>'LUC-2012-08-10-Run2'!BV5</f>
        <v>2.1654810170228369E-5</v>
      </c>
      <c r="AU5" s="55">
        <f>'LUC-2012-08-10-Run2'!BW5</f>
        <v>2.2117347207509639E-5</v>
      </c>
      <c r="AV5" s="55">
        <f>'LUC-2012-08-10-Run2'!BX5</f>
        <v>2.2588090468108009E-5</v>
      </c>
      <c r="AW5" s="55">
        <f>'LUC-2012-08-10-Run2'!BY5</f>
        <v>2.3067221764584342E-5</v>
      </c>
      <c r="AX5" s="55">
        <f>'LUC-2012-08-10-Run2'!BZ5</f>
        <v>2.3554948560878236E-5</v>
      </c>
      <c r="AY5" s="55">
        <f>'LUC-2012-08-10-Run2'!CA5</f>
        <v>2.4051560720881107E-5</v>
      </c>
      <c r="AZ5" s="55">
        <f>'LUC-2012-08-10-Run2'!CB5</f>
        <v>2.455738921757222E-5</v>
      </c>
      <c r="BA5" s="55">
        <f>'LUC-2012-08-10-Run2'!CC5</f>
        <v>2.5072741724341258E-5</v>
      </c>
      <c r="BB5" s="55">
        <f>'LUC-2012-08-10-Run2'!CD5</f>
        <v>2.5597855940880496E-5</v>
      </c>
      <c r="BC5" s="55">
        <f>'LUC-2012-08-10-Run2'!CE5</f>
        <v>2.6133029556600889E-5</v>
      </c>
      <c r="BD5" s="55">
        <f>'LUC-2012-08-10-Run2'!CF5</f>
        <v>2.667846635816827E-5</v>
      </c>
      <c r="BE5" s="55">
        <f>'LUC-2012-08-10-Run2'!CG5</f>
        <v>2.7234421242270185E-5</v>
      </c>
      <c r="BF5" s="55">
        <f>'LUC-2012-08-10-Run2'!CH5</f>
        <v>2.7801191106722099E-5</v>
      </c>
      <c r="BG5" s="55">
        <f>'LUC-2012-08-10-Run2'!CI5</f>
        <v>2.8379045524085055E-5</v>
      </c>
      <c r="BH5" s="55">
        <f>'LUC-2012-08-10-Run2'!CJ5</f>
        <v>2.8968323511028758E-5</v>
      </c>
      <c r="BI5" s="55">
        <f>'LUC-2012-08-10-Run2'!CK5</f>
        <v>2.9569415819543594E-5</v>
      </c>
      <c r="BJ5" s="55">
        <f>'LUC-2012-08-10-Run2'!CL5</f>
        <v>3.0182697084869239E-5</v>
      </c>
      <c r="BK5" s="55">
        <f>'LUC-2012-08-10-Run2'!CM5</f>
        <v>3.0808619936276061E-5</v>
      </c>
      <c r="BM5" s="107"/>
      <c r="BN5" s="54" t="s">
        <v>98</v>
      </c>
      <c r="BO5" s="86">
        <f t="shared" si="7"/>
        <v>7.0121002027183774</v>
      </c>
      <c r="BP5" s="86">
        <f t="shared" si="0"/>
        <v>9.1142142780924704</v>
      </c>
      <c r="BQ5" s="68">
        <f t="shared" si="1"/>
        <v>12.94610467098004</v>
      </c>
      <c r="BR5" s="68">
        <f t="shared" si="2"/>
        <v>16.326321960921515</v>
      </c>
      <c r="BS5" s="68">
        <f t="shared" si="3"/>
        <v>20.315473648547059</v>
      </c>
      <c r="BT5" s="68">
        <f t="shared" si="4"/>
        <v>25.07274172434126</v>
      </c>
      <c r="BU5" s="68">
        <f t="shared" si="5"/>
        <v>30.80861993627606</v>
      </c>
      <c r="BX5" s="100">
        <f t="shared" si="6"/>
        <v>1.8677030763644547</v>
      </c>
      <c r="BZ5" s="101">
        <f>(BK5-'Sce 1 Table'!BK5)/'Sce 1 Table'!BK5</f>
        <v>0.71417096386100398</v>
      </c>
    </row>
    <row r="6" spans="1:80" x14ac:dyDescent="0.25">
      <c r="A6" s="54" t="s">
        <v>71</v>
      </c>
      <c r="B6" s="54" t="s">
        <v>99</v>
      </c>
      <c r="C6" s="54" t="s">
        <v>92</v>
      </c>
      <c r="D6" s="55">
        <f>'LUC-2012-08-10-Run2'!AF7</f>
        <v>3.6843336955314182E-5</v>
      </c>
      <c r="E6" s="55">
        <f>'LUC-2012-08-10-Run2'!AG7</f>
        <v>3.6790336088918271E-5</v>
      </c>
      <c r="F6" s="55">
        <f>'LUC-2012-08-10-Run2'!AH7</f>
        <v>3.6735360620641035E-5</v>
      </c>
      <c r="G6" s="55">
        <f>'LUC-2012-08-10-Run2'!AI7</f>
        <v>3.667954216924579E-5</v>
      </c>
      <c r="H6" s="55">
        <f>'LUC-2012-08-10-Run2'!AJ7</f>
        <v>3.6623172446285202E-5</v>
      </c>
      <c r="I6" s="55">
        <f>'LUC-2012-08-10-Run2'!AK7</f>
        <v>3.6566333390967918E-5</v>
      </c>
      <c r="J6" s="55">
        <f>'LUC-2012-08-10-Run2'!AL7</f>
        <v>3.6509049093726465E-5</v>
      </c>
      <c r="K6" s="55">
        <f>'LUC-2012-08-10-Run2'!AM7</f>
        <v>3.6451465927738483E-5</v>
      </c>
      <c r="L6" s="55">
        <f>'LUC-2012-08-10-Run2'!AN7</f>
        <v>3.6393772236650164E-5</v>
      </c>
      <c r="M6" s="55">
        <f>'LUC-2012-08-10-Run2'!AO7</f>
        <v>3.6336058437465606E-5</v>
      </c>
      <c r="N6" s="55">
        <f>'LUC-2012-08-10-Run2'!AP7</f>
        <v>3.6278480991528786E-5</v>
      </c>
      <c r="O6" s="55">
        <f>'LUC-2012-08-10-Run2'!AQ7</f>
        <v>3.6221086104825362E-5</v>
      </c>
      <c r="P6" s="55">
        <f>'LUC-2012-08-10-Run2'!AR7</f>
        <v>3.6163908142653389E-5</v>
      </c>
      <c r="Q6" s="55">
        <f>'LUC-2012-08-10-Run2'!AS7</f>
        <v>3.6106967137093158E-5</v>
      </c>
      <c r="R6" s="55">
        <f>'LUC-2012-08-10-Run2'!AT7</f>
        <v>3.6050252332744931E-5</v>
      </c>
      <c r="S6" s="55">
        <f>'LUC-2012-08-10-Run2'!AU7</f>
        <v>3.6181023108186044E-5</v>
      </c>
      <c r="T6" s="55">
        <f>'LUC-2012-08-10-Run2'!AV7</f>
        <v>3.6805880686838144E-5</v>
      </c>
      <c r="U6" s="55">
        <f>'LUC-2012-08-10-Run2'!AW7</f>
        <v>3.7432182540437799E-5</v>
      </c>
      <c r="V6" s="55">
        <f>'LUC-2012-08-10-Run2'!AX7</f>
        <v>3.80598402093277E-5</v>
      </c>
      <c r="W6" s="55">
        <f>'LUC-2012-08-10-Run2'!AY7</f>
        <v>3.86887842668519E-5</v>
      </c>
      <c r="X6" s="55">
        <f>'LUC-2012-08-10-Run2'!AZ7</f>
        <v>3.9318984814036444E-5</v>
      </c>
      <c r="Y6" s="55">
        <f>'LUC-2012-08-10-Run2'!BA7</f>
        <v>3.9950454324620326E-5</v>
      </c>
      <c r="Z6" s="55">
        <f>'LUC-2012-08-10-Run2'!BB7</f>
        <v>4.058323771919377E-5</v>
      </c>
      <c r="AA6" s="55">
        <f>'LUC-2012-08-10-Run2'!BC7</f>
        <v>4.1217413638741283E-5</v>
      </c>
      <c r="AB6" s="55">
        <f>'LUC-2012-08-10-Run2'!BD7</f>
        <v>4.1853031626262509E-5</v>
      </c>
      <c r="AC6" s="55">
        <f>'LUC-2012-08-10-Run2'!BE7</f>
        <v>4.2490101422829168E-5</v>
      </c>
      <c r="AD6" s="55">
        <f>'LUC-2012-08-10-Run2'!BF7</f>
        <v>4.3128576395727857E-5</v>
      </c>
      <c r="AE6" s="55">
        <f>'LUC-2012-08-10-Run2'!BG7</f>
        <v>4.3768429306014496E-5</v>
      </c>
      <c r="AF6" s="55">
        <f>'LUC-2012-08-10-Run2'!BH7</f>
        <v>4.4409623286892179E-5</v>
      </c>
      <c r="AG6" s="55">
        <f>'LUC-2012-08-10-Run2'!BI7</f>
        <v>4.5052144357670757E-5</v>
      </c>
      <c r="AH6" s="55">
        <f>'LUC-2012-08-10-Run2'!BJ7</f>
        <v>4.5695973254979865E-5</v>
      </c>
      <c r="AI6" s="55">
        <f>'LUC-2012-08-10-Run2'!BK7</f>
        <v>4.6341126684092635E-5</v>
      </c>
      <c r="AJ6" s="55">
        <f>'LUC-2012-08-10-Run2'!BL7</f>
        <v>4.6987579201309435E-5</v>
      </c>
      <c r="AK6" s="55">
        <f>'LUC-2012-08-10-Run2'!BM7</f>
        <v>4.7635341292882607E-5</v>
      </c>
      <c r="AL6" s="55">
        <f>'LUC-2012-08-10-Run2'!BN7</f>
        <v>4.8284391676933665E-5</v>
      </c>
      <c r="AM6" s="55">
        <f>'LUC-2012-08-10-Run2'!BO7</f>
        <v>4.8934736165148652E-5</v>
      </c>
      <c r="AN6" s="55">
        <f>'LUC-2012-08-10-Run2'!BP7</f>
        <v>4.9586381811837859E-5</v>
      </c>
      <c r="AO6" s="55">
        <f>'LUC-2012-08-10-Run2'!BQ7</f>
        <v>5.0239352229828933E-5</v>
      </c>
      <c r="AP6" s="55">
        <f>'LUC-2012-08-10-Run2'!BR7</f>
        <v>5.0893684723365161E-5</v>
      </c>
      <c r="AQ6" s="55">
        <f>'LUC-2012-08-10-Run2'!BS7</f>
        <v>5.1549385587840429E-5</v>
      </c>
      <c r="AR6" s="55">
        <f>'LUC-2012-08-10-Run2'!BT7</f>
        <v>5.1636306402230199E-5</v>
      </c>
      <c r="AS6" s="55">
        <f>'LUC-2012-08-10-Run2'!BU7</f>
        <v>5.1724550281244116E-5</v>
      </c>
      <c r="AT6" s="55">
        <f>'LUC-2012-08-10-Run2'!BV7</f>
        <v>5.1814122168769529E-5</v>
      </c>
      <c r="AU6" s="55">
        <f>'LUC-2012-08-10-Run2'!BW7</f>
        <v>5.1905017314471409E-5</v>
      </c>
      <c r="AV6" s="55">
        <f>'LUC-2012-08-10-Run2'!BX7</f>
        <v>5.1997226518439087E-5</v>
      </c>
      <c r="AW6" s="55">
        <f>'LUC-2012-08-10-Run2'!BY7</f>
        <v>5.209074305574026E-5</v>
      </c>
      <c r="AX6" s="55">
        <f>'LUC-2012-08-10-Run2'!BZ7</f>
        <v>5.2185571878579461E-5</v>
      </c>
      <c r="AY6" s="55">
        <f>'LUC-2012-08-10-Run2'!CA7</f>
        <v>5.2281706246236016E-5</v>
      </c>
      <c r="AZ6" s="55">
        <f>'LUC-2012-08-10-Run2'!CB7</f>
        <v>5.2379129328157627E-5</v>
      </c>
      <c r="BA6" s="55">
        <f>'LUC-2012-08-10-Run2'!CC7</f>
        <v>5.2477845020516877E-5</v>
      </c>
      <c r="BB6" s="55">
        <f>'LUC-2012-08-10-Run2'!CD7</f>
        <v>5.2577842307954798E-5</v>
      </c>
      <c r="BC6" s="55">
        <f>'LUC-2012-08-10-Run2'!CE7</f>
        <v>5.2679112681640577E-5</v>
      </c>
      <c r="BD6" s="55">
        <f>'LUC-2012-08-10-Run2'!CF7</f>
        <v>5.2781651624729282E-5</v>
      </c>
      <c r="BE6" s="55">
        <f>'LUC-2012-08-10-Run2'!CG7</f>
        <v>5.2885444749710062E-5</v>
      </c>
      <c r="BF6" s="55">
        <f>'LUC-2012-08-10-Run2'!CH7</f>
        <v>5.2990487639432671E-5</v>
      </c>
      <c r="BG6" s="55">
        <f>'LUC-2012-08-10-Run2'!CI7</f>
        <v>5.3096775381587056E-5</v>
      </c>
      <c r="BH6" s="55">
        <f>'LUC-2012-08-10-Run2'!CJ7</f>
        <v>5.3204297991539445E-5</v>
      </c>
      <c r="BI6" s="55">
        <f>'LUC-2012-08-10-Run2'!CK7</f>
        <v>5.3313060712255301E-5</v>
      </c>
      <c r="BJ6" s="55">
        <f>'LUC-2012-08-10-Run2'!CL7</f>
        <v>5.3423070555134916E-5</v>
      </c>
      <c r="BK6" s="55">
        <f>'LUC-2012-08-10-Run2'!CM7</f>
        <v>5.3534324193367958E-5</v>
      </c>
      <c r="BM6" s="107"/>
      <c r="BN6" s="54" t="s">
        <v>99</v>
      </c>
      <c r="BO6" s="68">
        <f t="shared" si="7"/>
        <v>36.843336955314179</v>
      </c>
      <c r="BP6" s="68">
        <f t="shared" si="0"/>
        <v>36.33605843746561</v>
      </c>
      <c r="BQ6" s="68">
        <f t="shared" si="1"/>
        <v>38.688784266851897</v>
      </c>
      <c r="BR6" s="68">
        <f t="shared" si="2"/>
        <v>45.052144357670755</v>
      </c>
      <c r="BS6" s="68">
        <f t="shared" si="3"/>
        <v>51.549385587840426</v>
      </c>
      <c r="BT6" s="68">
        <f t="shared" si="4"/>
        <v>52.477845020516874</v>
      </c>
      <c r="BU6" s="68">
        <f t="shared" si="5"/>
        <v>53.534324193367958</v>
      </c>
      <c r="BV6" s="51">
        <f>SUM(M6:M12)*1000000</f>
        <v>263.99050229103472</v>
      </c>
      <c r="BW6" s="51">
        <f>SUM(BU6:BU12)</f>
        <v>341.2939859087075</v>
      </c>
      <c r="BX6" s="100">
        <f t="shared" si="6"/>
        <v>0.48499166383759285</v>
      </c>
      <c r="BZ6" s="101">
        <f>(BK6-'Sce 1 Table'!BK6)/'Sce 1 Table'!BK6</f>
        <v>0.27484263549548349</v>
      </c>
    </row>
    <row r="7" spans="1:80" x14ac:dyDescent="0.25">
      <c r="A7" s="54" t="s">
        <v>71</v>
      </c>
      <c r="B7" s="54" t="s">
        <v>100</v>
      </c>
      <c r="C7" s="54" t="s">
        <v>92</v>
      </c>
      <c r="D7" s="55">
        <f>'LUC-2012-08-10-Run2'!AF8</f>
        <v>5.2769166477933858E-5</v>
      </c>
      <c r="E7" s="55">
        <f>'LUC-2012-08-10-Run2'!AG8</f>
        <v>5.2693255559611984E-5</v>
      </c>
      <c r="F7" s="55">
        <f>'LUC-2012-08-10-Run2'!AH8</f>
        <v>5.2614516501821335E-5</v>
      </c>
      <c r="G7" s="55">
        <f>'LUC-2012-08-10-Run2'!AI8</f>
        <v>5.25345700746617E-5</v>
      </c>
      <c r="H7" s="55">
        <f>'LUC-2012-08-10-Run2'!AJ8</f>
        <v>5.2453834084356881E-5</v>
      </c>
      <c r="I7" s="55">
        <f>'LUC-2012-08-10-Run2'!AK8</f>
        <v>5.2372425888999203E-5</v>
      </c>
      <c r="J7" s="55">
        <f>'LUC-2012-08-10-Run2'!AL8</f>
        <v>5.2290379992305006E-5</v>
      </c>
      <c r="K7" s="55">
        <f>'LUC-2012-08-10-Run2'!AM8</f>
        <v>5.2207906038438337E-5</v>
      </c>
      <c r="L7" s="55">
        <f>'LUC-2012-08-10-Run2'!AN8</f>
        <v>5.2125273784105413E-5</v>
      </c>
      <c r="M7" s="55">
        <f>'LUC-2012-08-10-Run2'!AO8</f>
        <v>5.204261272978946E-5</v>
      </c>
      <c r="N7" s="55">
        <f>'LUC-2012-08-10-Run2'!AP8</f>
        <v>5.1960146968512207E-5</v>
      </c>
      <c r="O7" s="55">
        <f>'LUC-2012-08-10-Run2'!AQ8</f>
        <v>5.187794267916924E-5</v>
      </c>
      <c r="P7" s="55">
        <f>'LUC-2012-08-10-Run2'!AR8</f>
        <v>5.1796049081735804E-5</v>
      </c>
      <c r="Q7" s="55">
        <f>'LUC-2012-08-10-Run2'!AS8</f>
        <v>5.1714494867320529E-5</v>
      </c>
      <c r="R7" s="55">
        <f>'LUC-2012-08-10-Run2'!AT8</f>
        <v>5.1633264631415317E-5</v>
      </c>
      <c r="S7" s="55">
        <f>'LUC-2012-08-10-Run2'!AU8</f>
        <v>5.1820562129143874E-5</v>
      </c>
      <c r="T7" s="55">
        <f>'LUC-2012-08-10-Run2'!AV8</f>
        <v>5.1885131359856297E-5</v>
      </c>
      <c r="U7" s="55">
        <f>'LUC-2012-08-10-Run2'!AW8</f>
        <v>5.1950214305834867E-5</v>
      </c>
      <c r="V7" s="55">
        <f>'LUC-2012-08-10-Run2'!AX8</f>
        <v>5.2015700294839928E-5</v>
      </c>
      <c r="W7" s="55">
        <f>'LUC-2012-08-10-Run2'!AY8</f>
        <v>5.2081507781076679E-5</v>
      </c>
      <c r="X7" s="55">
        <f>'LUC-2012-08-10-Run2'!AZ8</f>
        <v>5.2147614632487234E-5</v>
      </c>
      <c r="Y7" s="55">
        <f>'LUC-2012-08-10-Run2'!BA8</f>
        <v>5.2214058561288894E-5</v>
      </c>
      <c r="Z7" s="55">
        <f>'LUC-2012-08-10-Run2'!BB8</f>
        <v>5.2280919174022914E-5</v>
      </c>
      <c r="AA7" s="55">
        <f>'LUC-2012-08-10-Run2'!BC8</f>
        <v>5.2348326142311333E-5</v>
      </c>
      <c r="AB7" s="55">
        <f>'LUC-2012-08-10-Run2'!BD8</f>
        <v>5.2416362295017331E-5</v>
      </c>
      <c r="AC7" s="55">
        <f>'LUC-2012-08-10-Run2'!BE8</f>
        <v>5.2485056095018153E-5</v>
      </c>
      <c r="AD7" s="55">
        <f>'LUC-2012-08-10-Run2'!BF8</f>
        <v>5.255435759938655E-5</v>
      </c>
      <c r="AE7" s="55">
        <f>'LUC-2012-08-10-Run2'!BG8</f>
        <v>5.2624226698379906E-5</v>
      </c>
      <c r="AF7" s="55">
        <f>'LUC-2012-08-10-Run2'!BH8</f>
        <v>5.2694616780850149E-5</v>
      </c>
      <c r="AG7" s="55">
        <f>'LUC-2012-08-10-Run2'!BI8</f>
        <v>5.2765502995160863E-5</v>
      </c>
      <c r="AH7" s="55">
        <f>'LUC-2012-08-10-Run2'!BJ8</f>
        <v>5.283686082478873E-5</v>
      </c>
      <c r="AI7" s="55">
        <f>'LUC-2012-08-10-Run2'!BK8</f>
        <v>5.2908715260658917E-5</v>
      </c>
      <c r="AJ7" s="55">
        <f>'LUC-2012-08-10-Run2'!BL8</f>
        <v>5.2981037203205353E-5</v>
      </c>
      <c r="AK7" s="55">
        <f>'LUC-2012-08-10-Run2'!BM8</f>
        <v>5.3053843546664738E-5</v>
      </c>
      <c r="AL7" s="55">
        <f>'LUC-2012-08-10-Run2'!BN8</f>
        <v>5.3127112809578331E-5</v>
      </c>
      <c r="AM7" s="55">
        <f>'LUC-2012-08-10-Run2'!BO8</f>
        <v>5.3200845887448871E-5</v>
      </c>
      <c r="AN7" s="55">
        <f>'LUC-2012-08-10-Run2'!BP8</f>
        <v>5.3275066305476904E-5</v>
      </c>
      <c r="AO7" s="55">
        <f>'LUC-2012-08-10-Run2'!BQ8</f>
        <v>5.3349808273080411E-5</v>
      </c>
      <c r="AP7" s="55">
        <f>'LUC-2012-08-10-Run2'!BR8</f>
        <v>5.3425155494199776E-5</v>
      </c>
      <c r="AQ7" s="55">
        <f>'LUC-2012-08-10-Run2'!BS8</f>
        <v>5.3501125356345247E-5</v>
      </c>
      <c r="AR7" s="55">
        <f>'LUC-2012-08-10-Run2'!BT8</f>
        <v>5.358589951393191E-5</v>
      </c>
      <c r="AS7" s="55">
        <f>'LUC-2012-08-10-Run2'!BU8</f>
        <v>5.3672282503609282E-5</v>
      </c>
      <c r="AT7" s="55">
        <f>'LUC-2012-08-10-Run2'!BV8</f>
        <v>5.3760270054983049E-5</v>
      </c>
      <c r="AU7" s="55">
        <f>'LUC-2012-08-10-Run2'!BW8</f>
        <v>5.3849853081464978E-5</v>
      </c>
      <c r="AV7" s="55">
        <f>'LUC-2012-08-10-Run2'!BX8</f>
        <v>5.3941017829373365E-5</v>
      </c>
      <c r="AW7" s="55">
        <f>'LUC-2012-08-10-Run2'!BY8</f>
        <v>5.4033763050466951E-5</v>
      </c>
      <c r="AX7" s="55">
        <f>'LUC-2012-08-10-Run2'!BZ8</f>
        <v>5.4128092228636533E-5</v>
      </c>
      <c r="AY7" s="55">
        <f>'LUC-2012-08-10-Run2'!CA8</f>
        <v>5.4224008946083018E-5</v>
      </c>
      <c r="AZ7" s="55">
        <f>'LUC-2012-08-10-Run2'!CB8</f>
        <v>5.4321496723876302E-5</v>
      </c>
      <c r="BA7" s="55">
        <f>'LUC-2012-08-10-Run2'!CC8</f>
        <v>5.4420572901668634E-5</v>
      </c>
      <c r="BB7" s="55">
        <f>'LUC-2012-08-10-Run2'!CD8</f>
        <v>5.4521219352321004E-5</v>
      </c>
      <c r="BC7" s="55">
        <f>'LUC-2012-08-10-Run2'!CE8</f>
        <v>5.4623425888475123E-5</v>
      </c>
      <c r="BD7" s="55">
        <f>'LUC-2012-08-10-Run2'!CF8</f>
        <v>5.4727189212199551E-5</v>
      </c>
      <c r="BE7" s="55">
        <f>'LUC-2012-08-10-Run2'!CG8</f>
        <v>5.4832486288335323E-5</v>
      </c>
      <c r="BF7" s="55">
        <f>'LUC-2012-08-10-Run2'!CH8</f>
        <v>5.4939322222557939E-5</v>
      </c>
      <c r="BG7" s="55">
        <f>'LUC-2012-08-10-Run2'!CI8</f>
        <v>5.5047676022657148E-5</v>
      </c>
      <c r="BH7" s="55">
        <f>'LUC-2012-08-10-Run2'!CJ8</f>
        <v>5.5157543030486721E-5</v>
      </c>
      <c r="BI7" s="55">
        <f>'LUC-2012-08-10-Run2'!CK8</f>
        <v>5.5268920681017922E-5</v>
      </c>
      <c r="BJ7" s="55">
        <f>'LUC-2012-08-10-Run2'!CL8</f>
        <v>5.5381826903601599E-5</v>
      </c>
      <c r="BK7" s="55">
        <f>'LUC-2012-08-10-Run2'!CM8</f>
        <v>5.5496247612017253E-5</v>
      </c>
      <c r="BM7" s="107"/>
      <c r="BN7" s="57" t="s">
        <v>100</v>
      </c>
      <c r="BO7" s="65">
        <f t="shared" si="7"/>
        <v>52.769166477933858</v>
      </c>
      <c r="BP7" s="65">
        <f t="shared" si="0"/>
        <v>52.042612729789461</v>
      </c>
      <c r="BQ7" s="65">
        <f t="shared" si="1"/>
        <v>52.081507781076681</v>
      </c>
      <c r="BR7" s="65">
        <f t="shared" si="2"/>
        <v>52.765502995160865</v>
      </c>
      <c r="BS7" s="65">
        <f t="shared" si="3"/>
        <v>53.501125356345248</v>
      </c>
      <c r="BT7" s="65">
        <f t="shared" si="4"/>
        <v>54.420572901668635</v>
      </c>
      <c r="BU7" s="65">
        <f t="shared" si="5"/>
        <v>55.496247612017257</v>
      </c>
      <c r="BX7" s="100">
        <f t="shared" si="6"/>
        <v>7.4815780256737338E-2</v>
      </c>
      <c r="BZ7" s="101">
        <f>(BK7-'Sce 1 Table'!BK7)/'Sce 1 Table'!BK7</f>
        <v>0.13948099442739403</v>
      </c>
    </row>
    <row r="8" spans="1:80" x14ac:dyDescent="0.25">
      <c r="A8" s="54" t="s">
        <v>71</v>
      </c>
      <c r="B8" s="54" t="s">
        <v>101</v>
      </c>
      <c r="C8" s="54" t="s">
        <v>92</v>
      </c>
      <c r="D8" s="55">
        <f>'LUC-2012-08-10-Run2'!AF9</f>
        <v>3.755643379961059E-5</v>
      </c>
      <c r="E8" s="55">
        <f>'LUC-2012-08-10-Run2'!AG9</f>
        <v>3.7502407109994121E-5</v>
      </c>
      <c r="F8" s="55">
        <f>'LUC-2012-08-10-Run2'!AH9</f>
        <v>3.7446367600395375E-5</v>
      </c>
      <c r="G8" s="55">
        <f>'LUC-2012-08-10-Run2'!AI9</f>
        <v>3.7389468791876361E-5</v>
      </c>
      <c r="H8" s="55">
        <f>'LUC-2012-08-10-Run2'!AJ9</f>
        <v>3.7332008042019762E-5</v>
      </c>
      <c r="I8" s="55">
        <f>'LUC-2012-08-10-Run2'!AK9</f>
        <v>3.7274068875954395E-5</v>
      </c>
      <c r="J8" s="55">
        <f>'LUC-2012-08-10-Run2'!AL9</f>
        <v>3.7215675850379237E-5</v>
      </c>
      <c r="K8" s="55">
        <f>'LUC-2012-08-10-Run2'!AM9</f>
        <v>3.7156978171501163E-5</v>
      </c>
      <c r="L8" s="55">
        <f>'LUC-2012-08-10-Run2'!AN9</f>
        <v>3.7098167828327268E-5</v>
      </c>
      <c r="M8" s="55">
        <f>'LUC-2012-08-10-Run2'!AO9</f>
        <v>3.7039336987868168E-5</v>
      </c>
      <c r="N8" s="55">
        <f>'LUC-2012-08-10-Run2'!AP9</f>
        <v>3.6980645139751931E-5</v>
      </c>
      <c r="O8" s="55">
        <f>'LUC-2012-08-10-Run2'!AQ9</f>
        <v>3.692213938427361E-5</v>
      </c>
      <c r="P8" s="55">
        <f>'LUC-2012-08-10-Run2'!AR9</f>
        <v>3.6863854751866036E-5</v>
      </c>
      <c r="Q8" s="55">
        <f>'LUC-2012-08-10-Run2'!AS9</f>
        <v>3.6805811662327231E-5</v>
      </c>
      <c r="R8" s="55">
        <f>'LUC-2012-08-10-Run2'!AT9</f>
        <v>3.6747999152088383E-5</v>
      </c>
      <c r="S8" s="55">
        <f>'LUC-2012-08-10-Run2'!AU9</f>
        <v>3.6881300974796092E-5</v>
      </c>
      <c r="T8" s="55">
        <f>'LUC-2012-08-10-Run2'!AV9</f>
        <v>3.6933062893627826E-5</v>
      </c>
      <c r="U8" s="55">
        <f>'LUC-2012-08-10-Run2'!AW9</f>
        <v>3.6984803288137251E-5</v>
      </c>
      <c r="V8" s="55">
        <f>'LUC-2012-08-10-Run2'!AX9</f>
        <v>3.7036437188603112E-5</v>
      </c>
      <c r="W8" s="55">
        <f>'LUC-2012-08-10-Run2'!AY9</f>
        <v>3.7087901513367618E-5</v>
      </c>
      <c r="X8" s="55">
        <f>'LUC-2012-08-10-Run2'!AZ9</f>
        <v>3.7139176923422152E-5</v>
      </c>
      <c r="Y8" s="55">
        <f>'LUC-2012-08-10-Run2'!BA9</f>
        <v>3.719028632859785E-5</v>
      </c>
      <c r="Z8" s="55">
        <f>'LUC-2012-08-10-Run2'!BB9</f>
        <v>3.7241283775133937E-5</v>
      </c>
      <c r="AA8" s="55">
        <f>'LUC-2012-08-10-Run2'!BC9</f>
        <v>3.7292262121969226E-5</v>
      </c>
      <c r="AB8" s="55">
        <f>'LUC-2012-08-10-Run2'!BD9</f>
        <v>3.7343280820957652E-5</v>
      </c>
      <c r="AC8" s="55">
        <f>'LUC-2012-08-10-Run2'!BE9</f>
        <v>3.7394359310285553E-5</v>
      </c>
      <c r="AD8" s="55">
        <f>'LUC-2012-08-10-Run2'!BF9</f>
        <v>3.7445462106810545E-5</v>
      </c>
      <c r="AE8" s="55">
        <f>'LUC-2012-08-10-Run2'!BG9</f>
        <v>3.7496556366296019E-5</v>
      </c>
      <c r="AF8" s="55">
        <f>'LUC-2012-08-10-Run2'!BH9</f>
        <v>3.7547608783536608E-5</v>
      </c>
      <c r="AG8" s="55">
        <f>'LUC-2012-08-10-Run2'!BI9</f>
        <v>3.7598597706895901E-5</v>
      </c>
      <c r="AH8" s="55">
        <f>'LUC-2012-08-10-Run2'!BJ9</f>
        <v>3.7649502569235385E-5</v>
      </c>
      <c r="AI8" s="55">
        <f>'LUC-2012-08-10-Run2'!BK9</f>
        <v>3.7700339228367647E-5</v>
      </c>
      <c r="AJ8" s="55">
        <f>'LUC-2012-08-10-Run2'!BL9</f>
        <v>3.7751080142069215E-5</v>
      </c>
      <c r="AK8" s="55">
        <f>'LUC-2012-08-10-Run2'!BM9</f>
        <v>3.7801728334648505E-5</v>
      </c>
      <c r="AL8" s="55">
        <f>'LUC-2012-08-10-Run2'!BN9</f>
        <v>3.785226250308605E-5</v>
      </c>
      <c r="AM8" s="55">
        <f>'LUC-2012-08-10-Run2'!BO9</f>
        <v>3.7902673895436454E-5</v>
      </c>
      <c r="AN8" s="55">
        <f>'LUC-2012-08-10-Run2'!BP9</f>
        <v>3.7952979622613387E-5</v>
      </c>
      <c r="AO8" s="55">
        <f>'LUC-2012-08-10-Run2'!BQ9</f>
        <v>3.8003197609965645E-5</v>
      </c>
      <c r="AP8" s="55">
        <f>'LUC-2012-08-10-Run2'!BR9</f>
        <v>3.8053393767208994E-5</v>
      </c>
      <c r="AQ8" s="55">
        <f>'LUC-2012-08-10-Run2'!BS9</f>
        <v>3.8103574826890966E-5</v>
      </c>
      <c r="AR8" s="55">
        <f>'LUC-2012-08-10-Run2'!BT9</f>
        <v>3.8156452560328051E-5</v>
      </c>
      <c r="AS8" s="55">
        <f>'LUC-2012-08-10-Run2'!BU9</f>
        <v>3.8210417968048391E-5</v>
      </c>
      <c r="AT8" s="55">
        <f>'LUC-2012-08-10-Run2'!BV9</f>
        <v>3.8265475695102741E-5</v>
      </c>
      <c r="AU8" s="55">
        <f>'LUC-2012-08-10-Run2'!BW9</f>
        <v>3.8321623685974469E-5</v>
      </c>
      <c r="AV8" s="55">
        <f>'LUC-2012-08-10-Run2'!BX9</f>
        <v>3.8378859609958136E-5</v>
      </c>
      <c r="AW8" s="55">
        <f>'LUC-2012-08-10-Run2'!BY9</f>
        <v>3.8437187893822393E-5</v>
      </c>
      <c r="AX8" s="55">
        <f>'LUC-2012-08-10-Run2'!BZ9</f>
        <v>3.8496607768899382E-5</v>
      </c>
      <c r="AY8" s="55">
        <f>'LUC-2012-08-10-Run2'!CA9</f>
        <v>3.8557127565013271E-5</v>
      </c>
      <c r="AZ8" s="55">
        <f>'LUC-2012-08-10-Run2'!CB9</f>
        <v>3.8618733800416279E-5</v>
      </c>
      <c r="BA8" s="55">
        <f>'LUC-2012-08-10-Run2'!CC9</f>
        <v>3.8681442904030025E-5</v>
      </c>
      <c r="BB8" s="55">
        <f>'LUC-2012-08-10-Run2'!CD9</f>
        <v>3.8745238156913579E-5</v>
      </c>
      <c r="BC8" s="55">
        <f>'LUC-2012-08-10-Run2'!CE9</f>
        <v>3.8810115409190752E-5</v>
      </c>
      <c r="BD8" s="55">
        <f>'LUC-2012-08-10-Run2'!CF9</f>
        <v>3.8876073147932574E-5</v>
      </c>
      <c r="BE8" s="55">
        <f>'LUC-2012-08-10-Run2'!CG9</f>
        <v>3.894309386333759E-5</v>
      </c>
      <c r="BF8" s="55">
        <f>'LUC-2012-08-10-Run2'!CH9</f>
        <v>3.9011183503462591E-5</v>
      </c>
      <c r="BG8" s="55">
        <f>'LUC-2012-08-10-Run2'!CI9</f>
        <v>3.9080323898003936E-5</v>
      </c>
      <c r="BH8" s="55">
        <f>'LUC-2012-08-10-Run2'!CJ9</f>
        <v>3.9150511218413924E-5</v>
      </c>
      <c r="BI8" s="55">
        <f>'LUC-2012-08-10-Run2'!CK9</f>
        <v>3.9221737742214523E-5</v>
      </c>
      <c r="BJ8" s="55">
        <f>'LUC-2012-08-10-Run2'!CL9</f>
        <v>3.9294017281482045E-5</v>
      </c>
      <c r="BK8" s="55">
        <f>'LUC-2012-08-10-Run2'!CM9</f>
        <v>3.936733039718203E-5</v>
      </c>
      <c r="BM8" s="107"/>
      <c r="BN8" s="57" t="s">
        <v>101</v>
      </c>
      <c r="BO8" s="65">
        <f t="shared" si="7"/>
        <v>37.556433799610588</v>
      </c>
      <c r="BP8" s="65">
        <f t="shared" si="0"/>
        <v>37.039336987868168</v>
      </c>
      <c r="BQ8" s="65">
        <f t="shared" si="1"/>
        <v>37.087901513367619</v>
      </c>
      <c r="BR8" s="65">
        <f t="shared" si="2"/>
        <v>37.598597706895902</v>
      </c>
      <c r="BS8" s="65">
        <f t="shared" si="3"/>
        <v>38.103574826890963</v>
      </c>
      <c r="BT8" s="65">
        <f t="shared" si="4"/>
        <v>38.681442904030028</v>
      </c>
      <c r="BU8" s="65">
        <f t="shared" si="5"/>
        <v>39.36733039718203</v>
      </c>
      <c r="BX8" s="100">
        <f t="shared" si="6"/>
        <v>7.127820032467784E-2</v>
      </c>
      <c r="BZ8" s="101">
        <f>(BK8-'Sce 1 Table'!BK8)/'Sce 1 Table'!BK8</f>
        <v>0.1733572247253764</v>
      </c>
    </row>
    <row r="9" spans="1:80" x14ac:dyDescent="0.25">
      <c r="A9" s="54" t="s">
        <v>71</v>
      </c>
      <c r="B9" s="54" t="s">
        <v>111</v>
      </c>
      <c r="C9" s="54" t="s">
        <v>92</v>
      </c>
      <c r="D9" s="55">
        <f>'LUC-2012-08-10-Run2'!AF10</f>
        <v>3.2802454837634565E-5</v>
      </c>
      <c r="E9" s="55">
        <f>'LUC-2012-08-10-Run2'!AG10</f>
        <v>3.2755266969488529E-5</v>
      </c>
      <c r="F9" s="55">
        <f>'LUC-2012-08-10-Run2'!AH10</f>
        <v>3.2706321068699752E-5</v>
      </c>
      <c r="G9" s="55">
        <f>'LUC-2012-08-10-Run2'!AI10</f>
        <v>3.2656624641005933E-5</v>
      </c>
      <c r="H9" s="55">
        <f>'LUC-2012-08-10-Run2'!AJ10</f>
        <v>3.260643740378941E-5</v>
      </c>
      <c r="I9" s="55">
        <f>'LUC-2012-08-10-Run2'!AK10</f>
        <v>3.2555832309377881E-5</v>
      </c>
      <c r="J9" s="55">
        <f>'LUC-2012-08-10-Run2'!AL10</f>
        <v>3.2504830806027448E-5</v>
      </c>
      <c r="K9" s="55">
        <f>'LUC-2012-08-10-Run2'!AM10</f>
        <v>3.2453563213083297E-5</v>
      </c>
      <c r="L9" s="55">
        <f>'LUC-2012-08-10-Run2'!AN10</f>
        <v>3.2402197217146604E-5</v>
      </c>
      <c r="M9" s="55">
        <f>'LUC-2012-08-10-Run2'!AO10</f>
        <v>3.2350813318517766E-5</v>
      </c>
      <c r="N9" s="55">
        <f>'LUC-2012-08-10-Run2'!AP10</f>
        <v>3.2299550818264349E-5</v>
      </c>
      <c r="O9" s="55">
        <f>'LUC-2012-08-10-Run2'!AQ10</f>
        <v>3.2248450854618708E-5</v>
      </c>
      <c r="P9" s="55">
        <f>'LUC-2012-08-10-Run2'!AR10</f>
        <v>3.2197544023781722E-5</v>
      </c>
      <c r="Q9" s="55">
        <f>'LUC-2012-08-10-Run2'!AS10</f>
        <v>3.2146848160766819E-5</v>
      </c>
      <c r="R9" s="55">
        <f>'LUC-2012-08-10-Run2'!AT10</f>
        <v>3.2096353689798707E-5</v>
      </c>
      <c r="S9" s="55">
        <f>'LUC-2012-08-10-Run2'!AU10</f>
        <v>3.2212781864062408E-5</v>
      </c>
      <c r="T9" s="55">
        <f>'LUC-2012-08-10-Run2'!AV10</f>
        <v>3.2464153102729245E-5</v>
      </c>
      <c r="U9" s="55">
        <f>'LUC-2012-08-10-Run2'!AW10</f>
        <v>3.271690581497304E-5</v>
      </c>
      <c r="V9" s="55">
        <f>'LUC-2012-08-10-Run2'!AX10</f>
        <v>3.2970962421275322E-5</v>
      </c>
      <c r="W9" s="55">
        <f>'LUC-2012-08-10-Run2'!AY10</f>
        <v>3.3226264413713801E-5</v>
      </c>
      <c r="X9" s="55">
        <f>'LUC-2012-08-10-Run2'!AZ10</f>
        <v>3.3482789042779644E-5</v>
      </c>
      <c r="Y9" s="55">
        <f>'LUC-2012-08-10-Run2'!BA10</f>
        <v>3.3740550001192795E-5</v>
      </c>
      <c r="Z9" s="55">
        <f>'LUC-2012-08-10-Run2'!BB10</f>
        <v>3.3999587604779657E-5</v>
      </c>
      <c r="AA9" s="55">
        <f>'LUC-2012-08-10-Run2'!BC10</f>
        <v>3.425996881315825E-5</v>
      </c>
      <c r="AB9" s="55">
        <f>'LUC-2012-08-10-Run2'!BD10</f>
        <v>3.4521734016547037E-5</v>
      </c>
      <c r="AC9" s="55">
        <f>'LUC-2012-08-10-Run2'!BE10</f>
        <v>3.4784889445536507E-5</v>
      </c>
      <c r="AD9" s="55">
        <f>'LUC-2012-08-10-Run2'!BF10</f>
        <v>3.5049395121155097E-5</v>
      </c>
      <c r="AE9" s="55">
        <f>'LUC-2012-08-10-Run2'!BG10</f>
        <v>3.5315227950970887E-5</v>
      </c>
      <c r="AF9" s="55">
        <f>'LUC-2012-08-10-Run2'!BH10</f>
        <v>3.5582357866475032E-5</v>
      </c>
      <c r="AG9" s="55">
        <f>'LUC-2012-08-10-Run2'!BI10</f>
        <v>3.5850774182663768E-5</v>
      </c>
      <c r="AH9" s="55">
        <f>'LUC-2012-08-10-Run2'!BJ10</f>
        <v>3.6120462447432588E-5</v>
      </c>
      <c r="AI9" s="55">
        <f>'LUC-2012-08-10-Run2'!BK10</f>
        <v>3.6391436750654276E-5</v>
      </c>
      <c r="AJ9" s="55">
        <f>'LUC-2012-08-10-Run2'!BL10</f>
        <v>3.6663678447313321E-5</v>
      </c>
      <c r="AK9" s="55">
        <f>'LUC-2012-08-10-Run2'!BM10</f>
        <v>3.6937197528123228E-5</v>
      </c>
      <c r="AL9" s="55">
        <f>'LUC-2012-08-10-Run2'!BN10</f>
        <v>3.7211979372309135E-5</v>
      </c>
      <c r="AM9" s="55">
        <f>'LUC-2012-08-10-Run2'!BO10</f>
        <v>3.7488031388110743E-5</v>
      </c>
      <c r="AN9" s="55">
        <f>'LUC-2012-08-10-Run2'!BP10</f>
        <v>3.7765360137229976E-5</v>
      </c>
      <c r="AO9" s="55">
        <f>'LUC-2012-08-10-Run2'!BQ10</f>
        <v>3.8043985474369211E-5</v>
      </c>
      <c r="AP9" s="55">
        <f>'LUC-2012-08-10-Run2'!BR10</f>
        <v>3.8323933618482537E-5</v>
      </c>
      <c r="AQ9" s="55">
        <f>'LUC-2012-08-10-Run2'!BS10</f>
        <v>3.8605209547791053E-5</v>
      </c>
      <c r="AR9" s="55">
        <f>'LUC-2012-08-10-Run2'!BT10</f>
        <v>3.8677920059823958E-5</v>
      </c>
      <c r="AS9" s="55">
        <f>'LUC-2012-08-10-Run2'!BU10</f>
        <v>3.8751713009784551E-5</v>
      </c>
      <c r="AT9" s="55">
        <f>'LUC-2012-08-10-Run2'!BV10</f>
        <v>3.8826591933489533E-5</v>
      </c>
      <c r="AU9" s="55">
        <f>'LUC-2012-08-10-Run2'!BW10</f>
        <v>3.890255296099992E-5</v>
      </c>
      <c r="AV9" s="55">
        <f>'LUC-2012-08-10-Run2'!BX10</f>
        <v>3.8979588221708722E-5</v>
      </c>
      <c r="AW9" s="55">
        <f>'LUC-2012-08-10-Run2'!BY10</f>
        <v>3.9057691220618749E-5</v>
      </c>
      <c r="AX9" s="55">
        <f>'LUC-2012-08-10-Run2'!BZ10</f>
        <v>3.9136866220622919E-5</v>
      </c>
      <c r="AY9" s="55">
        <f>'LUC-2012-08-10-Run2'!CA10</f>
        <v>3.9217106232685925E-5</v>
      </c>
      <c r="AZ9" s="55">
        <f>'LUC-2012-08-10-Run2'!CB10</f>
        <v>3.9298398757022331E-5</v>
      </c>
      <c r="BA9" s="55">
        <f>'LUC-2012-08-10-Run2'!CC10</f>
        <v>3.9380744857709663E-5</v>
      </c>
      <c r="BB9" s="55">
        <f>'LUC-2012-08-10-Run2'!CD10</f>
        <v>3.9464137259924096E-5</v>
      </c>
      <c r="BC9" s="55">
        <f>'LUC-2012-08-10-Run2'!CE10</f>
        <v>3.9548568806148973E-5</v>
      </c>
      <c r="BD9" s="55">
        <f>'LUC-2012-08-10-Run2'!CF10</f>
        <v>3.9634035486339887E-5</v>
      </c>
      <c r="BE9" s="55">
        <f>'LUC-2012-08-10-Run2'!CG10</f>
        <v>3.9720527015119885E-5</v>
      </c>
      <c r="BF9" s="55">
        <f>'LUC-2012-08-10-Run2'!CH10</f>
        <v>3.9808038587477014E-5</v>
      </c>
      <c r="BG9" s="55">
        <f>'LUC-2012-08-10-Run2'!CI10</f>
        <v>3.9896568115661278E-5</v>
      </c>
      <c r="BH9" s="55">
        <f>'LUC-2012-08-10-Run2'!CJ10</f>
        <v>3.998610769803857E-5</v>
      </c>
      <c r="BI9" s="55">
        <f>'LUC-2012-08-10-Run2'!CK10</f>
        <v>4.0076663427659374E-5</v>
      </c>
      <c r="BJ9" s="55">
        <f>'LUC-2012-08-10-Run2'!CL10</f>
        <v>4.0168239548289989E-5</v>
      </c>
      <c r="BK9" s="55">
        <f>'LUC-2012-08-10-Run2'!CM10</f>
        <v>4.0260837211252985E-5</v>
      </c>
      <c r="BM9" s="107"/>
      <c r="BN9" s="57" t="s">
        <v>111</v>
      </c>
      <c r="BO9" s="65">
        <f t="shared" si="7"/>
        <v>32.802454837634563</v>
      </c>
      <c r="BP9" s="65">
        <f t="shared" si="0"/>
        <v>32.350813318517766</v>
      </c>
      <c r="BQ9" s="65">
        <f t="shared" si="1"/>
        <v>33.2262644137138</v>
      </c>
      <c r="BR9" s="65">
        <f t="shared" si="2"/>
        <v>35.85077418266377</v>
      </c>
      <c r="BS9" s="65">
        <f t="shared" si="3"/>
        <v>38.605209547791056</v>
      </c>
      <c r="BT9" s="65">
        <f t="shared" si="4"/>
        <v>39.380744857709665</v>
      </c>
      <c r="BU9" s="65">
        <f t="shared" si="5"/>
        <v>40.260837211252984</v>
      </c>
      <c r="BX9" s="100">
        <f t="shared" si="6"/>
        <v>0.25437417596906731</v>
      </c>
      <c r="BZ9" s="101">
        <f>(BK9-'Sce 1 Table'!BK9)/'Sce 1 Table'!BK9</f>
        <v>0.16980012152796753</v>
      </c>
    </row>
    <row r="10" spans="1:80" x14ac:dyDescent="0.25">
      <c r="A10" s="54" t="s">
        <v>71</v>
      </c>
      <c r="B10" s="54" t="s">
        <v>102</v>
      </c>
      <c r="C10" s="54" t="s">
        <v>92</v>
      </c>
      <c r="D10" s="55">
        <f>'LUC-2012-08-10-Run2'!AF11</f>
        <v>9.854236723099179E-6</v>
      </c>
      <c r="E10" s="55">
        <f>'LUC-2012-08-10-Run2'!AG11</f>
        <v>9.9823313516283816E-6</v>
      </c>
      <c r="F10" s="55">
        <f>'LUC-2012-08-10-Run2'!AH11</f>
        <v>1.0100376622903003E-5</v>
      </c>
      <c r="G10" s="55">
        <f>'LUC-2012-08-10-Run2'!AI11</f>
        <v>1.0217954371032664E-5</v>
      </c>
      <c r="H10" s="55">
        <f>'LUC-2012-08-10-Run2'!AJ11</f>
        <v>1.0335036222756833E-5</v>
      </c>
      <c r="I10" s="55">
        <f>'LUC-2012-08-10-Run2'!AK11</f>
        <v>1.0451609591361124E-5</v>
      </c>
      <c r="J10" s="55">
        <f>'LUC-2012-08-10-Run2'!AL11</f>
        <v>1.0567721275233579E-5</v>
      </c>
      <c r="K10" s="55">
        <f>'LUC-2012-08-10-Run2'!AM11</f>
        <v>1.0683584645201572E-5</v>
      </c>
      <c r="L10" s="55">
        <f>'LUC-2012-08-10-Run2'!AN11</f>
        <v>1.0799445063931594E-5</v>
      </c>
      <c r="M10" s="55">
        <f>'LUC-2012-08-10-Run2'!AO11</f>
        <v>1.0915504194081234E-5</v>
      </c>
      <c r="N10" s="55">
        <f>'LUC-2012-08-10-Run2'!AP11</f>
        <v>1.1031807456688384E-5</v>
      </c>
      <c r="O10" s="55">
        <f>'LUC-2012-08-10-Run2'!AQ11</f>
        <v>1.1148309525294568E-5</v>
      </c>
      <c r="P10" s="55">
        <f>'LUC-2012-08-10-Run2'!AR11</f>
        <v>1.1264870100794226E-5</v>
      </c>
      <c r="Q10" s="55">
        <f>'LUC-2012-08-10-Run2'!AS11</f>
        <v>1.1381328286422772E-5</v>
      </c>
      <c r="R10" s="55">
        <f>'LUC-2012-08-10-Run2'!AT11</f>
        <v>1.1497512483415883E-5</v>
      </c>
      <c r="S10" s="55">
        <f>'LUC-2012-08-10-Run2'!AU11</f>
        <v>1.1803464369167429E-5</v>
      </c>
      <c r="T10" s="55">
        <f>'LUC-2012-08-10-Run2'!AV11</f>
        <v>1.2071076753421164E-5</v>
      </c>
      <c r="U10" s="55">
        <f>'LUC-2012-08-10-Run2'!AW11</f>
        <v>1.2339032919941119E-5</v>
      </c>
      <c r="V10" s="55">
        <f>'LUC-2012-08-10-Run2'!AX11</f>
        <v>1.2607263023161016E-5</v>
      </c>
      <c r="W10" s="55">
        <f>'LUC-2012-08-10-Run2'!AY11</f>
        <v>1.2875722419325717E-5</v>
      </c>
      <c r="X10" s="55">
        <f>'LUC-2012-08-10-Run2'!AZ11</f>
        <v>1.3144397729442386E-5</v>
      </c>
      <c r="Y10" s="55">
        <f>'LUC-2012-08-10-Run2'!BA11</f>
        <v>1.3413300071319038E-5</v>
      </c>
      <c r="Z10" s="55">
        <f>'LUC-2012-08-10-Run2'!BB11</f>
        <v>1.3682448844595694E-5</v>
      </c>
      <c r="AA10" s="55">
        <f>'LUC-2012-08-10-Run2'!BC11</f>
        <v>1.395188726793054E-5</v>
      </c>
      <c r="AB10" s="55">
        <f>'LUC-2012-08-10-Run2'!BD11</f>
        <v>1.4221622177317089E-5</v>
      </c>
      <c r="AC10" s="55">
        <f>'LUC-2012-08-10-Run2'!BE11</f>
        <v>1.4491643827531894E-5</v>
      </c>
      <c r="AD10" s="55">
        <f>'LUC-2012-08-10-Run2'!BF11</f>
        <v>1.4761924783512753E-5</v>
      </c>
      <c r="AE10" s="55">
        <f>'LUC-2012-08-10-Run2'!BG11</f>
        <v>1.503244380112934E-5</v>
      </c>
      <c r="AF10" s="55">
        <f>'LUC-2012-08-10-Run2'!BH11</f>
        <v>1.5303187831917682E-5</v>
      </c>
      <c r="AG10" s="55">
        <f>'LUC-2012-08-10-Run2'!BI11</f>
        <v>1.557412314738251E-5</v>
      </c>
      <c r="AH10" s="55">
        <f>'LUC-2012-08-10-Run2'!BJ11</f>
        <v>1.5845231954920686E-5</v>
      </c>
      <c r="AI10" s="55">
        <f>'LUC-2012-08-10-Run2'!BK11</f>
        <v>1.6116481807391817E-5</v>
      </c>
      <c r="AJ10" s="55">
        <f>'LUC-2012-08-10-Run2'!BL11</f>
        <v>1.6387846539899619E-5</v>
      </c>
      <c r="AK10" s="55">
        <f>'LUC-2012-08-10-Run2'!BM11</f>
        <v>1.6659294228484215E-5</v>
      </c>
      <c r="AL10" s="55">
        <f>'LUC-2012-08-10-Run2'!BN11</f>
        <v>1.6930804678487053E-5</v>
      </c>
      <c r="AM10" s="55">
        <f>'LUC-2012-08-10-Run2'!BO11</f>
        <v>1.72023400226907E-5</v>
      </c>
      <c r="AN10" s="55">
        <f>'LUC-2012-08-10-Run2'!BP11</f>
        <v>1.7473889524296791E-5</v>
      </c>
      <c r="AO10" s="55">
        <f>'LUC-2012-08-10-Run2'!BQ11</f>
        <v>1.7745421916057434E-5</v>
      </c>
      <c r="AP10" s="55">
        <f>'LUC-2012-08-10-Run2'!BR11</f>
        <v>1.8016930836368059E-5</v>
      </c>
      <c r="AQ10" s="55">
        <f>'LUC-2012-08-10-Run2'!BS11</f>
        <v>1.8288393046038396E-5</v>
      </c>
      <c r="AR10" s="55">
        <f>'LUC-2012-08-10-Run2'!BT11</f>
        <v>1.8537394223131596E-5</v>
      </c>
      <c r="AS10" s="55">
        <f>'LUC-2012-08-10-Run2'!BU11</f>
        <v>1.8786939369484812E-5</v>
      </c>
      <c r="AT10" s="55">
        <f>'LUC-2012-08-10-Run2'!BV11</f>
        <v>1.9037001323926226E-5</v>
      </c>
      <c r="AU10" s="55">
        <f>'LUC-2012-08-10-Run2'!BW11</f>
        <v>1.9287578920227342E-5</v>
      </c>
      <c r="AV10" s="55">
        <f>'LUC-2012-08-10-Run2'!BX11</f>
        <v>1.9538671131323192E-5</v>
      </c>
      <c r="AW10" s="55">
        <f>'LUC-2012-08-10-Run2'!BY11</f>
        <v>1.9790284246013519E-5</v>
      </c>
      <c r="AX10" s="55">
        <f>'LUC-2012-08-10-Run2'!BZ11</f>
        <v>2.0042405273308238E-5</v>
      </c>
      <c r="AY10" s="55">
        <f>'LUC-2012-08-10-Run2'!CA11</f>
        <v>2.0295033898328146E-5</v>
      </c>
      <c r="AZ10" s="55">
        <f>'LUC-2012-08-10-Run2'!CB11</f>
        <v>2.0548156613124433E-5</v>
      </c>
      <c r="BA10" s="55">
        <f>'LUC-2012-08-10-Run2'!CC11</f>
        <v>2.0801758869785672E-5</v>
      </c>
      <c r="BB10" s="55">
        <f>'LUC-2012-08-10-Run2'!CD11</f>
        <v>2.1055828081857568E-5</v>
      </c>
      <c r="BC10" s="55">
        <f>'LUC-2012-08-10-Run2'!CE11</f>
        <v>2.1310346949605758E-5</v>
      </c>
      <c r="BD10" s="55">
        <f>'LUC-2012-08-10-Run2'!CF11</f>
        <v>2.1565314955439615E-5</v>
      </c>
      <c r="BE10" s="55">
        <f>'LUC-2012-08-10-Run2'!CG11</f>
        <v>2.1820723628412651E-5</v>
      </c>
      <c r="BF10" s="55">
        <f>'LUC-2012-08-10-Run2'!CH11</f>
        <v>2.2076567644162625E-5</v>
      </c>
      <c r="BG10" s="55">
        <f>'LUC-2012-08-10-Run2'!CI11</f>
        <v>2.2332826663134236E-5</v>
      </c>
      <c r="BH10" s="55">
        <f>'LUC-2012-08-10-Run2'!CJ11</f>
        <v>2.2589489050445082E-5</v>
      </c>
      <c r="BI10" s="55">
        <f>'LUC-2012-08-10-Run2'!CK11</f>
        <v>2.2846510383298265E-5</v>
      </c>
      <c r="BJ10" s="55">
        <f>'LUC-2012-08-10-Run2'!CL11</f>
        <v>2.3103864648919468E-5</v>
      </c>
      <c r="BK10" s="55">
        <f>'LUC-2012-08-10-Run2'!CM11</f>
        <v>2.336149868724929E-5</v>
      </c>
      <c r="BM10" s="107"/>
      <c r="BN10" s="57" t="s">
        <v>102</v>
      </c>
      <c r="BO10" s="65">
        <f t="shared" si="7"/>
        <v>9.854236723099179</v>
      </c>
      <c r="BP10" s="65">
        <f t="shared" si="0"/>
        <v>10.915504194081233</v>
      </c>
      <c r="BQ10" s="65">
        <f t="shared" si="1"/>
        <v>12.875722419325717</v>
      </c>
      <c r="BR10" s="65">
        <f t="shared" si="2"/>
        <v>15.57412314738251</v>
      </c>
      <c r="BS10" s="65">
        <f t="shared" si="3"/>
        <v>18.288393046038397</v>
      </c>
      <c r="BT10" s="65">
        <f t="shared" si="4"/>
        <v>20.801758869785672</v>
      </c>
      <c r="BU10" s="65">
        <f t="shared" si="5"/>
        <v>23.361498687249291</v>
      </c>
      <c r="BX10" s="100">
        <f t="shared" si="6"/>
        <v>1.0318741746048226</v>
      </c>
      <c r="BZ10" s="101">
        <f>(BK10-'Sce 1 Table'!BK10)/'Sce 1 Table'!BK10</f>
        <v>0.45515613185574028</v>
      </c>
    </row>
    <row r="11" spans="1:80" x14ac:dyDescent="0.25">
      <c r="A11" s="54" t="s">
        <v>71</v>
      </c>
      <c r="B11" s="54" t="s">
        <v>103</v>
      </c>
      <c r="C11" s="54" t="s">
        <v>92</v>
      </c>
      <c r="D11" s="55">
        <f>'LUC-2012-08-10-Run2'!AF12</f>
        <v>2.1546611417777664E-5</v>
      </c>
      <c r="E11" s="55">
        <f>'LUC-2012-08-10-Run2'!AG12</f>
        <v>2.1548776353901259E-5</v>
      </c>
      <c r="F11" s="55">
        <f>'LUC-2012-08-10-Run2'!AH12</f>
        <v>2.1529813843228388E-5</v>
      </c>
      <c r="G11" s="55">
        <f>'LUC-2012-08-10-Run2'!AI12</f>
        <v>2.1511796280261009E-5</v>
      </c>
      <c r="H11" s="55">
        <f>'LUC-2012-08-10-Run2'!AJ12</f>
        <v>2.1494294630538175E-5</v>
      </c>
      <c r="I11" s="55">
        <f>'LUC-2012-08-10-Run2'!AK12</f>
        <v>2.1477258718884035E-5</v>
      </c>
      <c r="J11" s="55">
        <f>'LUC-2012-08-10-Run2'!AL12</f>
        <v>2.1460780711870611E-5</v>
      </c>
      <c r="K11" s="55">
        <f>'LUC-2012-08-10-Run2'!AM12</f>
        <v>2.1445238306112089E-5</v>
      </c>
      <c r="L11" s="55">
        <f>'LUC-2012-08-10-Run2'!AN12</f>
        <v>2.1430974190250699E-5</v>
      </c>
      <c r="M11" s="55">
        <f>'LUC-2012-08-10-Run2'!AO12</f>
        <v>2.1418246228484336E-5</v>
      </c>
      <c r="N11" s="55">
        <f>'LUC-2012-08-10-Run2'!AP12</f>
        <v>2.1406989135757382E-5</v>
      </c>
      <c r="O11" s="55">
        <f>'LUC-2012-08-10-Run2'!AQ12</f>
        <v>2.1396971476561034E-5</v>
      </c>
      <c r="P11" s="55">
        <f>'LUC-2012-08-10-Run2'!AR12</f>
        <v>2.1387819441490876E-5</v>
      </c>
      <c r="Q11" s="55">
        <f>'LUC-2012-08-10-Run2'!AS12</f>
        <v>2.1379160748666734E-5</v>
      </c>
      <c r="R11" s="55">
        <f>'LUC-2012-08-10-Run2'!AT12</f>
        <v>2.1370586114888923E-5</v>
      </c>
      <c r="S11" s="55">
        <f>'LUC-2012-08-10-Run2'!AU12</f>
        <v>2.1564353450623786E-5</v>
      </c>
      <c r="T11" s="55">
        <f>'LUC-2012-08-10-Run2'!AV12</f>
        <v>2.1793341436211772E-5</v>
      </c>
      <c r="U11" s="55">
        <f>'LUC-2012-08-10-Run2'!AW12</f>
        <v>2.2022900015537084E-5</v>
      </c>
      <c r="V11" s="55">
        <f>'LUC-2012-08-10-Run2'!AX12</f>
        <v>2.225291554480102E-5</v>
      </c>
      <c r="W11" s="55">
        <f>'LUC-2012-08-10-Run2'!AY12</f>
        <v>2.248331696163916E-5</v>
      </c>
      <c r="X11" s="55">
        <f>'LUC-2012-08-10-Run2'!AZ12</f>
        <v>2.2714121854788541E-5</v>
      </c>
      <c r="Y11" s="55">
        <f>'LUC-2012-08-10-Run2'!BA12</f>
        <v>2.2945369953573054E-5</v>
      </c>
      <c r="Z11" s="55">
        <f>'LUC-2012-08-10-Run2'!BB12</f>
        <v>2.317716854182256E-5</v>
      </c>
      <c r="AA11" s="55">
        <f>'LUC-2012-08-10-Run2'!BC12</f>
        <v>2.3409714567266966E-5</v>
      </c>
      <c r="AB11" s="55">
        <f>'LUC-2012-08-10-Run2'!BD12</f>
        <v>2.3643118283127092E-5</v>
      </c>
      <c r="AC11" s="55">
        <f>'LUC-2012-08-10-Run2'!BE12</f>
        <v>2.3877389487586614E-5</v>
      </c>
      <c r="AD11" s="55">
        <f>'LUC-2012-08-10-Run2'!BF12</f>
        <v>2.4112490073566627E-5</v>
      </c>
      <c r="AE11" s="55">
        <f>'LUC-2012-08-10-Run2'!BG12</f>
        <v>2.4348441491904624E-5</v>
      </c>
      <c r="AF11" s="55">
        <f>'LUC-2012-08-10-Run2'!BH12</f>
        <v>2.4585313440037396E-5</v>
      </c>
      <c r="AG11" s="55">
        <f>'LUC-2012-08-10-Run2'!BI12</f>
        <v>2.4823070699872917E-5</v>
      </c>
      <c r="AH11" s="55">
        <f>'LUC-2012-08-10-Run2'!BJ12</f>
        <v>2.5061723396556276E-5</v>
      </c>
      <c r="AI11" s="55">
        <f>'LUC-2012-08-10-Run2'!BK12</f>
        <v>2.5301222927894769E-5</v>
      </c>
      <c r="AJ11" s="55">
        <f>'LUC-2012-08-10-Run2'!BL12</f>
        <v>2.5541470402580263E-5</v>
      </c>
      <c r="AK11" s="55">
        <f>'LUC-2012-08-10-Run2'!BM12</f>
        <v>2.5782356869015562E-5</v>
      </c>
      <c r="AL11" s="55">
        <f>'LUC-2012-08-10-Run2'!BN12</f>
        <v>2.602382674911267E-5</v>
      </c>
      <c r="AM11" s="55">
        <f>'LUC-2012-08-10-Run2'!BO12</f>
        <v>2.6265788224911583E-5</v>
      </c>
      <c r="AN11" s="55">
        <f>'LUC-2012-08-10-Run2'!BP12</f>
        <v>2.6508240428606932E-5</v>
      </c>
      <c r="AO11" s="55">
        <f>'LUC-2012-08-10-Run2'!BQ12</f>
        <v>2.6751112796108488E-5</v>
      </c>
      <c r="AP11" s="55">
        <f>'LUC-2012-08-10-Run2'!BR12</f>
        <v>2.6994398843226654E-5</v>
      </c>
      <c r="AQ11" s="55">
        <f>'LUC-2012-08-10-Run2'!BS12</f>
        <v>2.7238015928863178E-5</v>
      </c>
      <c r="AR11" s="55">
        <f>'LUC-2012-08-10-Run2'!BT12</f>
        <v>2.7486278328480859E-5</v>
      </c>
      <c r="AS11" s="55">
        <f>'LUC-2012-08-10-Run2'!BU12</f>
        <v>2.7735066702356564E-5</v>
      </c>
      <c r="AT11" s="55">
        <f>'LUC-2012-08-10-Run2'!BV12</f>
        <v>2.7984373471102214E-5</v>
      </c>
      <c r="AU11" s="55">
        <f>'LUC-2012-08-10-Run2'!BW12</f>
        <v>2.8234185785609252E-5</v>
      </c>
      <c r="AV11" s="55">
        <f>'LUC-2012-08-10-Run2'!BX12</f>
        <v>2.848452661865839E-5</v>
      </c>
      <c r="AW11" s="55">
        <f>'LUC-2012-08-10-Run2'!BY12</f>
        <v>2.8735407812141995E-5</v>
      </c>
      <c r="AX11" s="55">
        <f>'LUC-2012-08-10-Run2'!BZ12</f>
        <v>2.8986784416274045E-5</v>
      </c>
      <c r="AY11" s="55">
        <f>'LUC-2012-08-10-Run2'!CA12</f>
        <v>2.923868910001958E-5</v>
      </c>
      <c r="AZ11" s="55">
        <f>'LUC-2012-08-10-Run2'!CB12</f>
        <v>2.9491106015792109E-5</v>
      </c>
      <c r="BA11" s="55">
        <f>'LUC-2012-08-10-Run2'!CC12</f>
        <v>2.974403013996918E-5</v>
      </c>
      <c r="BB11" s="55">
        <f>'LUC-2012-08-10-Run2'!CD12</f>
        <v>2.9997418547630894E-5</v>
      </c>
      <c r="BC11" s="55">
        <f>'LUC-2012-08-10-Run2'!CE12</f>
        <v>3.0251285972614444E-5</v>
      </c>
      <c r="BD11" s="55">
        <f>'LUC-2012-08-10-Run2'!CF12</f>
        <v>3.0505605048150061E-5</v>
      </c>
      <c r="BE11" s="55">
        <f>'LUC-2012-08-10-Run2'!CG12</f>
        <v>3.0760361503078086E-5</v>
      </c>
      <c r="BF11" s="55">
        <f>'LUC-2012-08-10-Run2'!CH12</f>
        <v>3.1015537929679432E-5</v>
      </c>
      <c r="BG11" s="55">
        <f>'LUC-2012-08-10-Run2'!CI12</f>
        <v>3.1271124426628932E-5</v>
      </c>
      <c r="BH11" s="55">
        <f>'LUC-2012-08-10-Run2'!CJ12</f>
        <v>3.152708507740859E-5</v>
      </c>
      <c r="BI11" s="55">
        <f>'LUC-2012-08-10-Run2'!CK12</f>
        <v>3.1783371020349179E-5</v>
      </c>
      <c r="BJ11" s="55">
        <f>'LUC-2012-08-10-Run2'!CL12</f>
        <v>3.2039952017257924E-5</v>
      </c>
      <c r="BK11" s="55">
        <f>'LUC-2012-08-10-Run2'!CM12</f>
        <v>3.2296747924272995E-5</v>
      </c>
      <c r="BM11" s="107"/>
      <c r="BN11" s="57" t="s">
        <v>103</v>
      </c>
      <c r="BO11" s="65">
        <f t="shared" si="7"/>
        <v>21.546611417777665</v>
      </c>
      <c r="BP11" s="65">
        <f t="shared" si="0"/>
        <v>21.418246228484335</v>
      </c>
      <c r="BQ11" s="65">
        <f t="shared" si="1"/>
        <v>22.483316961639161</v>
      </c>
      <c r="BR11" s="65">
        <f t="shared" si="2"/>
        <v>24.823070699872918</v>
      </c>
      <c r="BS11" s="65">
        <f t="shared" si="3"/>
        <v>27.238015928863177</v>
      </c>
      <c r="BT11" s="65">
        <f t="shared" si="4"/>
        <v>29.74403013996918</v>
      </c>
      <c r="BU11" s="65">
        <f t="shared" si="5"/>
        <v>32.296747924272992</v>
      </c>
      <c r="BW11" s="54">
        <f>(BW12-BV12)/BV12</f>
        <v>0.4551605452248037</v>
      </c>
      <c r="BX11" s="100">
        <f t="shared" si="6"/>
        <v>0.51127104098337273</v>
      </c>
      <c r="BZ11" s="101">
        <f>(BK11-'Sce 1 Table'!BK11)/'Sce 1 Table'!BK11</f>
        <v>0.29885796998569486</v>
      </c>
    </row>
    <row r="12" spans="1:80" x14ac:dyDescent="0.25">
      <c r="A12" s="54" t="s">
        <v>71</v>
      </c>
      <c r="B12" s="54" t="s">
        <v>104</v>
      </c>
      <c r="C12" s="54" t="s">
        <v>92</v>
      </c>
      <c r="D12" s="55">
        <f>'LUC-2012-08-10-Run2'!AF14</f>
        <v>7.2579400635636128E-5</v>
      </c>
      <c r="E12" s="55">
        <f>'LUC-2012-08-10-Run2'!AG14</f>
        <v>7.2710750357848772E-5</v>
      </c>
      <c r="F12" s="55">
        <f>'LUC-2012-08-10-Run2'!AH14</f>
        <v>7.2835631481469562E-5</v>
      </c>
      <c r="G12" s="55">
        <f>'LUC-2012-08-10-Run2'!AI14</f>
        <v>7.2966844650889425E-5</v>
      </c>
      <c r="H12" s="55">
        <f>'LUC-2012-08-10-Run2'!AJ14</f>
        <v>7.3104359921105733E-5</v>
      </c>
      <c r="I12" s="55">
        <f>'LUC-2012-08-10-Run2'!AK14</f>
        <v>7.3248246864508071E-5</v>
      </c>
      <c r="J12" s="55">
        <f>'LUC-2012-08-10-Run2'!AL14</f>
        <v>7.3398754505103175E-5</v>
      </c>
      <c r="K12" s="55">
        <f>'LUC-2012-08-10-Run2'!AM14</f>
        <v>7.3555626460515322E-5</v>
      </c>
      <c r="L12" s="55">
        <f>'LUC-2012-08-10-Run2'!AN14</f>
        <v>7.3718630250443402E-5</v>
      </c>
      <c r="M12" s="55">
        <f>'LUC-2012-08-10-Run2'!AO14</f>
        <v>7.3887930394828121E-5</v>
      </c>
      <c r="N12" s="55">
        <f>'LUC-2012-08-10-Run2'!AP14</f>
        <v>7.4063048210976443E-5</v>
      </c>
      <c r="O12" s="55">
        <f>'LUC-2012-08-10-Run2'!AQ14</f>
        <v>7.4244147109695115E-5</v>
      </c>
      <c r="P12" s="55">
        <f>'LUC-2012-08-10-Run2'!AR14</f>
        <v>7.4431632375143155E-5</v>
      </c>
      <c r="Q12" s="55">
        <f>'LUC-2012-08-10-Run2'!AS14</f>
        <v>7.4625871636400709E-5</v>
      </c>
      <c r="R12" s="55">
        <f>'LUC-2012-08-10-Run2'!AT14</f>
        <v>7.4827372348252132E-5</v>
      </c>
      <c r="S12" s="55">
        <f>'LUC-2012-08-10-Run2'!AU14</f>
        <v>7.5272799341533807E-5</v>
      </c>
      <c r="T12" s="55">
        <f>'LUC-2012-08-10-Run2'!AV14</f>
        <v>7.5653421761369362E-5</v>
      </c>
      <c r="U12" s="55">
        <f>'LUC-2012-08-10-Run2'!AW14</f>
        <v>7.6040193622583865E-5</v>
      </c>
      <c r="V12" s="55">
        <f>'LUC-2012-08-10-Run2'!AX14</f>
        <v>7.6432190906052539E-5</v>
      </c>
      <c r="W12" s="55">
        <f>'LUC-2012-08-10-Run2'!AY14</f>
        <v>7.6828880354967423E-5</v>
      </c>
      <c r="X12" s="55">
        <f>'LUC-2012-08-10-Run2'!AZ14</f>
        <v>7.7229800876962352E-5</v>
      </c>
      <c r="Y12" s="55">
        <f>'LUC-2012-08-10-Run2'!BA14</f>
        <v>7.7634910652234077E-5</v>
      </c>
      <c r="Z12" s="55">
        <f>'LUC-2012-08-10-Run2'!BB14</f>
        <v>7.8043932027252886E-5</v>
      </c>
      <c r="AA12" s="55">
        <f>'LUC-2012-08-10-Run2'!BC14</f>
        <v>7.8456345254956117E-5</v>
      </c>
      <c r="AB12" s="55">
        <f>'LUC-2012-08-10-Run2'!BD14</f>
        <v>7.8871802407409408E-5</v>
      </c>
      <c r="AC12" s="55">
        <f>'LUC-2012-08-10-Run2'!BE14</f>
        <v>7.9290254340928318E-5</v>
      </c>
      <c r="AD12" s="55">
        <f>'LUC-2012-08-10-Run2'!BF14</f>
        <v>7.9711490722035377E-5</v>
      </c>
      <c r="AE12" s="55">
        <f>'LUC-2012-08-10-Run2'!BG14</f>
        <v>8.0135788621319673E-5</v>
      </c>
      <c r="AF12" s="55">
        <f>'LUC-2012-08-10-Run2'!BH14</f>
        <v>8.0562988302829418E-5</v>
      </c>
      <c r="AG12" s="55">
        <f>'LUC-2012-08-10-Run2'!BI14</f>
        <v>8.0993198348850272E-5</v>
      </c>
      <c r="AH12" s="55">
        <f>'LUC-2012-08-10-Run2'!BJ14</f>
        <v>8.1426526896724929E-5</v>
      </c>
      <c r="AI12" s="55">
        <f>'LUC-2012-08-10-Run2'!BK14</f>
        <v>8.1862876820251466E-5</v>
      </c>
      <c r="AJ12" s="55">
        <f>'LUC-2012-08-10-Run2'!BL14</f>
        <v>8.2302563022349228E-5</v>
      </c>
      <c r="AK12" s="55">
        <f>'LUC-2012-08-10-Run2'!BM14</f>
        <v>8.2745948066426073E-5</v>
      </c>
      <c r="AL12" s="55">
        <f>'LUC-2012-08-10-Run2'!BN14</f>
        <v>8.3193150536952967E-5</v>
      </c>
      <c r="AM12" s="55">
        <f>'LUC-2012-08-10-Run2'!BO14</f>
        <v>8.3644366820044867E-5</v>
      </c>
      <c r="AN12" s="55">
        <f>'LUC-2012-08-10-Run2'!BP14</f>
        <v>8.4099276794272285E-5</v>
      </c>
      <c r="AO12" s="55">
        <f>'LUC-2012-08-10-Run2'!BQ14</f>
        <v>8.4557925721439917E-5</v>
      </c>
      <c r="AP12" s="55">
        <f>'LUC-2012-08-10-Run2'!BR14</f>
        <v>8.5019750842936146E-5</v>
      </c>
      <c r="AQ12" s="55">
        <f>'LUC-2012-08-10-Run2'!BS14</f>
        <v>8.8421503654507531E-5</v>
      </c>
      <c r="AR12" s="55">
        <f>'LUC-2012-08-10-Run2'!BT14</f>
        <v>8.8842393838757668E-5</v>
      </c>
      <c r="AS12" s="55">
        <f>'LUC-2012-08-10-Run2'!BU14</f>
        <v>8.9265303631429454E-5</v>
      </c>
      <c r="AT12" s="55">
        <f>'LUC-2012-08-10-Run2'!BV14</f>
        <v>8.968966968738465E-5</v>
      </c>
      <c r="AU12" s="55">
        <f>'LUC-2012-08-10-Run2'!BW14</f>
        <v>9.0115191424142366E-5</v>
      </c>
      <c r="AV12" s="55">
        <f>'LUC-2012-08-10-Run2'!BX14</f>
        <v>9.0541413440371632E-5</v>
      </c>
      <c r="AW12" s="55">
        <f>'LUC-2012-08-10-Run2'!BY14</f>
        <v>9.0968056296699494E-5</v>
      </c>
      <c r="AX12" s="55">
        <f>'LUC-2012-08-10-Run2'!BZ14</f>
        <v>9.1395259359980312E-5</v>
      </c>
      <c r="AY12" s="55">
        <f>'LUC-2012-08-10-Run2'!CA14</f>
        <v>9.1822763544531668E-5</v>
      </c>
      <c r="AZ12" s="55">
        <f>'LUC-2012-08-10-Run2'!CB14</f>
        <v>9.2250697448126019E-5</v>
      </c>
      <c r="BA12" s="55">
        <f>'LUC-2012-08-10-Run2'!CC14</f>
        <v>9.2678861236957113E-5</v>
      </c>
      <c r="BB12" s="55">
        <f>'LUC-2012-08-10-Run2'!CD14</f>
        <v>9.3107437683878698E-5</v>
      </c>
      <c r="BC12" s="55">
        <f>'LUC-2012-08-10-Run2'!CE14</f>
        <v>9.3536262752496986E-5</v>
      </c>
      <c r="BD12" s="55">
        <f>'LUC-2012-08-10-Run2'!CF14</f>
        <v>9.3965275259047813E-5</v>
      </c>
      <c r="BE12" s="55">
        <f>'LUC-2012-08-10-Run2'!CG14</f>
        <v>9.4394518640761839E-5</v>
      </c>
      <c r="BF12" s="55">
        <f>'LUC-2012-08-10-Run2'!CH14</f>
        <v>9.4823893052683463E-5</v>
      </c>
      <c r="BG12" s="55">
        <f>'LUC-2012-08-10-Run2'!CI14</f>
        <v>9.5253528751421097E-5</v>
      </c>
      <c r="BH12" s="55">
        <f>'LUC-2012-08-10-Run2'!CJ14</f>
        <v>9.5683465522345998E-5</v>
      </c>
      <c r="BI12" s="55">
        <f>'LUC-2012-08-10-Run2'!CK14</f>
        <v>9.611397100395814E-5</v>
      </c>
      <c r="BJ12" s="55">
        <f>'LUC-2012-08-10-Run2'!CL14</f>
        <v>9.6545000653288165E-5</v>
      </c>
      <c r="BK12" s="55">
        <f>'LUC-2012-08-10-Run2'!CM14</f>
        <v>9.6976999883365017E-5</v>
      </c>
      <c r="BM12" s="105"/>
      <c r="BN12" s="58" t="s">
        <v>104</v>
      </c>
      <c r="BO12" s="66">
        <f t="shared" si="7"/>
        <v>72.579400635636134</v>
      </c>
      <c r="BP12" s="66">
        <f t="shared" si="0"/>
        <v>73.887930394828118</v>
      </c>
      <c r="BQ12" s="66">
        <f t="shared" si="1"/>
        <v>76.828880354967424</v>
      </c>
      <c r="BR12" s="66">
        <f t="shared" si="2"/>
        <v>80.993198348850271</v>
      </c>
      <c r="BS12" s="66">
        <f t="shared" si="3"/>
        <v>88.421503654507532</v>
      </c>
      <c r="BT12" s="66">
        <f t="shared" si="4"/>
        <v>92.678861236957118</v>
      </c>
      <c r="BU12" s="66">
        <f t="shared" si="5"/>
        <v>96.976999883365011</v>
      </c>
      <c r="BV12" s="51">
        <f>SUM(BV2:BV6)</f>
        <v>372.17921368693055</v>
      </c>
      <c r="BW12" s="51">
        <f>SUM(BW2:BW6)</f>
        <v>541.58050751001258</v>
      </c>
      <c r="BX12" s="100">
        <f t="shared" si="6"/>
        <v>0.29600969324469761</v>
      </c>
      <c r="BY12" s="100">
        <f>SUM(BX2:BX12)</f>
        <v>6.4597858830756163</v>
      </c>
      <c r="BZ12" s="101">
        <f>(BK12-'Sce 1 Table'!BK12)/'Sce 1 Table'!BK12</f>
        <v>0.13789729299275508</v>
      </c>
      <c r="CA12" s="101">
        <f>SUM(BZ2:BZ12)</f>
        <v>3.5045501800199608</v>
      </c>
    </row>
    <row r="13" spans="1:80" x14ac:dyDescent="0.25">
      <c r="BM13" s="106" t="s">
        <v>38</v>
      </c>
      <c r="BN13" s="59" t="s">
        <v>96</v>
      </c>
      <c r="BO13" s="64">
        <f t="shared" ref="BO13:BO23" si="8">D14*1000000</f>
        <v>26.047124150016419</v>
      </c>
      <c r="BP13" s="64">
        <f t="shared" ref="BP13:BP23" si="9">M14*1000000</f>
        <v>25.027577905867933</v>
      </c>
      <c r="BQ13" s="64">
        <f t="shared" ref="BQ13:BQ23" si="10">W14*1000000</f>
        <v>24.612609299800145</v>
      </c>
      <c r="BR13" s="64">
        <f t="shared" ref="BR13:BR23" si="11">AG14*1000000</f>
        <v>24.826489976641632</v>
      </c>
      <c r="BS13" s="64">
        <f t="shared" ref="BS13:BS23" si="12">AQ14*1000000</f>
        <v>25.041135718846558</v>
      </c>
      <c r="BT13" s="64">
        <f t="shared" ref="BT13:BT23" si="13">BA14*1000000</f>
        <v>25.256549263104439</v>
      </c>
      <c r="BU13" s="64">
        <f t="shared" ref="BU13:BU23" si="14">BK14*1000000</f>
        <v>25.472733355894153</v>
      </c>
      <c r="BV13" s="51">
        <f>SUM(M14:M17)*1000000</f>
        <v>280.89504032553498</v>
      </c>
      <c r="BW13" s="51">
        <f>SUM(BU13:BU16)</f>
        <v>359.61704765492402</v>
      </c>
      <c r="BX13" s="100">
        <f t="shared" ref="BX13:BX23" si="15">(BK14-R14)/R14</f>
        <v>4.0616225473341941E-2</v>
      </c>
      <c r="BZ13" s="101">
        <f>(BK14-'Sce 1 Table'!BK14)/'Sce 1 Table'!BK14</f>
        <v>2.8949740310665457E-2</v>
      </c>
    </row>
    <row r="14" spans="1:80" x14ac:dyDescent="0.25">
      <c r="A14" s="54" t="s">
        <v>38</v>
      </c>
      <c r="B14" s="54" t="s">
        <v>96</v>
      </c>
      <c r="C14" s="54" t="s">
        <v>92</v>
      </c>
      <c r="D14" s="55">
        <f>'LUC-2012-08-10-Run2'!AF16</f>
        <v>2.6047124150016419E-5</v>
      </c>
      <c r="E14" s="55">
        <f>'LUC-2012-08-10-Run2'!AG16</f>
        <v>2.5931820509822103E-5</v>
      </c>
      <c r="F14" s="55">
        <f>'LUC-2012-08-10-Run2'!AH16</f>
        <v>2.5817027287951345E-5</v>
      </c>
      <c r="G14" s="55">
        <f>'LUC-2012-08-10-Run2'!AI16</f>
        <v>2.5702742224918969E-5</v>
      </c>
      <c r="H14" s="55">
        <f>'LUC-2012-08-10-Run2'!AJ16</f>
        <v>2.5588963071241946E-5</v>
      </c>
      <c r="I14" s="55">
        <f>'LUC-2012-08-10-Run2'!AK16</f>
        <v>2.5475687587395098E-5</v>
      </c>
      <c r="J14" s="55">
        <f>'LUC-2012-08-10-Run2'!AL16</f>
        <v>2.5362913543767027E-5</v>
      </c>
      <c r="K14" s="55">
        <f>'LUC-2012-08-10-Run2'!AM16</f>
        <v>2.5250638720616227E-5</v>
      </c>
      <c r="L14" s="55">
        <f>'LUC-2012-08-10-Run2'!AN16</f>
        <v>2.5138860908027395E-5</v>
      </c>
      <c r="M14" s="55">
        <f>'LUC-2012-08-10-Run2'!AO16</f>
        <v>2.5027577905867931E-5</v>
      </c>
      <c r="N14" s="55">
        <f>'LUC-2012-08-10-Run2'!AP16</f>
        <v>2.4916787523744632E-5</v>
      </c>
      <c r="O14" s="55">
        <f>'LUC-2012-08-10-Run2'!AQ16</f>
        <v>2.4806487580960574E-5</v>
      </c>
      <c r="P14" s="55">
        <f>'LUC-2012-08-10-Run2'!AR16</f>
        <v>2.4696675906472202E-5</v>
      </c>
      <c r="Q14" s="55">
        <f>'LUC-2012-08-10-Run2'!AS16</f>
        <v>2.4587350338846587E-5</v>
      </c>
      <c r="R14" s="55">
        <f>'LUC-2012-08-10-Run2'!AT16</f>
        <v>2.4478508726218878E-5</v>
      </c>
      <c r="S14" s="55">
        <f>'LUC-2012-08-10-Run2'!AU16</f>
        <v>2.4527270636204891E-5</v>
      </c>
      <c r="T14" s="55">
        <f>'LUC-2012-08-10-Run2'!AV16</f>
        <v>2.4548593876562171E-5</v>
      </c>
      <c r="U14" s="55">
        <f>'LUC-2012-08-10-Run2'!AW16</f>
        <v>2.4569924732133882E-5</v>
      </c>
      <c r="V14" s="55">
        <f>'LUC-2012-08-10-Run2'!AX16</f>
        <v>2.4591263205639672E-5</v>
      </c>
      <c r="W14" s="55">
        <f>'LUC-2012-08-10-Run2'!AY16</f>
        <v>2.4612609299800146E-5</v>
      </c>
      <c r="X14" s="55">
        <f>'LUC-2012-08-10-Run2'!AZ16</f>
        <v>2.4633963017336884E-5</v>
      </c>
      <c r="Y14" s="55">
        <f>'LUC-2012-08-10-Run2'!BA16</f>
        <v>2.4655324360972442E-5</v>
      </c>
      <c r="Z14" s="55">
        <f>'LUC-2012-08-10-Run2'!BB16</f>
        <v>2.467669333343034E-5</v>
      </c>
      <c r="AA14" s="55">
        <f>'LUC-2012-08-10-Run2'!BC16</f>
        <v>2.4698069937435075E-5</v>
      </c>
      <c r="AB14" s="55">
        <f>'LUC-2012-08-10-Run2'!BD16</f>
        <v>2.4719454175712123E-5</v>
      </c>
      <c r="AC14" s="55">
        <f>'LUC-2012-08-10-Run2'!BE16</f>
        <v>2.4740846050987925E-5</v>
      </c>
      <c r="AD14" s="55">
        <f>'LUC-2012-08-10-Run2'!BF16</f>
        <v>2.4762245565989893E-5</v>
      </c>
      <c r="AE14" s="55">
        <f>'LUC-2012-08-10-Run2'!BG16</f>
        <v>2.4783652723446429E-5</v>
      </c>
      <c r="AF14" s="55">
        <f>'LUC-2012-08-10-Run2'!BH16</f>
        <v>2.4805067526086899E-5</v>
      </c>
      <c r="AG14" s="55">
        <f>'LUC-2012-08-10-Run2'!BI16</f>
        <v>2.4826489976641633E-5</v>
      </c>
      <c r="AH14" s="55">
        <f>'LUC-2012-08-10-Run2'!BJ16</f>
        <v>2.4847920077841963E-5</v>
      </c>
      <c r="AI14" s="55">
        <f>'LUC-2012-08-10-Run2'!BK16</f>
        <v>2.4869357832420167E-5</v>
      </c>
      <c r="AJ14" s="55">
        <f>'LUC-2012-08-10-Run2'!BL16</f>
        <v>2.4890803243109515E-5</v>
      </c>
      <c r="AK14" s="55">
        <f>'LUC-2012-08-10-Run2'!BM16</f>
        <v>2.491225631264425E-5</v>
      </c>
      <c r="AL14" s="55">
        <f>'LUC-2012-08-10-Run2'!BN16</f>
        <v>2.49337170437596E-5</v>
      </c>
      <c r="AM14" s="55">
        <f>'LUC-2012-08-10-Run2'!BO16</f>
        <v>2.4955185439191757E-5</v>
      </c>
      <c r="AN14" s="55">
        <f>'LUC-2012-08-10-Run2'!BP16</f>
        <v>2.497666150167789E-5</v>
      </c>
      <c r="AO14" s="55">
        <f>'LUC-2012-08-10-Run2'!BQ16</f>
        <v>2.4998145233956152E-5</v>
      </c>
      <c r="AP14" s="55">
        <f>'LUC-2012-08-10-Run2'!BR16</f>
        <v>2.5019636638765671E-5</v>
      </c>
      <c r="AQ14" s="55">
        <f>'LUC-2012-08-10-Run2'!BS16</f>
        <v>2.5041135718846558E-5</v>
      </c>
      <c r="AR14" s="55">
        <f>'LUC-2012-08-10-Run2'!BT16</f>
        <v>2.5062642476939903E-5</v>
      </c>
      <c r="AS14" s="55">
        <f>'LUC-2012-08-10-Run2'!BU16</f>
        <v>2.5084156915787766E-5</v>
      </c>
      <c r="AT14" s="55">
        <f>'LUC-2012-08-10-Run2'!BV16</f>
        <v>2.5105679038133188E-5</v>
      </c>
      <c r="AU14" s="55">
        <f>'LUC-2012-08-10-Run2'!BW16</f>
        <v>2.5127208846720193E-5</v>
      </c>
      <c r="AV14" s="55">
        <f>'LUC-2012-08-10-Run2'!BX16</f>
        <v>2.5148746344293792E-5</v>
      </c>
      <c r="AW14" s="55">
        <f>'LUC-2012-08-10-Run2'!BY16</f>
        <v>2.5170291533599969E-5</v>
      </c>
      <c r="AX14" s="55">
        <f>'LUC-2012-08-10-Run2'!BZ16</f>
        <v>2.5191844417385685E-5</v>
      </c>
      <c r="AY14" s="55">
        <f>'LUC-2012-08-10-Run2'!CA16</f>
        <v>2.5213404998398886E-5</v>
      </c>
      <c r="AZ14" s="55">
        <f>'LUC-2012-08-10-Run2'!CB16</f>
        <v>2.5234973279388503E-5</v>
      </c>
      <c r="BA14" s="55">
        <f>'LUC-2012-08-10-Run2'!CC16</f>
        <v>2.5256549263104441E-5</v>
      </c>
      <c r="BB14" s="55">
        <f>'LUC-2012-08-10-Run2'!CD16</f>
        <v>2.5278132952297586E-5</v>
      </c>
      <c r="BC14" s="55">
        <f>'LUC-2012-08-10-Run2'!CE16</f>
        <v>2.5299724349719819E-5</v>
      </c>
      <c r="BD14" s="55">
        <f>'LUC-2012-08-10-Run2'!CF16</f>
        <v>2.5321323458123997E-5</v>
      </c>
      <c r="BE14" s="55">
        <f>'LUC-2012-08-10-Run2'!CG16</f>
        <v>2.5342930280263964E-5</v>
      </c>
      <c r="BF14" s="55">
        <f>'LUC-2012-08-10-Run2'!CH16</f>
        <v>2.5364544818894534E-5</v>
      </c>
      <c r="BG14" s="55">
        <f>'LUC-2012-08-10-Run2'!CI16</f>
        <v>2.5386167076771516E-5</v>
      </c>
      <c r="BH14" s="55">
        <f>'LUC-2012-08-10-Run2'!CJ16</f>
        <v>2.5407797056651697E-5</v>
      </c>
      <c r="BI14" s="55">
        <f>'LUC-2012-08-10-Run2'!CK16</f>
        <v>2.5429434761292858E-5</v>
      </c>
      <c r="BJ14" s="55">
        <f>'LUC-2012-08-10-Run2'!CL16</f>
        <v>2.5451080193453763E-5</v>
      </c>
      <c r="BK14" s="55">
        <f>'LUC-2012-08-10-Run2'!CM16</f>
        <v>2.5472733355894152E-5</v>
      </c>
      <c r="BM14" s="104"/>
      <c r="BN14" s="57" t="s">
        <v>97</v>
      </c>
      <c r="BO14" s="65">
        <f t="shared" si="8"/>
        <v>201</v>
      </c>
      <c r="BP14" s="65">
        <f t="shared" si="9"/>
        <v>201.6</v>
      </c>
      <c r="BQ14" s="65">
        <f t="shared" si="10"/>
        <v>207.40500000000009</v>
      </c>
      <c r="BR14" s="65">
        <f t="shared" si="11"/>
        <v>220.67583333333343</v>
      </c>
      <c r="BS14" s="65">
        <f t="shared" si="12"/>
        <v>233.94666666666686</v>
      </c>
      <c r="BT14" s="65">
        <f t="shared" si="13"/>
        <v>242.5216666666669</v>
      </c>
      <c r="BU14" s="65">
        <f t="shared" si="14"/>
        <v>251.09666666666683</v>
      </c>
      <c r="BX14" s="100">
        <f t="shared" si="15"/>
        <v>0.24346318917134452</v>
      </c>
      <c r="BZ14" s="101">
        <f>(BK15-'Sce 1 Table'!BK15)/'Sce 1 Table'!BK15</f>
        <v>0.13106606606606677</v>
      </c>
    </row>
    <row r="15" spans="1:80" x14ac:dyDescent="0.25">
      <c r="A15" s="54" t="s">
        <v>38</v>
      </c>
      <c r="B15" s="54" t="s">
        <v>97</v>
      </c>
      <c r="C15" s="54" t="s">
        <v>92</v>
      </c>
      <c r="D15" s="55">
        <f>'LUC-2012-08-10-Run2'!AF17</f>
        <v>2.0100000000000001E-4</v>
      </c>
      <c r="E15" s="55">
        <f>'LUC-2012-08-10-Run2'!AG17</f>
        <v>2.0106666666666668E-4</v>
      </c>
      <c r="F15" s="55">
        <f>'LUC-2012-08-10-Run2'!AH17</f>
        <v>2.0113333333333333E-4</v>
      </c>
      <c r="G15" s="55">
        <f>'LUC-2012-08-10-Run2'!AI17</f>
        <v>2.0120000000000001E-4</v>
      </c>
      <c r="H15" s="55">
        <f>'LUC-2012-08-10-Run2'!AJ17</f>
        <v>2.0126666666666666E-4</v>
      </c>
      <c r="I15" s="55">
        <f>'LUC-2012-08-10-Run2'!AK17</f>
        <v>2.0133333333333334E-4</v>
      </c>
      <c r="J15" s="55">
        <f>'LUC-2012-08-10-Run2'!AL17</f>
        <v>2.0140000000000002E-4</v>
      </c>
      <c r="K15" s="55">
        <f>'LUC-2012-08-10-Run2'!AM17</f>
        <v>2.0146666666666667E-4</v>
      </c>
      <c r="L15" s="55">
        <f>'LUC-2012-08-10-Run2'!AN17</f>
        <v>2.0153333333333334E-4</v>
      </c>
      <c r="M15" s="55">
        <f>'LUC-2012-08-10-Run2'!AO17</f>
        <v>2.0159999999999999E-4</v>
      </c>
      <c r="N15" s="55">
        <f>'LUC-2012-08-10-Run2'!AP17</f>
        <v>2.0166666666666667E-4</v>
      </c>
      <c r="O15" s="55">
        <f>'LUC-2012-08-10-Run2'!AQ17</f>
        <v>2.0173333333333335E-4</v>
      </c>
      <c r="P15" s="55">
        <f>'LUC-2012-08-10-Run2'!AR17</f>
        <v>2.018E-4</v>
      </c>
      <c r="Q15" s="55">
        <f>'LUC-2012-08-10-Run2'!AS17</f>
        <v>2.0186666666666668E-4</v>
      </c>
      <c r="R15" s="55">
        <f>'LUC-2012-08-10-Run2'!AT17</f>
        <v>2.0193333333333333E-4</v>
      </c>
      <c r="S15" s="55">
        <f>'LUC-2012-08-10-Run2'!AU17</f>
        <v>2.0209666666666669E-4</v>
      </c>
      <c r="T15" s="55">
        <f>'LUC-2012-08-10-Run2'!AV17</f>
        <v>2.0342375000000006E-4</v>
      </c>
      <c r="U15" s="55">
        <f>'LUC-2012-08-10-Run2'!AW17</f>
        <v>2.0475083333333335E-4</v>
      </c>
      <c r="V15" s="55">
        <f>'LUC-2012-08-10-Run2'!AX17</f>
        <v>2.0607791666666671E-4</v>
      </c>
      <c r="W15" s="55">
        <f>'LUC-2012-08-10-Run2'!AY17</f>
        <v>2.0740500000000008E-4</v>
      </c>
      <c r="X15" s="55">
        <f>'LUC-2012-08-10-Run2'!AZ17</f>
        <v>2.0873208333333336E-4</v>
      </c>
      <c r="Y15" s="55">
        <f>'LUC-2012-08-10-Run2'!BA17</f>
        <v>2.1005916666666673E-4</v>
      </c>
      <c r="Z15" s="55">
        <f>'LUC-2012-08-10-Run2'!BB17</f>
        <v>2.113862500000001E-4</v>
      </c>
      <c r="AA15" s="55">
        <f>'LUC-2012-08-10-Run2'!BC17</f>
        <v>2.1271333333333338E-4</v>
      </c>
      <c r="AB15" s="55">
        <f>'LUC-2012-08-10-Run2'!BD17</f>
        <v>2.1404041666666675E-4</v>
      </c>
      <c r="AC15" s="55">
        <f>'LUC-2012-08-10-Run2'!BE17</f>
        <v>2.1536750000000012E-4</v>
      </c>
      <c r="AD15" s="55">
        <f>'LUC-2012-08-10-Run2'!BF17</f>
        <v>2.166945833333334E-4</v>
      </c>
      <c r="AE15" s="55">
        <f>'LUC-2012-08-10-Run2'!BG17</f>
        <v>2.1802166666666677E-4</v>
      </c>
      <c r="AF15" s="55">
        <f>'LUC-2012-08-10-Run2'!BH17</f>
        <v>2.1934875000000013E-4</v>
      </c>
      <c r="AG15" s="55">
        <f>'LUC-2012-08-10-Run2'!BI17</f>
        <v>2.2067583333333342E-4</v>
      </c>
      <c r="AH15" s="55">
        <f>'LUC-2012-08-10-Run2'!BJ17</f>
        <v>2.2200291666666679E-4</v>
      </c>
      <c r="AI15" s="55">
        <f>'LUC-2012-08-10-Run2'!BK17</f>
        <v>2.2333000000000015E-4</v>
      </c>
      <c r="AJ15" s="55">
        <f>'LUC-2012-08-10-Run2'!BL17</f>
        <v>2.2465708333333344E-4</v>
      </c>
      <c r="AK15" s="55">
        <f>'LUC-2012-08-10-Run2'!BM17</f>
        <v>2.2598416666666681E-4</v>
      </c>
      <c r="AL15" s="55">
        <f>'LUC-2012-08-10-Run2'!BN17</f>
        <v>2.2731125000000017E-4</v>
      </c>
      <c r="AM15" s="55">
        <f>'LUC-2012-08-10-Run2'!BO17</f>
        <v>2.2863833333333346E-4</v>
      </c>
      <c r="AN15" s="55">
        <f>'LUC-2012-08-10-Run2'!BP17</f>
        <v>2.2996541666666682E-4</v>
      </c>
      <c r="AO15" s="55">
        <f>'LUC-2012-08-10-Run2'!BQ17</f>
        <v>2.3129250000000019E-4</v>
      </c>
      <c r="AP15" s="55">
        <f>'LUC-2012-08-10-Run2'!BR17</f>
        <v>2.3261958333333348E-4</v>
      </c>
      <c r="AQ15" s="55">
        <f>'LUC-2012-08-10-Run2'!BS17</f>
        <v>2.3394666666666684E-4</v>
      </c>
      <c r="AR15" s="55">
        <f>'LUC-2012-08-10-Run2'!BT17</f>
        <v>2.3480416666666687E-4</v>
      </c>
      <c r="AS15" s="55">
        <f>'LUC-2012-08-10-Run2'!BU17</f>
        <v>2.3566166666666682E-4</v>
      </c>
      <c r="AT15" s="55">
        <f>'LUC-2012-08-10-Run2'!BV17</f>
        <v>2.3651916666666685E-4</v>
      </c>
      <c r="AU15" s="55">
        <f>'LUC-2012-08-10-Run2'!BW17</f>
        <v>2.3737666666666688E-4</v>
      </c>
      <c r="AV15" s="55">
        <f>'LUC-2012-08-10-Run2'!BX17</f>
        <v>2.3823416666666683E-4</v>
      </c>
      <c r="AW15" s="55">
        <f>'LUC-2012-08-10-Run2'!BY17</f>
        <v>2.3909166666666686E-4</v>
      </c>
      <c r="AX15" s="55">
        <f>'LUC-2012-08-10-Run2'!BZ17</f>
        <v>2.3994916666666689E-4</v>
      </c>
      <c r="AY15" s="55">
        <f>'LUC-2012-08-10-Run2'!CA17</f>
        <v>2.4080666666666692E-4</v>
      </c>
      <c r="AZ15" s="55">
        <f>'LUC-2012-08-10-Run2'!CB17</f>
        <v>2.4166416666666687E-4</v>
      </c>
      <c r="BA15" s="55">
        <f>'LUC-2012-08-10-Run2'!CC17</f>
        <v>2.425216666666669E-4</v>
      </c>
      <c r="BB15" s="55">
        <f>'LUC-2012-08-10-Run2'!CD17</f>
        <v>2.4337916666666693E-4</v>
      </c>
      <c r="BC15" s="55">
        <f>'LUC-2012-08-10-Run2'!CE17</f>
        <v>2.4423666666666691E-4</v>
      </c>
      <c r="BD15" s="55">
        <f>'LUC-2012-08-10-Run2'!CF17</f>
        <v>2.4509416666666691E-4</v>
      </c>
      <c r="BE15" s="55">
        <f>'LUC-2012-08-10-Run2'!CG17</f>
        <v>2.4595166666666692E-4</v>
      </c>
      <c r="BF15" s="55">
        <f>'LUC-2012-08-10-Run2'!CH17</f>
        <v>2.4680916666666692E-4</v>
      </c>
      <c r="BG15" s="55">
        <f>'LUC-2012-08-10-Run2'!CI17</f>
        <v>2.4766666666666687E-4</v>
      </c>
      <c r="BH15" s="55">
        <f>'LUC-2012-08-10-Run2'!CJ17</f>
        <v>2.4852416666666687E-4</v>
      </c>
      <c r="BI15" s="55">
        <f>'LUC-2012-08-10-Run2'!CK17</f>
        <v>2.4938166666666687E-4</v>
      </c>
      <c r="BJ15" s="55">
        <f>'LUC-2012-08-10-Run2'!CL17</f>
        <v>2.5023916666666682E-4</v>
      </c>
      <c r="BK15" s="55">
        <f>'LUC-2012-08-10-Run2'!CM17</f>
        <v>2.5109666666666683E-4</v>
      </c>
      <c r="BM15" s="104"/>
      <c r="BN15" s="57" t="s">
        <v>95</v>
      </c>
      <c r="BO15" s="65">
        <f t="shared" si="8"/>
        <v>31.090007506599417</v>
      </c>
      <c r="BP15" s="65">
        <f t="shared" si="9"/>
        <v>32.23196487380563</v>
      </c>
      <c r="BQ15" s="65">
        <f t="shared" si="10"/>
        <v>33.532021269465524</v>
      </c>
      <c r="BR15" s="65">
        <f t="shared" si="11"/>
        <v>34.347829876898324</v>
      </c>
      <c r="BS15" s="65">
        <f t="shared" si="12"/>
        <v>35.171833379861368</v>
      </c>
      <c r="BT15" s="65">
        <f t="shared" si="13"/>
        <v>36.004114097065312</v>
      </c>
      <c r="BU15" s="65">
        <f t="shared" si="14"/>
        <v>36.844755174122234</v>
      </c>
      <c r="BX15" s="100">
        <f t="shared" si="15"/>
        <v>0.12043221191572157</v>
      </c>
      <c r="BZ15" s="101">
        <f>(BK16-'Sce 1 Table'!BK16)/'Sce 1 Table'!BK16</f>
        <v>6.793670981412421E-2</v>
      </c>
      <c r="CB15" s="51">
        <f>BU16+BU15+BU13</f>
        <v>108.52038098825719</v>
      </c>
    </row>
    <row r="16" spans="1:80" x14ac:dyDescent="0.25">
      <c r="A16" s="54" t="s">
        <v>38</v>
      </c>
      <c r="B16" s="54" t="s">
        <v>95</v>
      </c>
      <c r="C16" s="54" t="s">
        <v>92</v>
      </c>
      <c r="D16" s="55">
        <f>'LUC-2012-08-10-Run2'!AF18</f>
        <v>3.1090007506599416E-5</v>
      </c>
      <c r="E16" s="55">
        <f>'LUC-2012-08-10-Run2'!AG18</f>
        <v>3.1214866974497405E-5</v>
      </c>
      <c r="F16" s="55">
        <f>'LUC-2012-08-10-Run2'!AH18</f>
        <v>3.1340227886041568E-5</v>
      </c>
      <c r="G16" s="55">
        <f>'LUC-2012-08-10-Run2'!AI18</f>
        <v>3.1466092255061819E-5</v>
      </c>
      <c r="H16" s="55">
        <f>'LUC-2012-08-10-Run2'!AJ18</f>
        <v>3.1592462103475722E-5</v>
      </c>
      <c r="I16" s="55">
        <f>'LUC-2012-08-10-Run2'!AK18</f>
        <v>3.1719339461321004E-5</v>
      </c>
      <c r="J16" s="55">
        <f>'LUC-2012-08-10-Run2'!AL18</f>
        <v>3.1846726366788155E-5</v>
      </c>
      <c r="K16" s="55">
        <f>'LUC-2012-08-10-Run2'!AM18</f>
        <v>3.1974624866253171E-5</v>
      </c>
      <c r="L16" s="55">
        <f>'LUC-2012-08-10-Run2'!AN18</f>
        <v>3.2103037014310414E-5</v>
      </c>
      <c r="M16" s="55">
        <f>'LUC-2012-08-10-Run2'!AO18</f>
        <v>3.2231964873805633E-5</v>
      </c>
      <c r="N16" s="55">
        <f>'LUC-2012-08-10-Run2'!AP18</f>
        <v>3.2361410515869112E-5</v>
      </c>
      <c r="O16" s="55">
        <f>'LUC-2012-08-10-Run2'!AQ18</f>
        <v>3.2491376019948906E-5</v>
      </c>
      <c r="P16" s="55">
        <f>'LUC-2012-08-10-Run2'!AR18</f>
        <v>3.2621863473844284E-5</v>
      </c>
      <c r="Q16" s="55">
        <f>'LUC-2012-08-10-Run2'!AS18</f>
        <v>3.2752874973739242E-5</v>
      </c>
      <c r="R16" s="55">
        <f>'LUC-2012-08-10-Run2'!AT18</f>
        <v>3.288441262423619E-5</v>
      </c>
      <c r="S16" s="55">
        <f>'LUC-2012-08-10-Run2'!AU18</f>
        <v>3.3207974113912413E-5</v>
      </c>
      <c r="T16" s="55">
        <f>'LUC-2012-08-10-Run2'!AV18</f>
        <v>3.3288864486331462E-5</v>
      </c>
      <c r="U16" s="55">
        <f>'LUC-2012-08-10-Run2'!AW18</f>
        <v>3.3369835749122934E-5</v>
      </c>
      <c r="V16" s="55">
        <f>'LUC-2012-08-10-Run2'!AX18</f>
        <v>3.3450887983177203E-5</v>
      </c>
      <c r="W16" s="55">
        <f>'LUC-2012-08-10-Run2'!AY18</f>
        <v>3.3532021269465522E-5</v>
      </c>
      <c r="X16" s="55">
        <f>'LUC-2012-08-10-Run2'!AZ18</f>
        <v>3.3613235689040128E-5</v>
      </c>
      <c r="Y16" s="55">
        <f>'LUC-2012-08-10-Run2'!BA18</f>
        <v>3.3694531323034302E-5</v>
      </c>
      <c r="Z16" s="55">
        <f>'LUC-2012-08-10-Run2'!BB18</f>
        <v>3.3775908252662486E-5</v>
      </c>
      <c r="AA16" s="55">
        <f>'LUC-2012-08-10-Run2'!BC18</f>
        <v>3.3857366559220299E-5</v>
      </c>
      <c r="AB16" s="55">
        <f>'LUC-2012-08-10-Run2'!BD18</f>
        <v>3.3938906324084656E-5</v>
      </c>
      <c r="AC16" s="55">
        <f>'LUC-2012-08-10-Run2'!BE18</f>
        <v>3.4020527628713876E-5</v>
      </c>
      <c r="AD16" s="55">
        <f>'LUC-2012-08-10-Run2'!BF18</f>
        <v>3.4102230554647727E-5</v>
      </c>
      <c r="AE16" s="55">
        <f>'LUC-2012-08-10-Run2'!BG18</f>
        <v>3.4184015183507524E-5</v>
      </c>
      <c r="AF16" s="55">
        <f>'LUC-2012-08-10-Run2'!BH18</f>
        <v>3.4265881596996182E-5</v>
      </c>
      <c r="AG16" s="55">
        <f>'LUC-2012-08-10-Run2'!BI18</f>
        <v>3.4347829876898322E-5</v>
      </c>
      <c r="AH16" s="55">
        <f>'LUC-2012-08-10-Run2'!BJ18</f>
        <v>3.4429860105080371E-5</v>
      </c>
      <c r="AI16" s="55">
        <f>'LUC-2012-08-10-Run2'!BK18</f>
        <v>3.4511972363490597E-5</v>
      </c>
      <c r="AJ16" s="55">
        <f>'LUC-2012-08-10-Run2'!BL18</f>
        <v>3.4594166734159236E-5</v>
      </c>
      <c r="AK16" s="55">
        <f>'LUC-2012-08-10-Run2'!BM18</f>
        <v>3.4676443299198535E-5</v>
      </c>
      <c r="AL16" s="55">
        <f>'LUC-2012-08-10-Run2'!BN18</f>
        <v>3.4758802140802879E-5</v>
      </c>
      <c r="AM16" s="55">
        <f>'LUC-2012-08-10-Run2'!BO18</f>
        <v>3.4841243341248831E-5</v>
      </c>
      <c r="AN16" s="55">
        <f>'LUC-2012-08-10-Run2'!BP18</f>
        <v>3.4923766982895216E-5</v>
      </c>
      <c r="AO16" s="55">
        <f>'LUC-2012-08-10-Run2'!BQ18</f>
        <v>3.5006373148183261E-5</v>
      </c>
      <c r="AP16" s="55">
        <f>'LUC-2012-08-10-Run2'!BR18</f>
        <v>3.5089061919636589E-5</v>
      </c>
      <c r="AQ16" s="55">
        <f>'LUC-2012-08-10-Run2'!BS18</f>
        <v>3.5171833379861369E-5</v>
      </c>
      <c r="AR16" s="55">
        <f>'LUC-2012-08-10-Run2'!BT18</f>
        <v>3.5254687611546367E-5</v>
      </c>
      <c r="AS16" s="55">
        <f>'LUC-2012-08-10-Run2'!BU18</f>
        <v>3.5337624697463061E-5</v>
      </c>
      <c r="AT16" s="55">
        <f>'LUC-2012-08-10-Run2'!BV18</f>
        <v>3.5420644720465657E-5</v>
      </c>
      <c r="AU16" s="55">
        <f>'LUC-2012-08-10-Run2'!BW18</f>
        <v>3.5503747763491259E-5</v>
      </c>
      <c r="AV16" s="55">
        <f>'LUC-2012-08-10-Run2'!BX18</f>
        <v>3.5586933909559896E-5</v>
      </c>
      <c r="AW16" s="55">
        <f>'LUC-2012-08-10-Run2'!BY18</f>
        <v>3.5670203241774602E-5</v>
      </c>
      <c r="AX16" s="55">
        <f>'LUC-2012-08-10-Run2'!BZ18</f>
        <v>3.575355584332152E-5</v>
      </c>
      <c r="AY16" s="55">
        <f>'LUC-2012-08-10-Run2'!CA18</f>
        <v>3.5836991797469985E-5</v>
      </c>
      <c r="AZ16" s="55">
        <f>'LUC-2012-08-10-Run2'!CB18</f>
        <v>3.5920511187572593E-5</v>
      </c>
      <c r="BA16" s="55">
        <f>'LUC-2012-08-10-Run2'!CC18</f>
        <v>3.6004114097065308E-5</v>
      </c>
      <c r="BB16" s="55">
        <f>'LUC-2012-08-10-Run2'!CD18</f>
        <v>3.6087800609467511E-5</v>
      </c>
      <c r="BC16" s="55">
        <f>'LUC-2012-08-10-Run2'!CE18</f>
        <v>3.6171570808382118E-5</v>
      </c>
      <c r="BD16" s="55">
        <f>'LUC-2012-08-10-Run2'!CF18</f>
        <v>3.6255424777495646E-5</v>
      </c>
      <c r="BE16" s="55">
        <f>'LUC-2012-08-10-Run2'!CG18</f>
        <v>3.6339362600578278E-5</v>
      </c>
      <c r="BF16" s="55">
        <f>'LUC-2012-08-10-Run2'!CH18</f>
        <v>3.6423384361484006E-5</v>
      </c>
      <c r="BG16" s="55">
        <f>'LUC-2012-08-10-Run2'!CI18</f>
        <v>3.6507490144150623E-5</v>
      </c>
      <c r="BH16" s="55">
        <f>'LUC-2012-08-10-Run2'!CJ18</f>
        <v>3.6591680032599916E-5</v>
      </c>
      <c r="BI16" s="55">
        <f>'LUC-2012-08-10-Run2'!CK18</f>
        <v>3.6675954110937653E-5</v>
      </c>
      <c r="BJ16" s="55">
        <f>'LUC-2012-08-10-Run2'!CL18</f>
        <v>3.6760312463353728E-5</v>
      </c>
      <c r="BK16" s="55">
        <f>'LUC-2012-08-10-Run2'!CM18</f>
        <v>3.6844755174122232E-5</v>
      </c>
      <c r="BM16" s="104"/>
      <c r="BN16" s="57" t="s">
        <v>98</v>
      </c>
      <c r="BO16" s="65">
        <f t="shared" si="8"/>
        <v>19.058062501626264</v>
      </c>
      <c r="BP16" s="65">
        <f t="shared" si="9"/>
        <v>22.035497545861407</v>
      </c>
      <c r="BQ16" s="65">
        <f t="shared" si="10"/>
        <v>26.520586503409294</v>
      </c>
      <c r="BR16" s="65">
        <f t="shared" si="11"/>
        <v>30.938874918665931</v>
      </c>
      <c r="BS16" s="65">
        <f t="shared" si="12"/>
        <v>35.676369952265183</v>
      </c>
      <c r="BT16" s="65">
        <f t="shared" si="13"/>
        <v>40.756133218935943</v>
      </c>
      <c r="BU16" s="65">
        <f t="shared" si="14"/>
        <v>46.202892458240804</v>
      </c>
      <c r="BX16" s="100">
        <f t="shared" si="15"/>
        <v>0.93429093209294678</v>
      </c>
      <c r="BZ16" s="101">
        <f>(BK17-'Sce 1 Table'!BK17)/'Sce 1 Table'!BK17</f>
        <v>0.40029710173202254</v>
      </c>
    </row>
    <row r="17" spans="1:79" x14ac:dyDescent="0.25">
      <c r="A17" s="54" t="s">
        <v>38</v>
      </c>
      <c r="B17" s="54" t="s">
        <v>98</v>
      </c>
      <c r="C17" s="54" t="s">
        <v>92</v>
      </c>
      <c r="D17" s="55">
        <f>'LUC-2012-08-10-Run2'!AF19</f>
        <v>1.9058062501626263E-5</v>
      </c>
      <c r="E17" s="55">
        <f>'LUC-2012-08-10-Run2'!AG19</f>
        <v>1.9367949696774658E-5</v>
      </c>
      <c r="F17" s="55">
        <f>'LUC-2012-08-10-Run2'!AH19</f>
        <v>1.9682875708104327E-5</v>
      </c>
      <c r="G17" s="55">
        <f>'LUC-2012-08-10-Run2'!AI19</f>
        <v>2.0002922467585699E-5</v>
      </c>
      <c r="H17" s="55">
        <f>'LUC-2012-08-10-Run2'!AJ19</f>
        <v>2.0328173239416362E-5</v>
      </c>
      <c r="I17" s="55">
        <f>'LUC-2012-08-10-Run2'!AK19</f>
        <v>2.0658712641683296E-5</v>
      </c>
      <c r="J17" s="55">
        <f>'LUC-2012-08-10-Run2'!AL19</f>
        <v>2.0994626668377332E-5</v>
      </c>
      <c r="K17" s="55">
        <f>'LUC-2012-08-10-Run2'!AM19</f>
        <v>2.1336002711765583E-5</v>
      </c>
      <c r="L17" s="55">
        <f>'LUC-2012-08-10-Run2'!AN19</f>
        <v>2.1682929585127624E-5</v>
      </c>
      <c r="M17" s="55">
        <f>'LUC-2012-08-10-Run2'!AO19</f>
        <v>2.2035497545861405E-5</v>
      </c>
      <c r="N17" s="55">
        <f>'LUC-2012-08-10-Run2'!AP19</f>
        <v>2.2393798318964842E-5</v>
      </c>
      <c r="O17" s="55">
        <f>'LUC-2012-08-10-Run2'!AQ19</f>
        <v>2.2757925120899231E-5</v>
      </c>
      <c r="P17" s="55">
        <f>'LUC-2012-08-10-Run2'!AR19</f>
        <v>2.3127972683840682E-5</v>
      </c>
      <c r="Q17" s="55">
        <f>'LUC-2012-08-10-Run2'!AS19</f>
        <v>2.3504037280325898E-5</v>
      </c>
      <c r="R17" s="55">
        <f>'LUC-2012-08-10-Run2'!AT19</f>
        <v>2.3886216748298676E-5</v>
      </c>
      <c r="S17" s="55">
        <f>'LUC-2012-08-10-Run2'!AU19</f>
        <v>2.483778148054797E-5</v>
      </c>
      <c r="T17" s="55">
        <f>'LUC-2012-08-10-Run2'!AV19</f>
        <v>2.5254091050907037E-5</v>
      </c>
      <c r="U17" s="55">
        <f>'LUC-2012-08-10-Run2'!AW19</f>
        <v>2.5673314788258621E-5</v>
      </c>
      <c r="V17" s="55">
        <f>'LUC-2012-08-10-Run2'!AX19</f>
        <v>2.6095473091771663E-5</v>
      </c>
      <c r="W17" s="55">
        <f>'LUC-2012-08-10-Run2'!AY19</f>
        <v>2.6520586503409295E-5</v>
      </c>
      <c r="X17" s="55">
        <f>'LUC-2012-08-10-Run2'!AZ19</f>
        <v>2.6948675708928396E-5</v>
      </c>
      <c r="Y17" s="55">
        <f>'LUC-2012-08-10-Run2'!BA19</f>
        <v>2.737976153888613E-5</v>
      </c>
      <c r="Z17" s="55">
        <f>'LUC-2012-08-10-Run2'!BB19</f>
        <v>2.7813864969653563E-5</v>
      </c>
      <c r="AA17" s="55">
        <f>'LUC-2012-08-10-Run2'!BC19</f>
        <v>2.8251007124436367E-5</v>
      </c>
      <c r="AB17" s="55">
        <f>'LUC-2012-08-10-Run2'!BD19</f>
        <v>2.8691209274302657E-5</v>
      </c>
      <c r="AC17" s="55">
        <f>'LUC-2012-08-10-Run2'!BE19</f>
        <v>2.9134492839218006E-5</v>
      </c>
      <c r="AD17" s="55">
        <f>'LUC-2012-08-10-Run2'!BF19</f>
        <v>2.9580879389087765E-5</v>
      </c>
      <c r="AE17" s="55">
        <f>'LUC-2012-08-10-Run2'!BG19</f>
        <v>3.0030390644806612E-5</v>
      </c>
      <c r="AF17" s="55">
        <f>'LUC-2012-08-10-Run2'!BH19</f>
        <v>3.0483048479315491E-5</v>
      </c>
      <c r="AG17" s="55">
        <f>'LUC-2012-08-10-Run2'!BI19</f>
        <v>3.0938874918665932E-5</v>
      </c>
      <c r="AH17" s="55">
        <f>'LUC-2012-08-10-Run2'!BJ19</f>
        <v>3.1397892143091828E-5</v>
      </c>
      <c r="AI17" s="55">
        <f>'LUC-2012-08-10-Run2'!BK19</f>
        <v>3.1860122488088699E-5</v>
      </c>
      <c r="AJ17" s="55">
        <f>'LUC-2012-08-10-Run2'!BL19</f>
        <v>3.2325588445500551E-5</v>
      </c>
      <c r="AK17" s="55">
        <f>'LUC-2012-08-10-Run2'!BM19</f>
        <v>3.279431266461429E-5</v>
      </c>
      <c r="AL17" s="55">
        <f>'LUC-2012-08-10-Run2'!BN19</f>
        <v>3.3266317953261819E-5</v>
      </c>
      <c r="AM17" s="55">
        <f>'LUC-2012-08-10-Run2'!BO19</f>
        <v>3.3741627278929884E-5</v>
      </c>
      <c r="AN17" s="55">
        <f>'LUC-2012-08-10-Run2'!BP19</f>
        <v>3.4220263769877625E-5</v>
      </c>
      <c r="AO17" s="55">
        <f>'LUC-2012-08-10-Run2'!BQ19</f>
        <v>3.4702250716261995E-5</v>
      </c>
      <c r="AP17" s="55">
        <f>'LUC-2012-08-10-Run2'!BR19</f>
        <v>3.5187611571271056E-5</v>
      </c>
      <c r="AQ17" s="55">
        <f>'LUC-2012-08-10-Run2'!BS19</f>
        <v>3.5676369952265181E-5</v>
      </c>
      <c r="AR17" s="55">
        <f>'LUC-2012-08-10-Run2'!BT19</f>
        <v>3.6168549641926262E-5</v>
      </c>
      <c r="AS17" s="55">
        <f>'LUC-2012-08-10-Run2'!BU19</f>
        <v>3.6664174589414974E-5</v>
      </c>
      <c r="AT17" s="55">
        <f>'LUC-2012-08-10-Run2'!BV19</f>
        <v>3.7163268911536108E-5</v>
      </c>
      <c r="AU17" s="55">
        <f>'LUC-2012-08-10-Run2'!BW19</f>
        <v>3.7665856893912095E-5</v>
      </c>
      <c r="AV17" s="55">
        <f>'LUC-2012-08-10-Run2'!BX19</f>
        <v>3.8171962992164707E-5</v>
      </c>
      <c r="AW17" s="55">
        <f>'LUC-2012-08-10-Run2'!BY19</f>
        <v>3.8681611833105085E-5</v>
      </c>
      <c r="AX17" s="55">
        <f>'LUC-2012-08-10-Run2'!BZ19</f>
        <v>3.9194828215932059E-5</v>
      </c>
      <c r="AY17" s="55">
        <f>'LUC-2012-08-10-Run2'!CA19</f>
        <v>3.9711637113438815E-5</v>
      </c>
      <c r="AZ17" s="55">
        <f>'LUC-2012-08-10-Run2'!CB19</f>
        <v>4.0232063673228111E-5</v>
      </c>
      <c r="BA17" s="55">
        <f>'LUC-2012-08-10-Run2'!CC19</f>
        <v>4.0756133218935944E-5</v>
      </c>
      <c r="BB17" s="55">
        <f>'LUC-2012-08-10-Run2'!CD19</f>
        <v>4.128387125146372E-5</v>
      </c>
      <c r="BC17" s="55">
        <f>'LUC-2012-08-10-Run2'!CE19</f>
        <v>4.1815303450219195E-5</v>
      </c>
      <c r="BD17" s="55">
        <f>'LUC-2012-08-10-Run2'!CF19</f>
        <v>4.2350455674365956E-5</v>
      </c>
      <c r="BE17" s="55">
        <f>'LUC-2012-08-10-Run2'!CG19</f>
        <v>4.2889353964081748E-5</v>
      </c>
      <c r="BF17" s="55">
        <f>'LUC-2012-08-10-Run2'!CH19</f>
        <v>4.3432024541825556E-5</v>
      </c>
      <c r="BG17" s="55">
        <f>'LUC-2012-08-10-Run2'!CI19</f>
        <v>4.397849381361356E-5</v>
      </c>
      <c r="BH17" s="55">
        <f>'LUC-2012-08-10-Run2'!CJ19</f>
        <v>4.4528788370304082E-5</v>
      </c>
      <c r="BI17" s="55">
        <f>'LUC-2012-08-10-Run2'!CK19</f>
        <v>4.5082934988891445E-5</v>
      </c>
      <c r="BJ17" s="55">
        <f>'LUC-2012-08-10-Run2'!CL19</f>
        <v>4.5640960633808913E-5</v>
      </c>
      <c r="BK17" s="55">
        <f>'LUC-2012-08-10-Run2'!CM19</f>
        <v>4.6202892458240802E-5</v>
      </c>
      <c r="BM17" s="104"/>
      <c r="BN17" s="57" t="s">
        <v>99</v>
      </c>
      <c r="BO17" s="65">
        <f t="shared" si="8"/>
        <v>37.310549777117387</v>
      </c>
      <c r="BP17" s="65">
        <f t="shared" si="9"/>
        <v>38.001485884101037</v>
      </c>
      <c r="BQ17" s="65">
        <f t="shared" si="10"/>
        <v>40.807993113849527</v>
      </c>
      <c r="BR17" s="65">
        <f t="shared" si="11"/>
        <v>46.394407300157347</v>
      </c>
      <c r="BS17" s="65">
        <f t="shared" si="12"/>
        <v>51.980821486465189</v>
      </c>
      <c r="BT17" s="65">
        <f t="shared" si="13"/>
        <v>51.980821486465189</v>
      </c>
      <c r="BU17" s="65">
        <f t="shared" si="14"/>
        <v>51.980821486465189</v>
      </c>
      <c r="BV17" s="51">
        <f>SUM(M18:M24)*1000000</f>
        <v>297.89999999999998</v>
      </c>
      <c r="BW17" s="51">
        <f>SUM(BU17:BU23)</f>
        <v>329.91036154486</v>
      </c>
      <c r="BX17" s="100">
        <f t="shared" si="15"/>
        <v>0.35418423975707392</v>
      </c>
      <c r="BZ17" s="101">
        <f>(BK18-'Sce 1 Table'!BK18)/'Sce 1 Table'!BK18</f>
        <v>0.18314315456399785</v>
      </c>
    </row>
    <row r="18" spans="1:79" x14ac:dyDescent="0.25">
      <c r="A18" s="54" t="s">
        <v>38</v>
      </c>
      <c r="B18" s="54" t="s">
        <v>99</v>
      </c>
      <c r="C18" s="54" t="s">
        <v>92</v>
      </c>
      <c r="D18" s="55">
        <f>'LUC-2012-08-10-Run2'!AF21</f>
        <v>3.7310549777117386E-5</v>
      </c>
      <c r="E18" s="55">
        <f>'LUC-2012-08-10-Run2'!AG21</f>
        <v>3.7387320455671127E-5</v>
      </c>
      <c r="F18" s="55">
        <f>'LUC-2012-08-10-Run2'!AH21</f>
        <v>3.7464091134224867E-5</v>
      </c>
      <c r="G18" s="55">
        <f>'LUC-2012-08-10-Run2'!AI21</f>
        <v>3.7540861812778601E-5</v>
      </c>
      <c r="H18" s="55">
        <f>'LUC-2012-08-10-Run2'!AJ21</f>
        <v>3.7617632491332342E-5</v>
      </c>
      <c r="I18" s="55">
        <f>'LUC-2012-08-10-Run2'!AK21</f>
        <v>3.7694403169886082E-5</v>
      </c>
      <c r="J18" s="55">
        <f>'LUC-2012-08-10-Run2'!AL21</f>
        <v>3.7771173848439823E-5</v>
      </c>
      <c r="K18" s="55">
        <f>'LUC-2012-08-10-Run2'!AM21</f>
        <v>3.7847944526993563E-5</v>
      </c>
      <c r="L18" s="55">
        <f>'LUC-2012-08-10-Run2'!AN21</f>
        <v>3.7924715205547297E-5</v>
      </c>
      <c r="M18" s="55">
        <f>'LUC-2012-08-10-Run2'!AO21</f>
        <v>3.8001485884101038E-5</v>
      </c>
      <c r="N18" s="55">
        <f>'LUC-2012-08-10-Run2'!AP21</f>
        <v>3.8078256562654778E-5</v>
      </c>
      <c r="O18" s="55">
        <f>'LUC-2012-08-10-Run2'!AQ21</f>
        <v>3.8155027241208519E-5</v>
      </c>
      <c r="P18" s="55">
        <f>'LUC-2012-08-10-Run2'!AR21</f>
        <v>3.823179791976226E-5</v>
      </c>
      <c r="Q18" s="55">
        <f>'LUC-2012-08-10-Run2'!AS21</f>
        <v>3.8308568598315993E-5</v>
      </c>
      <c r="R18" s="55">
        <f>'LUC-2012-08-10-Run2'!AT21</f>
        <v>3.8385339276869734E-5</v>
      </c>
      <c r="S18" s="55">
        <f>'LUC-2012-08-10-Run2'!AU21</f>
        <v>3.8573427439326397E-5</v>
      </c>
      <c r="T18" s="55">
        <f>'LUC-2012-08-10-Run2'!AV21</f>
        <v>3.9132068857957175E-5</v>
      </c>
      <c r="U18" s="55">
        <f>'LUC-2012-08-10-Run2'!AW21</f>
        <v>3.9690710276587974E-5</v>
      </c>
      <c r="V18" s="55">
        <f>'LUC-2012-08-10-Run2'!AX21</f>
        <v>4.0249351695218752E-5</v>
      </c>
      <c r="W18" s="55">
        <f>'LUC-2012-08-10-Run2'!AY21</f>
        <v>4.080799311384953E-5</v>
      </c>
      <c r="X18" s="55">
        <f>'LUC-2012-08-10-Run2'!AZ21</f>
        <v>4.1366634532480307E-5</v>
      </c>
      <c r="Y18" s="55">
        <f>'LUC-2012-08-10-Run2'!BA21</f>
        <v>4.1925275951111085E-5</v>
      </c>
      <c r="Z18" s="55">
        <f>'LUC-2012-08-10-Run2'!BB21</f>
        <v>4.2483917369741884E-5</v>
      </c>
      <c r="AA18" s="55">
        <f>'LUC-2012-08-10-Run2'!BC21</f>
        <v>4.3042558788372662E-5</v>
      </c>
      <c r="AB18" s="55">
        <f>'LUC-2012-08-10-Run2'!BD21</f>
        <v>4.360120020700344E-5</v>
      </c>
      <c r="AC18" s="55">
        <f>'LUC-2012-08-10-Run2'!BE21</f>
        <v>4.4159841625634238E-5</v>
      </c>
      <c r="AD18" s="55">
        <f>'LUC-2012-08-10-Run2'!BF21</f>
        <v>4.4718483044265016E-5</v>
      </c>
      <c r="AE18" s="55">
        <f>'LUC-2012-08-10-Run2'!BG21</f>
        <v>4.5277124462895794E-5</v>
      </c>
      <c r="AF18" s="55">
        <f>'LUC-2012-08-10-Run2'!BH21</f>
        <v>4.5835765881526572E-5</v>
      </c>
      <c r="AG18" s="55">
        <f>'LUC-2012-08-10-Run2'!BI21</f>
        <v>4.639440730015735E-5</v>
      </c>
      <c r="AH18" s="55">
        <f>'LUC-2012-08-10-Run2'!BJ21</f>
        <v>4.6953048718788148E-5</v>
      </c>
      <c r="AI18" s="55">
        <f>'LUC-2012-08-10-Run2'!BK21</f>
        <v>4.7511690137418926E-5</v>
      </c>
      <c r="AJ18" s="55">
        <f>'LUC-2012-08-10-Run2'!BL21</f>
        <v>4.8070331556049704E-5</v>
      </c>
      <c r="AK18" s="55">
        <f>'LUC-2012-08-10-Run2'!BM21</f>
        <v>4.8628972974680502E-5</v>
      </c>
      <c r="AL18" s="55">
        <f>'LUC-2012-08-10-Run2'!BN21</f>
        <v>4.918761439331128E-5</v>
      </c>
      <c r="AM18" s="55">
        <f>'LUC-2012-08-10-Run2'!BO21</f>
        <v>4.9746255811942058E-5</v>
      </c>
      <c r="AN18" s="55">
        <f>'LUC-2012-08-10-Run2'!BP21</f>
        <v>5.0304897230572836E-5</v>
      </c>
      <c r="AO18" s="55">
        <f>'LUC-2012-08-10-Run2'!BQ21</f>
        <v>5.0863538649203614E-5</v>
      </c>
      <c r="AP18" s="55">
        <f>'LUC-2012-08-10-Run2'!BR21</f>
        <v>5.1422180067834412E-5</v>
      </c>
      <c r="AQ18" s="55">
        <f>'LUC-2012-08-10-Run2'!BS21</f>
        <v>5.198082148646519E-5</v>
      </c>
      <c r="AR18" s="55">
        <f>'LUC-2012-08-10-Run2'!BT21</f>
        <v>5.198082148646519E-5</v>
      </c>
      <c r="AS18" s="55">
        <f>'LUC-2012-08-10-Run2'!BU21</f>
        <v>5.198082148646519E-5</v>
      </c>
      <c r="AT18" s="55">
        <f>'LUC-2012-08-10-Run2'!BV21</f>
        <v>5.198082148646519E-5</v>
      </c>
      <c r="AU18" s="55">
        <f>'LUC-2012-08-10-Run2'!BW21</f>
        <v>5.198082148646519E-5</v>
      </c>
      <c r="AV18" s="55">
        <f>'LUC-2012-08-10-Run2'!BX21</f>
        <v>5.198082148646519E-5</v>
      </c>
      <c r="AW18" s="55">
        <f>'LUC-2012-08-10-Run2'!BY21</f>
        <v>5.198082148646519E-5</v>
      </c>
      <c r="AX18" s="55">
        <f>'LUC-2012-08-10-Run2'!BZ21</f>
        <v>5.198082148646519E-5</v>
      </c>
      <c r="AY18" s="55">
        <f>'LUC-2012-08-10-Run2'!CA21</f>
        <v>5.198082148646519E-5</v>
      </c>
      <c r="AZ18" s="55">
        <f>'LUC-2012-08-10-Run2'!CB21</f>
        <v>5.198082148646519E-5</v>
      </c>
      <c r="BA18" s="55">
        <f>'LUC-2012-08-10-Run2'!CC21</f>
        <v>5.198082148646519E-5</v>
      </c>
      <c r="BB18" s="55">
        <f>'LUC-2012-08-10-Run2'!CD21</f>
        <v>5.198082148646519E-5</v>
      </c>
      <c r="BC18" s="55">
        <f>'LUC-2012-08-10-Run2'!CE21</f>
        <v>5.198082148646519E-5</v>
      </c>
      <c r="BD18" s="55">
        <f>'LUC-2012-08-10-Run2'!CF21</f>
        <v>5.198082148646519E-5</v>
      </c>
      <c r="BE18" s="55">
        <f>'LUC-2012-08-10-Run2'!CG21</f>
        <v>5.198082148646519E-5</v>
      </c>
      <c r="BF18" s="55">
        <f>'LUC-2012-08-10-Run2'!CH21</f>
        <v>5.198082148646519E-5</v>
      </c>
      <c r="BG18" s="55">
        <f>'LUC-2012-08-10-Run2'!CI21</f>
        <v>5.198082148646519E-5</v>
      </c>
      <c r="BH18" s="55">
        <f>'LUC-2012-08-10-Run2'!CJ21</f>
        <v>5.198082148646519E-5</v>
      </c>
      <c r="BI18" s="55">
        <f>'LUC-2012-08-10-Run2'!CK21</f>
        <v>5.198082148646519E-5</v>
      </c>
      <c r="BJ18" s="55">
        <f>'LUC-2012-08-10-Run2'!CL21</f>
        <v>5.198082148646519E-5</v>
      </c>
      <c r="BK18" s="55">
        <f>'LUC-2012-08-10-Run2'!CM21</f>
        <v>5.198082148646519E-5</v>
      </c>
      <c r="BM18" s="104"/>
      <c r="BN18" s="57" t="s">
        <v>100</v>
      </c>
      <c r="BO18" s="65">
        <f t="shared" si="8"/>
        <v>53.438335809806837</v>
      </c>
      <c r="BP18" s="65">
        <f t="shared" si="9"/>
        <v>54.427934621099553</v>
      </c>
      <c r="BQ18" s="65">
        <f t="shared" si="10"/>
        <v>55.557054097938625</v>
      </c>
      <c r="BR18" s="65">
        <f t="shared" si="11"/>
        <v>56.331933027777737</v>
      </c>
      <c r="BS18" s="65">
        <f t="shared" si="12"/>
        <v>57.106811957616856</v>
      </c>
      <c r="BT18" s="65">
        <f t="shared" si="13"/>
        <v>57.106811957616856</v>
      </c>
      <c r="BU18" s="65">
        <f t="shared" si="14"/>
        <v>57.106811957616856</v>
      </c>
      <c r="BX18" s="100">
        <f t="shared" si="15"/>
        <v>3.8726606688544433E-2</v>
      </c>
      <c r="BZ18" s="101">
        <f>(BK19-'Sce 1 Table'!BK19)/'Sce 1 Table'!BK19</f>
        <v>0.12073074069432822</v>
      </c>
    </row>
    <row r="19" spans="1:79" x14ac:dyDescent="0.25">
      <c r="A19" s="54" t="s">
        <v>38</v>
      </c>
      <c r="B19" s="54" t="s">
        <v>100</v>
      </c>
      <c r="C19" s="54" t="s">
        <v>92</v>
      </c>
      <c r="D19" s="55">
        <f>'LUC-2012-08-10-Run2'!AF22</f>
        <v>5.3438335809806834E-5</v>
      </c>
      <c r="E19" s="55">
        <f>'LUC-2012-08-10-Run2'!AG22</f>
        <v>5.3548291233283803E-5</v>
      </c>
      <c r="F19" s="55">
        <f>'LUC-2012-08-10-Run2'!AH22</f>
        <v>5.3658246656760772E-5</v>
      </c>
      <c r="G19" s="55">
        <f>'LUC-2012-08-10-Run2'!AI22</f>
        <v>5.3768202080237741E-5</v>
      </c>
      <c r="H19" s="55">
        <f>'LUC-2012-08-10-Run2'!AJ22</f>
        <v>5.3878157503714709E-5</v>
      </c>
      <c r="I19" s="55">
        <f>'LUC-2012-08-10-Run2'!AK22</f>
        <v>5.3988112927191678E-5</v>
      </c>
      <c r="J19" s="55">
        <f>'LUC-2012-08-10-Run2'!AL22</f>
        <v>5.4098068350668647E-5</v>
      </c>
      <c r="K19" s="55">
        <f>'LUC-2012-08-10-Run2'!AM22</f>
        <v>5.4208023774145616E-5</v>
      </c>
      <c r="L19" s="55">
        <f>'LUC-2012-08-10-Run2'!AN22</f>
        <v>5.4317979197622585E-5</v>
      </c>
      <c r="M19" s="55">
        <f>'LUC-2012-08-10-Run2'!AO22</f>
        <v>5.4427934621099554E-5</v>
      </c>
      <c r="N19" s="55">
        <f>'LUC-2012-08-10-Run2'!AP22</f>
        <v>5.4537890044576523E-5</v>
      </c>
      <c r="O19" s="55">
        <f>'LUC-2012-08-10-Run2'!AQ22</f>
        <v>5.4647845468053492E-5</v>
      </c>
      <c r="P19" s="55">
        <f>'LUC-2012-08-10-Run2'!AR22</f>
        <v>5.4757800891530461E-5</v>
      </c>
      <c r="Q19" s="55">
        <f>'LUC-2012-08-10-Run2'!AS22</f>
        <v>5.4867756315007429E-5</v>
      </c>
      <c r="R19" s="55">
        <f>'LUC-2012-08-10-Run2'!AT22</f>
        <v>5.4977711738484398E-5</v>
      </c>
      <c r="S19" s="55">
        <f>'LUC-2012-08-10-Run2'!AU22</f>
        <v>5.5247102526002975E-5</v>
      </c>
      <c r="T19" s="55">
        <f>'LUC-2012-08-10-Run2'!AV22</f>
        <v>5.5324590418986889E-5</v>
      </c>
      <c r="U19" s="55">
        <f>'LUC-2012-08-10-Run2'!AW22</f>
        <v>5.5402078311970795E-5</v>
      </c>
      <c r="V19" s="55">
        <f>'LUC-2012-08-10-Run2'!AX22</f>
        <v>5.5479566204954709E-5</v>
      </c>
      <c r="W19" s="55">
        <f>'LUC-2012-08-10-Run2'!AY22</f>
        <v>5.5557054097938623E-5</v>
      </c>
      <c r="X19" s="55">
        <f>'LUC-2012-08-10-Run2'!AZ22</f>
        <v>5.5634541990922537E-5</v>
      </c>
      <c r="Y19" s="55">
        <f>'LUC-2012-08-10-Run2'!BA22</f>
        <v>5.5712029883906443E-5</v>
      </c>
      <c r="Z19" s="55">
        <f>'LUC-2012-08-10-Run2'!BB22</f>
        <v>5.5789517776890357E-5</v>
      </c>
      <c r="AA19" s="55">
        <f>'LUC-2012-08-10-Run2'!BC22</f>
        <v>5.5867005669874271E-5</v>
      </c>
      <c r="AB19" s="55">
        <f>'LUC-2012-08-10-Run2'!BD22</f>
        <v>5.5944493562858178E-5</v>
      </c>
      <c r="AC19" s="55">
        <f>'LUC-2012-08-10-Run2'!BE22</f>
        <v>5.6021981455842091E-5</v>
      </c>
      <c r="AD19" s="55">
        <f>'LUC-2012-08-10-Run2'!BF22</f>
        <v>5.6099469348826005E-5</v>
      </c>
      <c r="AE19" s="55">
        <f>'LUC-2012-08-10-Run2'!BG22</f>
        <v>5.6176957241809919E-5</v>
      </c>
      <c r="AF19" s="55">
        <f>'LUC-2012-08-10-Run2'!BH22</f>
        <v>5.6254445134793826E-5</v>
      </c>
      <c r="AG19" s="55">
        <f>'LUC-2012-08-10-Run2'!BI22</f>
        <v>5.633193302777774E-5</v>
      </c>
      <c r="AH19" s="55">
        <f>'LUC-2012-08-10-Run2'!BJ22</f>
        <v>5.6409420920761653E-5</v>
      </c>
      <c r="AI19" s="55">
        <f>'LUC-2012-08-10-Run2'!BK22</f>
        <v>5.648690881374556E-5</v>
      </c>
      <c r="AJ19" s="55">
        <f>'LUC-2012-08-10-Run2'!BL22</f>
        <v>5.6564396706729474E-5</v>
      </c>
      <c r="AK19" s="55">
        <f>'LUC-2012-08-10-Run2'!BM22</f>
        <v>5.6641884599713388E-5</v>
      </c>
      <c r="AL19" s="55">
        <f>'LUC-2012-08-10-Run2'!BN22</f>
        <v>5.6719372492697294E-5</v>
      </c>
      <c r="AM19" s="55">
        <f>'LUC-2012-08-10-Run2'!BO22</f>
        <v>5.6796860385681208E-5</v>
      </c>
      <c r="AN19" s="55">
        <f>'LUC-2012-08-10-Run2'!BP22</f>
        <v>5.6874348278665122E-5</v>
      </c>
      <c r="AO19" s="55">
        <f>'LUC-2012-08-10-Run2'!BQ22</f>
        <v>5.6951836171649036E-5</v>
      </c>
      <c r="AP19" s="55">
        <f>'LUC-2012-08-10-Run2'!BR22</f>
        <v>5.7029324064632942E-5</v>
      </c>
      <c r="AQ19" s="55">
        <f>'LUC-2012-08-10-Run2'!BS22</f>
        <v>5.7106811957616856E-5</v>
      </c>
      <c r="AR19" s="55">
        <f>'LUC-2012-08-10-Run2'!BT22</f>
        <v>5.7106811957616856E-5</v>
      </c>
      <c r="AS19" s="55">
        <f>'LUC-2012-08-10-Run2'!BU22</f>
        <v>5.7106811957616856E-5</v>
      </c>
      <c r="AT19" s="55">
        <f>'LUC-2012-08-10-Run2'!BV22</f>
        <v>5.7106811957616856E-5</v>
      </c>
      <c r="AU19" s="55">
        <f>'LUC-2012-08-10-Run2'!BW22</f>
        <v>5.7106811957616856E-5</v>
      </c>
      <c r="AV19" s="55">
        <f>'LUC-2012-08-10-Run2'!BX22</f>
        <v>5.7106811957616856E-5</v>
      </c>
      <c r="AW19" s="55">
        <f>'LUC-2012-08-10-Run2'!BY22</f>
        <v>5.7106811957616856E-5</v>
      </c>
      <c r="AX19" s="55">
        <f>'LUC-2012-08-10-Run2'!BZ22</f>
        <v>5.7106811957616856E-5</v>
      </c>
      <c r="AY19" s="55">
        <f>'LUC-2012-08-10-Run2'!CA22</f>
        <v>5.7106811957616856E-5</v>
      </c>
      <c r="AZ19" s="55">
        <f>'LUC-2012-08-10-Run2'!CB22</f>
        <v>5.7106811957616856E-5</v>
      </c>
      <c r="BA19" s="55">
        <f>'LUC-2012-08-10-Run2'!CC22</f>
        <v>5.7106811957616856E-5</v>
      </c>
      <c r="BB19" s="55">
        <f>'LUC-2012-08-10-Run2'!CD22</f>
        <v>5.7106811957616856E-5</v>
      </c>
      <c r="BC19" s="55">
        <f>'LUC-2012-08-10-Run2'!CE22</f>
        <v>5.7106811957616856E-5</v>
      </c>
      <c r="BD19" s="55">
        <f>'LUC-2012-08-10-Run2'!CF22</f>
        <v>5.7106811957616856E-5</v>
      </c>
      <c r="BE19" s="55">
        <f>'LUC-2012-08-10-Run2'!CG22</f>
        <v>5.7106811957616856E-5</v>
      </c>
      <c r="BF19" s="55">
        <f>'LUC-2012-08-10-Run2'!CH22</f>
        <v>5.7106811957616856E-5</v>
      </c>
      <c r="BG19" s="55">
        <f>'LUC-2012-08-10-Run2'!CI22</f>
        <v>5.7106811957616856E-5</v>
      </c>
      <c r="BH19" s="55">
        <f>'LUC-2012-08-10-Run2'!CJ22</f>
        <v>5.7106811957616856E-5</v>
      </c>
      <c r="BI19" s="55">
        <f>'LUC-2012-08-10-Run2'!CK22</f>
        <v>5.7106811957616856E-5</v>
      </c>
      <c r="BJ19" s="55">
        <f>'LUC-2012-08-10-Run2'!CL22</f>
        <v>5.7106811957616856E-5</v>
      </c>
      <c r="BK19" s="55">
        <f>'LUC-2012-08-10-Run2'!CM22</f>
        <v>5.7106811957616856E-5</v>
      </c>
      <c r="BM19" s="104"/>
      <c r="BN19" s="57" t="s">
        <v>101</v>
      </c>
      <c r="BO19" s="65">
        <f t="shared" si="8"/>
        <v>38.032689450222882</v>
      </c>
      <c r="BP19" s="65">
        <f t="shared" si="9"/>
        <v>38.736998514115896</v>
      </c>
      <c r="BQ19" s="65">
        <f t="shared" si="10"/>
        <v>39.627826304946105</v>
      </c>
      <c r="BR19" s="65">
        <f t="shared" si="11"/>
        <v>40.397367302576363</v>
      </c>
      <c r="BS19" s="65">
        <f t="shared" si="12"/>
        <v>41.166908300206622</v>
      </c>
      <c r="BT19" s="65">
        <f t="shared" si="13"/>
        <v>41.166908300206622</v>
      </c>
      <c r="BU19" s="65">
        <f t="shared" si="14"/>
        <v>41.166908300206622</v>
      </c>
      <c r="BX19" s="100">
        <f t="shared" si="15"/>
        <v>5.210111212806532E-2</v>
      </c>
      <c r="BZ19" s="101">
        <f>(BK20-'Sce 1 Table'!BK20)/'Sce 1 Table'!BK20</f>
        <v>0.17276889949675295</v>
      </c>
    </row>
    <row r="20" spans="1:79" x14ac:dyDescent="0.25">
      <c r="A20" s="54" t="s">
        <v>38</v>
      </c>
      <c r="B20" s="54" t="s">
        <v>101</v>
      </c>
      <c r="C20" s="54" t="s">
        <v>92</v>
      </c>
      <c r="D20" s="55">
        <f>'LUC-2012-08-10-Run2'!AF23</f>
        <v>3.8032689450222883E-5</v>
      </c>
      <c r="E20" s="55">
        <f>'LUC-2012-08-10-Run2'!AG23</f>
        <v>3.8110946012877659E-5</v>
      </c>
      <c r="F20" s="55">
        <f>'LUC-2012-08-10-Run2'!AH23</f>
        <v>3.8189202575532442E-5</v>
      </c>
      <c r="G20" s="55">
        <f>'LUC-2012-08-10-Run2'!AI23</f>
        <v>3.8267459138187219E-5</v>
      </c>
      <c r="H20" s="55">
        <f>'LUC-2012-08-10-Run2'!AJ23</f>
        <v>3.8345715700842002E-5</v>
      </c>
      <c r="I20" s="55">
        <f>'LUC-2012-08-10-Run2'!AK23</f>
        <v>3.8423972263496778E-5</v>
      </c>
      <c r="J20" s="55">
        <f>'LUC-2012-08-10-Run2'!AL23</f>
        <v>3.8502228826151561E-5</v>
      </c>
      <c r="K20" s="55">
        <f>'LUC-2012-08-10-Run2'!AM23</f>
        <v>3.8580485388806337E-5</v>
      </c>
      <c r="L20" s="55">
        <f>'LUC-2012-08-10-Run2'!AN23</f>
        <v>3.865874195146112E-5</v>
      </c>
      <c r="M20" s="55">
        <f>'LUC-2012-08-10-Run2'!AO23</f>
        <v>3.8736998514115897E-5</v>
      </c>
      <c r="N20" s="55">
        <f>'LUC-2012-08-10-Run2'!AP23</f>
        <v>3.881525507677068E-5</v>
      </c>
      <c r="O20" s="55">
        <f>'LUC-2012-08-10-Run2'!AQ23</f>
        <v>3.8893511639425456E-5</v>
      </c>
      <c r="P20" s="55">
        <f>'LUC-2012-08-10-Run2'!AR23</f>
        <v>3.8971768202080239E-5</v>
      </c>
      <c r="Q20" s="55">
        <f>'LUC-2012-08-10-Run2'!AS23</f>
        <v>3.9050024764735016E-5</v>
      </c>
      <c r="R20" s="55">
        <f>'LUC-2012-08-10-Run2'!AT23</f>
        <v>3.9128281327389799E-5</v>
      </c>
      <c r="S20" s="55">
        <f>'LUC-2012-08-10-Run2'!AU23</f>
        <v>3.9320009905894E-5</v>
      </c>
      <c r="T20" s="55">
        <f>'LUC-2012-08-10-Run2'!AV23</f>
        <v>3.9396964005657025E-5</v>
      </c>
      <c r="U20" s="55">
        <f>'LUC-2012-08-10-Run2'!AW23</f>
        <v>3.9473918105420051E-5</v>
      </c>
      <c r="V20" s="55">
        <f>'LUC-2012-08-10-Run2'!AX23</f>
        <v>3.9550872205183077E-5</v>
      </c>
      <c r="W20" s="55">
        <f>'LUC-2012-08-10-Run2'!AY23</f>
        <v>3.9627826304946103E-5</v>
      </c>
      <c r="X20" s="55">
        <f>'LUC-2012-08-10-Run2'!AZ23</f>
        <v>3.9704780404709129E-5</v>
      </c>
      <c r="Y20" s="55">
        <f>'LUC-2012-08-10-Run2'!BA23</f>
        <v>3.9781734504472154E-5</v>
      </c>
      <c r="Z20" s="55">
        <f>'LUC-2012-08-10-Run2'!BB23</f>
        <v>3.985868860423518E-5</v>
      </c>
      <c r="AA20" s="55">
        <f>'LUC-2012-08-10-Run2'!BC23</f>
        <v>3.9935642703998206E-5</v>
      </c>
      <c r="AB20" s="55">
        <f>'LUC-2012-08-10-Run2'!BD23</f>
        <v>4.0012596803761232E-5</v>
      </c>
      <c r="AC20" s="55">
        <f>'LUC-2012-08-10-Run2'!BE23</f>
        <v>4.0089550903524258E-5</v>
      </c>
      <c r="AD20" s="55">
        <f>'LUC-2012-08-10-Run2'!BF23</f>
        <v>4.0166505003287283E-5</v>
      </c>
      <c r="AE20" s="55">
        <f>'LUC-2012-08-10-Run2'!BG23</f>
        <v>4.0243459103050309E-5</v>
      </c>
      <c r="AF20" s="55">
        <f>'LUC-2012-08-10-Run2'!BH23</f>
        <v>4.0320413202813335E-5</v>
      </c>
      <c r="AG20" s="55">
        <f>'LUC-2012-08-10-Run2'!BI23</f>
        <v>4.0397367302576361E-5</v>
      </c>
      <c r="AH20" s="55">
        <f>'LUC-2012-08-10-Run2'!BJ23</f>
        <v>4.0474321402339387E-5</v>
      </c>
      <c r="AI20" s="55">
        <f>'LUC-2012-08-10-Run2'!BK23</f>
        <v>4.0551275502102413E-5</v>
      </c>
      <c r="AJ20" s="55">
        <f>'LUC-2012-08-10-Run2'!BL23</f>
        <v>4.0628229601865438E-5</v>
      </c>
      <c r="AK20" s="55">
        <f>'LUC-2012-08-10-Run2'!BM23</f>
        <v>4.0705183701628464E-5</v>
      </c>
      <c r="AL20" s="55">
        <f>'LUC-2012-08-10-Run2'!BN23</f>
        <v>4.078213780139149E-5</v>
      </c>
      <c r="AM20" s="55">
        <f>'LUC-2012-08-10-Run2'!BO23</f>
        <v>4.0859091901154516E-5</v>
      </c>
      <c r="AN20" s="55">
        <f>'LUC-2012-08-10-Run2'!BP23</f>
        <v>4.0936046000917542E-5</v>
      </c>
      <c r="AO20" s="55">
        <f>'LUC-2012-08-10-Run2'!BQ23</f>
        <v>4.1013000100680567E-5</v>
      </c>
      <c r="AP20" s="55">
        <f>'LUC-2012-08-10-Run2'!BR23</f>
        <v>4.1089954200443593E-5</v>
      </c>
      <c r="AQ20" s="55">
        <f>'LUC-2012-08-10-Run2'!BS23</f>
        <v>4.1166908300206619E-5</v>
      </c>
      <c r="AR20" s="55">
        <f>'LUC-2012-08-10-Run2'!BT23</f>
        <v>4.1166908300206619E-5</v>
      </c>
      <c r="AS20" s="55">
        <f>'LUC-2012-08-10-Run2'!BU23</f>
        <v>4.1166908300206619E-5</v>
      </c>
      <c r="AT20" s="55">
        <f>'LUC-2012-08-10-Run2'!BV23</f>
        <v>4.1166908300206619E-5</v>
      </c>
      <c r="AU20" s="55">
        <f>'LUC-2012-08-10-Run2'!BW23</f>
        <v>4.1166908300206619E-5</v>
      </c>
      <c r="AV20" s="55">
        <f>'LUC-2012-08-10-Run2'!BX23</f>
        <v>4.1166908300206619E-5</v>
      </c>
      <c r="AW20" s="55">
        <f>'LUC-2012-08-10-Run2'!BY23</f>
        <v>4.1166908300206619E-5</v>
      </c>
      <c r="AX20" s="55">
        <f>'LUC-2012-08-10-Run2'!BZ23</f>
        <v>4.1166908300206619E-5</v>
      </c>
      <c r="AY20" s="55">
        <f>'LUC-2012-08-10-Run2'!CA23</f>
        <v>4.1166908300206619E-5</v>
      </c>
      <c r="AZ20" s="55">
        <f>'LUC-2012-08-10-Run2'!CB23</f>
        <v>4.1166908300206619E-5</v>
      </c>
      <c r="BA20" s="55">
        <f>'LUC-2012-08-10-Run2'!CC23</f>
        <v>4.1166908300206619E-5</v>
      </c>
      <c r="BB20" s="55">
        <f>'LUC-2012-08-10-Run2'!CD23</f>
        <v>4.1166908300206619E-5</v>
      </c>
      <c r="BC20" s="55">
        <f>'LUC-2012-08-10-Run2'!CE23</f>
        <v>4.1166908300206619E-5</v>
      </c>
      <c r="BD20" s="55">
        <f>'LUC-2012-08-10-Run2'!CF23</f>
        <v>4.1166908300206619E-5</v>
      </c>
      <c r="BE20" s="55">
        <f>'LUC-2012-08-10-Run2'!CG23</f>
        <v>4.1166908300206619E-5</v>
      </c>
      <c r="BF20" s="55">
        <f>'LUC-2012-08-10-Run2'!CH23</f>
        <v>4.1166908300206619E-5</v>
      </c>
      <c r="BG20" s="55">
        <f>'LUC-2012-08-10-Run2'!CI23</f>
        <v>4.1166908300206619E-5</v>
      </c>
      <c r="BH20" s="55">
        <f>'LUC-2012-08-10-Run2'!CJ23</f>
        <v>4.1166908300206619E-5</v>
      </c>
      <c r="BI20" s="55">
        <f>'LUC-2012-08-10-Run2'!CK23</f>
        <v>4.1166908300206619E-5</v>
      </c>
      <c r="BJ20" s="55">
        <f>'LUC-2012-08-10-Run2'!CL23</f>
        <v>4.1166908300206619E-5</v>
      </c>
      <c r="BK20" s="55">
        <f>'LUC-2012-08-10-Run2'!CM23</f>
        <v>4.1166908300206619E-5</v>
      </c>
      <c r="BM20" s="104"/>
      <c r="BN20" s="57" t="s">
        <v>111</v>
      </c>
      <c r="BO20" s="65">
        <f t="shared" si="8"/>
        <v>33.2184249628529</v>
      </c>
      <c r="BP20" s="65">
        <f t="shared" si="9"/>
        <v>33.833580980683507</v>
      </c>
      <c r="BQ20" s="65">
        <f t="shared" si="10"/>
        <v>35.063297851853505</v>
      </c>
      <c r="BR20" s="65">
        <f t="shared" si="11"/>
        <v>36.86455882621236</v>
      </c>
      <c r="BS20" s="65">
        <f t="shared" si="12"/>
        <v>38.665819800571214</v>
      </c>
      <c r="BT20" s="65">
        <f t="shared" si="13"/>
        <v>38.665819800571214</v>
      </c>
      <c r="BU20" s="65">
        <f t="shared" si="14"/>
        <v>38.665819800571214</v>
      </c>
      <c r="BX20" s="100">
        <f t="shared" si="15"/>
        <v>0.13139550981671438</v>
      </c>
      <c r="BZ20" s="101">
        <f>(BK21-'Sce 1 Table'!BK21)/'Sce 1 Table'!BK21</f>
        <v>7.3806392127707121E-2</v>
      </c>
    </row>
    <row r="21" spans="1:79" x14ac:dyDescent="0.25">
      <c r="A21" s="54" t="s">
        <v>38</v>
      </c>
      <c r="B21" s="54" t="s">
        <v>111</v>
      </c>
      <c r="C21" s="54" t="s">
        <v>92</v>
      </c>
      <c r="D21" s="55">
        <f>'LUC-2012-08-10-Run2'!AF24</f>
        <v>3.3218424962852898E-5</v>
      </c>
      <c r="E21" s="55">
        <f>'LUC-2012-08-10-Run2'!AG24</f>
        <v>3.3286775631500744E-5</v>
      </c>
      <c r="F21" s="55">
        <f>'LUC-2012-08-10-Run2'!AH24</f>
        <v>3.3355126300148591E-5</v>
      </c>
      <c r="G21" s="55">
        <f>'LUC-2012-08-10-Run2'!AI24</f>
        <v>3.3423476968796431E-5</v>
      </c>
      <c r="H21" s="55">
        <f>'LUC-2012-08-10-Run2'!AJ24</f>
        <v>3.3491827637444278E-5</v>
      </c>
      <c r="I21" s="55">
        <f>'LUC-2012-08-10-Run2'!AK24</f>
        <v>3.3560178306092124E-5</v>
      </c>
      <c r="J21" s="55">
        <f>'LUC-2012-08-10-Run2'!AL24</f>
        <v>3.3628528974739971E-5</v>
      </c>
      <c r="K21" s="55">
        <f>'LUC-2012-08-10-Run2'!AM24</f>
        <v>3.3696879643387817E-5</v>
      </c>
      <c r="L21" s="55">
        <f>'LUC-2012-08-10-Run2'!AN24</f>
        <v>3.3765230312035657E-5</v>
      </c>
      <c r="M21" s="55">
        <f>'LUC-2012-08-10-Run2'!AO24</f>
        <v>3.3833580980683504E-5</v>
      </c>
      <c r="N21" s="55">
        <f>'LUC-2012-08-10-Run2'!AP24</f>
        <v>3.3901931649331351E-5</v>
      </c>
      <c r="O21" s="55">
        <f>'LUC-2012-08-10-Run2'!AQ24</f>
        <v>3.3970282317979197E-5</v>
      </c>
      <c r="P21" s="55">
        <f>'LUC-2012-08-10-Run2'!AR24</f>
        <v>3.4038632986627044E-5</v>
      </c>
      <c r="Q21" s="55">
        <f>'LUC-2012-08-10-Run2'!AS24</f>
        <v>3.4106983655274884E-5</v>
      </c>
      <c r="R21" s="55">
        <f>'LUC-2012-08-10-Run2'!AT24</f>
        <v>3.417533432392273E-5</v>
      </c>
      <c r="S21" s="55">
        <f>'LUC-2012-08-10-Run2'!AU24</f>
        <v>3.4342793462109958E-5</v>
      </c>
      <c r="T21" s="55">
        <f>'LUC-2012-08-10-Run2'!AV24</f>
        <v>3.4522919559545845E-5</v>
      </c>
      <c r="U21" s="55">
        <f>'LUC-2012-08-10-Run2'!AW24</f>
        <v>3.4703045656981732E-5</v>
      </c>
      <c r="V21" s="55">
        <f>'LUC-2012-08-10-Run2'!AX24</f>
        <v>3.4883171754417618E-5</v>
      </c>
      <c r="W21" s="55">
        <f>'LUC-2012-08-10-Run2'!AY24</f>
        <v>3.5063297851853505E-5</v>
      </c>
      <c r="X21" s="55">
        <f>'LUC-2012-08-10-Run2'!AZ24</f>
        <v>3.5243423949289392E-5</v>
      </c>
      <c r="Y21" s="55">
        <f>'LUC-2012-08-10-Run2'!BA24</f>
        <v>3.5423550046725279E-5</v>
      </c>
      <c r="Z21" s="55">
        <f>'LUC-2012-08-10-Run2'!BB24</f>
        <v>3.5603676144161152E-5</v>
      </c>
      <c r="AA21" s="55">
        <f>'LUC-2012-08-10-Run2'!BC24</f>
        <v>3.5783802241597039E-5</v>
      </c>
      <c r="AB21" s="55">
        <f>'LUC-2012-08-10-Run2'!BD24</f>
        <v>3.5963928339032926E-5</v>
      </c>
      <c r="AC21" s="55">
        <f>'LUC-2012-08-10-Run2'!BE24</f>
        <v>3.6144054436468813E-5</v>
      </c>
      <c r="AD21" s="55">
        <f>'LUC-2012-08-10-Run2'!BF24</f>
        <v>3.63241805339047E-5</v>
      </c>
      <c r="AE21" s="55">
        <f>'LUC-2012-08-10-Run2'!BG24</f>
        <v>3.6504306631340587E-5</v>
      </c>
      <c r="AF21" s="55">
        <f>'LUC-2012-08-10-Run2'!BH24</f>
        <v>3.6684432728776473E-5</v>
      </c>
      <c r="AG21" s="55">
        <f>'LUC-2012-08-10-Run2'!BI24</f>
        <v>3.686455882621236E-5</v>
      </c>
      <c r="AH21" s="55">
        <f>'LUC-2012-08-10-Run2'!BJ24</f>
        <v>3.7044684923648247E-5</v>
      </c>
      <c r="AI21" s="55">
        <f>'LUC-2012-08-10-Run2'!BK24</f>
        <v>3.7224811021084134E-5</v>
      </c>
      <c r="AJ21" s="55">
        <f>'LUC-2012-08-10-Run2'!BL24</f>
        <v>3.7404937118520021E-5</v>
      </c>
      <c r="AK21" s="55">
        <f>'LUC-2012-08-10-Run2'!BM24</f>
        <v>3.7585063215955894E-5</v>
      </c>
      <c r="AL21" s="55">
        <f>'LUC-2012-08-10-Run2'!BN24</f>
        <v>3.7765189313391781E-5</v>
      </c>
      <c r="AM21" s="55">
        <f>'LUC-2012-08-10-Run2'!BO24</f>
        <v>3.7945315410827668E-5</v>
      </c>
      <c r="AN21" s="55">
        <f>'LUC-2012-08-10-Run2'!BP24</f>
        <v>3.8125441508263555E-5</v>
      </c>
      <c r="AO21" s="55">
        <f>'LUC-2012-08-10-Run2'!BQ24</f>
        <v>3.8305567605699441E-5</v>
      </c>
      <c r="AP21" s="55">
        <f>'LUC-2012-08-10-Run2'!BR24</f>
        <v>3.8485693703135328E-5</v>
      </c>
      <c r="AQ21" s="55">
        <f>'LUC-2012-08-10-Run2'!BS24</f>
        <v>3.8665819800571215E-5</v>
      </c>
      <c r="AR21" s="55">
        <f>'LUC-2012-08-10-Run2'!BT24</f>
        <v>3.8665819800571215E-5</v>
      </c>
      <c r="AS21" s="55">
        <f>'LUC-2012-08-10-Run2'!BU24</f>
        <v>3.8665819800571215E-5</v>
      </c>
      <c r="AT21" s="55">
        <f>'LUC-2012-08-10-Run2'!BV24</f>
        <v>3.8665819800571215E-5</v>
      </c>
      <c r="AU21" s="55">
        <f>'LUC-2012-08-10-Run2'!BW24</f>
        <v>3.8665819800571215E-5</v>
      </c>
      <c r="AV21" s="55">
        <f>'LUC-2012-08-10-Run2'!BX24</f>
        <v>3.8665819800571215E-5</v>
      </c>
      <c r="AW21" s="55">
        <f>'LUC-2012-08-10-Run2'!BY24</f>
        <v>3.8665819800571215E-5</v>
      </c>
      <c r="AX21" s="55">
        <f>'LUC-2012-08-10-Run2'!BZ24</f>
        <v>3.8665819800571215E-5</v>
      </c>
      <c r="AY21" s="55">
        <f>'LUC-2012-08-10-Run2'!CA24</f>
        <v>3.8665819800571215E-5</v>
      </c>
      <c r="AZ21" s="55">
        <f>'LUC-2012-08-10-Run2'!CB24</f>
        <v>3.8665819800571215E-5</v>
      </c>
      <c r="BA21" s="55">
        <f>'LUC-2012-08-10-Run2'!CC24</f>
        <v>3.8665819800571215E-5</v>
      </c>
      <c r="BB21" s="55">
        <f>'LUC-2012-08-10-Run2'!CD24</f>
        <v>3.8665819800571215E-5</v>
      </c>
      <c r="BC21" s="55">
        <f>'LUC-2012-08-10-Run2'!CE24</f>
        <v>3.8665819800571215E-5</v>
      </c>
      <c r="BD21" s="55">
        <f>'LUC-2012-08-10-Run2'!CF24</f>
        <v>3.8665819800571215E-5</v>
      </c>
      <c r="BE21" s="55">
        <f>'LUC-2012-08-10-Run2'!CG24</f>
        <v>3.8665819800571215E-5</v>
      </c>
      <c r="BF21" s="55">
        <f>'LUC-2012-08-10-Run2'!CH24</f>
        <v>3.8665819800571215E-5</v>
      </c>
      <c r="BG21" s="55">
        <f>'LUC-2012-08-10-Run2'!CI24</f>
        <v>3.8665819800571215E-5</v>
      </c>
      <c r="BH21" s="55">
        <f>'LUC-2012-08-10-Run2'!CJ24</f>
        <v>3.8665819800571215E-5</v>
      </c>
      <c r="BI21" s="55">
        <f>'LUC-2012-08-10-Run2'!CK24</f>
        <v>3.8665819800571215E-5</v>
      </c>
      <c r="BJ21" s="55">
        <f>'LUC-2012-08-10-Run2'!CL24</f>
        <v>3.8665819800571215E-5</v>
      </c>
      <c r="BK21" s="55">
        <f>'LUC-2012-08-10-Run2'!CM24</f>
        <v>3.8665819800571215E-5</v>
      </c>
      <c r="BM21" s="104"/>
      <c r="BN21" s="57" t="s">
        <v>102</v>
      </c>
      <c r="BO21" s="65">
        <f t="shared" si="8"/>
        <v>16</v>
      </c>
      <c r="BP21" s="65">
        <f t="shared" si="9"/>
        <v>17.8</v>
      </c>
      <c r="BQ21" s="65">
        <f t="shared" si="10"/>
        <v>19.698333333333338</v>
      </c>
      <c r="BR21" s="65">
        <f t="shared" si="11"/>
        <v>20.71916666666668</v>
      </c>
      <c r="BS21" s="65">
        <f t="shared" si="12"/>
        <v>21.740000000000016</v>
      </c>
      <c r="BT21" s="65">
        <f t="shared" si="13"/>
        <v>22.965000000000018</v>
      </c>
      <c r="BU21" s="65">
        <f t="shared" si="14"/>
        <v>24.190000000000019</v>
      </c>
      <c r="BX21" s="100">
        <f t="shared" si="15"/>
        <v>0.28670212765957559</v>
      </c>
      <c r="BZ21" s="101">
        <f>(BK22-'Sce 1 Table'!BK22)/'Sce 1 Table'!BK22</f>
        <v>0.15190476190476296</v>
      </c>
    </row>
    <row r="22" spans="1:79" x14ac:dyDescent="0.25">
      <c r="A22" s="54" t="s">
        <v>38</v>
      </c>
      <c r="B22" s="54" t="s">
        <v>102</v>
      </c>
      <c r="C22" s="54" t="s">
        <v>92</v>
      </c>
      <c r="D22" s="55">
        <f>'LUC-2012-08-10-Run2'!AF25</f>
        <v>1.5999999999999999E-5</v>
      </c>
      <c r="E22" s="55">
        <f>'LUC-2012-08-10-Run2'!AG25</f>
        <v>1.6200000000000001E-5</v>
      </c>
      <c r="F22" s="55">
        <f>'LUC-2012-08-10-Run2'!AH25</f>
        <v>1.6399999999999999E-5</v>
      </c>
      <c r="G22" s="55">
        <f>'LUC-2012-08-10-Run2'!AI25</f>
        <v>1.66E-5</v>
      </c>
      <c r="H22" s="55">
        <f>'LUC-2012-08-10-Run2'!AJ25</f>
        <v>1.6799999999999998E-5</v>
      </c>
      <c r="I22" s="55">
        <f>'LUC-2012-08-10-Run2'!AK25</f>
        <v>1.7E-5</v>
      </c>
      <c r="J22" s="55">
        <f>'LUC-2012-08-10-Run2'!AL25</f>
        <v>1.7200000000000001E-5</v>
      </c>
      <c r="K22" s="55">
        <f>'LUC-2012-08-10-Run2'!AM25</f>
        <v>1.7399999999999999E-5</v>
      </c>
      <c r="L22" s="55">
        <f>'LUC-2012-08-10-Run2'!AN25</f>
        <v>1.7600000000000001E-5</v>
      </c>
      <c r="M22" s="55">
        <f>'LUC-2012-08-10-Run2'!AO25</f>
        <v>1.7799999999999999E-5</v>
      </c>
      <c r="N22" s="55">
        <f>'LUC-2012-08-10-Run2'!AP25</f>
        <v>1.8E-5</v>
      </c>
      <c r="O22" s="55">
        <f>'LUC-2012-08-10-Run2'!AQ25</f>
        <v>1.8200000000000002E-5</v>
      </c>
      <c r="P22" s="55">
        <f>'LUC-2012-08-10-Run2'!AR25</f>
        <v>1.84E-5</v>
      </c>
      <c r="Q22" s="55">
        <f>'LUC-2012-08-10-Run2'!AS25</f>
        <v>1.8600000000000001E-5</v>
      </c>
      <c r="R22" s="55">
        <f>'LUC-2012-08-10-Run2'!AT25</f>
        <v>1.88E-5</v>
      </c>
      <c r="S22" s="55">
        <f>'LUC-2012-08-10-Run2'!AU25</f>
        <v>1.9290000000000003E-5</v>
      </c>
      <c r="T22" s="55">
        <f>'LUC-2012-08-10-Run2'!AV25</f>
        <v>1.9392083333333337E-5</v>
      </c>
      <c r="U22" s="55">
        <f>'LUC-2012-08-10-Run2'!AW25</f>
        <v>1.949416666666667E-5</v>
      </c>
      <c r="V22" s="55">
        <f>'LUC-2012-08-10-Run2'!AX25</f>
        <v>1.9596250000000004E-5</v>
      </c>
      <c r="W22" s="55">
        <f>'LUC-2012-08-10-Run2'!AY25</f>
        <v>1.9698333333333338E-5</v>
      </c>
      <c r="X22" s="55">
        <f>'LUC-2012-08-10-Run2'!AZ25</f>
        <v>1.9800416666666671E-5</v>
      </c>
      <c r="Y22" s="55">
        <f>'LUC-2012-08-10-Run2'!BA25</f>
        <v>1.9902500000000005E-5</v>
      </c>
      <c r="Z22" s="55">
        <f>'LUC-2012-08-10-Run2'!BB25</f>
        <v>2.0004583333333338E-5</v>
      </c>
      <c r="AA22" s="55">
        <f>'LUC-2012-08-10-Run2'!BC25</f>
        <v>2.0106666666666672E-5</v>
      </c>
      <c r="AB22" s="55">
        <f>'LUC-2012-08-10-Run2'!BD25</f>
        <v>2.0208750000000005E-5</v>
      </c>
      <c r="AC22" s="55">
        <f>'LUC-2012-08-10-Run2'!BE25</f>
        <v>2.0310833333333339E-5</v>
      </c>
      <c r="AD22" s="55">
        <f>'LUC-2012-08-10-Run2'!BF25</f>
        <v>2.0412916666666672E-5</v>
      </c>
      <c r="AE22" s="55">
        <f>'LUC-2012-08-10-Run2'!BG25</f>
        <v>2.0515000000000006E-5</v>
      </c>
      <c r="AF22" s="55">
        <f>'LUC-2012-08-10-Run2'!BH25</f>
        <v>2.0617083333333346E-5</v>
      </c>
      <c r="AG22" s="55">
        <f>'LUC-2012-08-10-Run2'!BI25</f>
        <v>2.071916666666668E-5</v>
      </c>
      <c r="AH22" s="55">
        <f>'LUC-2012-08-10-Run2'!BJ25</f>
        <v>2.0821250000000013E-5</v>
      </c>
      <c r="AI22" s="55">
        <f>'LUC-2012-08-10-Run2'!BK25</f>
        <v>2.0923333333333347E-5</v>
      </c>
      <c r="AJ22" s="55">
        <f>'LUC-2012-08-10-Run2'!BL25</f>
        <v>2.1025416666666681E-5</v>
      </c>
      <c r="AK22" s="55">
        <f>'LUC-2012-08-10-Run2'!BM25</f>
        <v>2.1127500000000014E-5</v>
      </c>
      <c r="AL22" s="55">
        <f>'LUC-2012-08-10-Run2'!BN25</f>
        <v>2.1229583333333348E-5</v>
      </c>
      <c r="AM22" s="55">
        <f>'LUC-2012-08-10-Run2'!BO25</f>
        <v>2.1331666666666681E-5</v>
      </c>
      <c r="AN22" s="55">
        <f>'LUC-2012-08-10-Run2'!BP25</f>
        <v>2.1433750000000015E-5</v>
      </c>
      <c r="AO22" s="55">
        <f>'LUC-2012-08-10-Run2'!BQ25</f>
        <v>2.1535833333333348E-5</v>
      </c>
      <c r="AP22" s="55">
        <f>'LUC-2012-08-10-Run2'!BR25</f>
        <v>2.1637916666666682E-5</v>
      </c>
      <c r="AQ22" s="55">
        <f>'LUC-2012-08-10-Run2'!BS25</f>
        <v>2.1740000000000015E-5</v>
      </c>
      <c r="AR22" s="55">
        <f>'LUC-2012-08-10-Run2'!BT25</f>
        <v>2.186250000000002E-5</v>
      </c>
      <c r="AS22" s="55">
        <f>'LUC-2012-08-10-Run2'!BU25</f>
        <v>2.1985000000000014E-5</v>
      </c>
      <c r="AT22" s="55">
        <f>'LUC-2012-08-10-Run2'!BV25</f>
        <v>2.2107500000000018E-5</v>
      </c>
      <c r="AU22" s="55">
        <f>'LUC-2012-08-10-Run2'!BW25</f>
        <v>2.2230000000000012E-5</v>
      </c>
      <c r="AV22" s="55">
        <f>'LUC-2012-08-10-Run2'!BX25</f>
        <v>2.2352500000000017E-5</v>
      </c>
      <c r="AW22" s="55">
        <f>'LUC-2012-08-10-Run2'!BY25</f>
        <v>2.2475000000000021E-5</v>
      </c>
      <c r="AX22" s="55">
        <f>'LUC-2012-08-10-Run2'!BZ25</f>
        <v>2.2597500000000015E-5</v>
      </c>
      <c r="AY22" s="55">
        <f>'LUC-2012-08-10-Run2'!CA25</f>
        <v>2.272000000000002E-5</v>
      </c>
      <c r="AZ22" s="55">
        <f>'LUC-2012-08-10-Run2'!CB25</f>
        <v>2.2842500000000014E-5</v>
      </c>
      <c r="BA22" s="55">
        <f>'LUC-2012-08-10-Run2'!CC25</f>
        <v>2.2965000000000018E-5</v>
      </c>
      <c r="BB22" s="55">
        <f>'LUC-2012-08-10-Run2'!CD25</f>
        <v>2.3087500000000022E-5</v>
      </c>
      <c r="BC22" s="55">
        <f>'LUC-2012-08-10-Run2'!CE25</f>
        <v>2.3210000000000017E-5</v>
      </c>
      <c r="BD22" s="55">
        <f>'LUC-2012-08-10-Run2'!CF25</f>
        <v>2.3332500000000021E-5</v>
      </c>
      <c r="BE22" s="55">
        <f>'LUC-2012-08-10-Run2'!CG25</f>
        <v>2.3455000000000015E-5</v>
      </c>
      <c r="BF22" s="55">
        <f>'LUC-2012-08-10-Run2'!CH25</f>
        <v>2.3577500000000019E-5</v>
      </c>
      <c r="BG22" s="55">
        <f>'LUC-2012-08-10-Run2'!CI25</f>
        <v>2.3700000000000024E-5</v>
      </c>
      <c r="BH22" s="55">
        <f>'LUC-2012-08-10-Run2'!CJ25</f>
        <v>2.3822500000000018E-5</v>
      </c>
      <c r="BI22" s="55">
        <f>'LUC-2012-08-10-Run2'!CK25</f>
        <v>2.3945000000000022E-5</v>
      </c>
      <c r="BJ22" s="55">
        <f>'LUC-2012-08-10-Run2'!CL25</f>
        <v>2.4067500000000016E-5</v>
      </c>
      <c r="BK22" s="55">
        <f>'LUC-2012-08-10-Run2'!CM25</f>
        <v>2.4190000000000021E-5</v>
      </c>
      <c r="BM22" s="104"/>
      <c r="BN22" s="57" t="s">
        <v>103</v>
      </c>
      <c r="BO22" s="65">
        <f t="shared" si="8"/>
        <v>36</v>
      </c>
      <c r="BP22" s="65">
        <f t="shared" si="9"/>
        <v>34.799999999999997</v>
      </c>
      <c r="BQ22" s="65">
        <f t="shared" si="10"/>
        <v>34.268333333333338</v>
      </c>
      <c r="BR22" s="65">
        <f t="shared" si="11"/>
        <v>34.455833333333345</v>
      </c>
      <c r="BS22" s="65">
        <f t="shared" si="12"/>
        <v>34.643333333333345</v>
      </c>
      <c r="BT22" s="65">
        <f t="shared" si="13"/>
        <v>34.643333333333345</v>
      </c>
      <c r="BU22" s="65">
        <f t="shared" si="14"/>
        <v>34.643333333333345</v>
      </c>
      <c r="BW22" s="54">
        <f>(BW23-BV23)/BV23</f>
        <v>0.19131533817561597</v>
      </c>
      <c r="BX22" s="100">
        <f t="shared" si="15"/>
        <v>1.4941406250000403E-2</v>
      </c>
      <c r="BZ22" s="101">
        <f>(BK23-'Sce 1 Table'!BK23)/'Sce 1 Table'!BK23</f>
        <v>4.9797979797980153E-2</v>
      </c>
    </row>
    <row r="23" spans="1:79" x14ac:dyDescent="0.25">
      <c r="A23" s="54" t="s">
        <v>38</v>
      </c>
      <c r="B23" s="54" t="s">
        <v>103</v>
      </c>
      <c r="C23" s="54" t="s">
        <v>92</v>
      </c>
      <c r="D23" s="55">
        <f>'LUC-2012-08-10-Run2'!AF26</f>
        <v>3.6000000000000001E-5</v>
      </c>
      <c r="E23" s="55">
        <f>'LUC-2012-08-10-Run2'!AG26</f>
        <v>3.5866666666666667E-5</v>
      </c>
      <c r="F23" s="55">
        <f>'LUC-2012-08-10-Run2'!AH26</f>
        <v>3.5733333333333332E-5</v>
      </c>
      <c r="G23" s="55">
        <f>'LUC-2012-08-10-Run2'!AI26</f>
        <v>3.5599999999999998E-5</v>
      </c>
      <c r="H23" s="55">
        <f>'LUC-2012-08-10-Run2'!AJ26</f>
        <v>3.546666666666667E-5</v>
      </c>
      <c r="I23" s="55">
        <f>'LUC-2012-08-10-Run2'!AK26</f>
        <v>3.5333333333333336E-5</v>
      </c>
      <c r="J23" s="55">
        <f>'LUC-2012-08-10-Run2'!AL26</f>
        <v>3.5200000000000002E-5</v>
      </c>
      <c r="K23" s="55">
        <f>'LUC-2012-08-10-Run2'!AM26</f>
        <v>3.5066666666666667E-5</v>
      </c>
      <c r="L23" s="55">
        <f>'LUC-2012-08-10-Run2'!AN26</f>
        <v>3.4933333333333333E-5</v>
      </c>
      <c r="M23" s="55">
        <f>'LUC-2012-08-10-Run2'!AO26</f>
        <v>3.4799999999999999E-5</v>
      </c>
      <c r="N23" s="55">
        <f>'LUC-2012-08-10-Run2'!AP26</f>
        <v>3.4666666666666665E-5</v>
      </c>
      <c r="O23" s="55">
        <f>'LUC-2012-08-10-Run2'!AQ26</f>
        <v>3.453333333333333E-5</v>
      </c>
      <c r="P23" s="55">
        <f>'LUC-2012-08-10-Run2'!AR26</f>
        <v>3.4400000000000003E-5</v>
      </c>
      <c r="Q23" s="55">
        <f>'LUC-2012-08-10-Run2'!AS26</f>
        <v>3.4266666666666668E-5</v>
      </c>
      <c r="R23" s="55">
        <f>'LUC-2012-08-10-Run2'!AT26</f>
        <v>3.4133333333333334E-5</v>
      </c>
      <c r="S23" s="55">
        <f>'LUC-2012-08-10-Run2'!AU26</f>
        <v>3.4193333333333337E-5</v>
      </c>
      <c r="T23" s="55">
        <f>'LUC-2012-08-10-Run2'!AV26</f>
        <v>3.4212083333333334E-5</v>
      </c>
      <c r="U23" s="55">
        <f>'LUC-2012-08-10-Run2'!AW26</f>
        <v>3.4230833333333338E-5</v>
      </c>
      <c r="V23" s="55">
        <f>'LUC-2012-08-10-Run2'!AX26</f>
        <v>3.4249583333333342E-5</v>
      </c>
      <c r="W23" s="55">
        <f>'LUC-2012-08-10-Run2'!AY26</f>
        <v>3.4268333333333339E-5</v>
      </c>
      <c r="X23" s="55">
        <f>'LUC-2012-08-10-Run2'!AZ26</f>
        <v>3.4287083333333336E-5</v>
      </c>
      <c r="Y23" s="55">
        <f>'LUC-2012-08-10-Run2'!BA26</f>
        <v>3.430583333333334E-5</v>
      </c>
      <c r="Z23" s="55">
        <f>'LUC-2012-08-10-Run2'!BB26</f>
        <v>3.4324583333333343E-5</v>
      </c>
      <c r="AA23" s="55">
        <f>'LUC-2012-08-10-Run2'!BC26</f>
        <v>3.4343333333333341E-5</v>
      </c>
      <c r="AB23" s="55">
        <f>'LUC-2012-08-10-Run2'!BD26</f>
        <v>3.4362083333333338E-5</v>
      </c>
      <c r="AC23" s="55">
        <f>'LUC-2012-08-10-Run2'!BE26</f>
        <v>3.4380833333333341E-5</v>
      </c>
      <c r="AD23" s="55">
        <f>'LUC-2012-08-10-Run2'!BF26</f>
        <v>3.4399583333333345E-5</v>
      </c>
      <c r="AE23" s="55">
        <f>'LUC-2012-08-10-Run2'!BG26</f>
        <v>3.4418333333333342E-5</v>
      </c>
      <c r="AF23" s="55">
        <f>'LUC-2012-08-10-Run2'!BH26</f>
        <v>3.4437083333333339E-5</v>
      </c>
      <c r="AG23" s="55">
        <f>'LUC-2012-08-10-Run2'!BI26</f>
        <v>3.4455833333333343E-5</v>
      </c>
      <c r="AH23" s="55">
        <f>'LUC-2012-08-10-Run2'!BJ26</f>
        <v>3.4474583333333347E-5</v>
      </c>
      <c r="AI23" s="55">
        <f>'LUC-2012-08-10-Run2'!BK26</f>
        <v>3.4493333333333344E-5</v>
      </c>
      <c r="AJ23" s="55">
        <f>'LUC-2012-08-10-Run2'!BL26</f>
        <v>3.4512083333333341E-5</v>
      </c>
      <c r="AK23" s="55">
        <f>'LUC-2012-08-10-Run2'!BM26</f>
        <v>3.4530833333333345E-5</v>
      </c>
      <c r="AL23" s="55">
        <f>'LUC-2012-08-10-Run2'!BN26</f>
        <v>3.4549583333333349E-5</v>
      </c>
      <c r="AM23" s="55">
        <f>'LUC-2012-08-10-Run2'!BO26</f>
        <v>3.4568333333333346E-5</v>
      </c>
      <c r="AN23" s="55">
        <f>'LUC-2012-08-10-Run2'!BP26</f>
        <v>3.4587083333333343E-5</v>
      </c>
      <c r="AO23" s="55">
        <f>'LUC-2012-08-10-Run2'!BQ26</f>
        <v>3.4605833333333347E-5</v>
      </c>
      <c r="AP23" s="55">
        <f>'LUC-2012-08-10-Run2'!BR26</f>
        <v>3.4624583333333351E-5</v>
      </c>
      <c r="AQ23" s="55">
        <f>'LUC-2012-08-10-Run2'!BS26</f>
        <v>3.4643333333333348E-5</v>
      </c>
      <c r="AR23" s="55">
        <f>'LUC-2012-08-10-Run2'!BT26</f>
        <v>3.4643333333333348E-5</v>
      </c>
      <c r="AS23" s="55">
        <f>'LUC-2012-08-10-Run2'!BU26</f>
        <v>3.4643333333333348E-5</v>
      </c>
      <c r="AT23" s="55">
        <f>'LUC-2012-08-10-Run2'!BV26</f>
        <v>3.4643333333333348E-5</v>
      </c>
      <c r="AU23" s="55">
        <f>'LUC-2012-08-10-Run2'!BW26</f>
        <v>3.4643333333333348E-5</v>
      </c>
      <c r="AV23" s="55">
        <f>'LUC-2012-08-10-Run2'!BX26</f>
        <v>3.4643333333333348E-5</v>
      </c>
      <c r="AW23" s="55">
        <f>'LUC-2012-08-10-Run2'!BY26</f>
        <v>3.4643333333333348E-5</v>
      </c>
      <c r="AX23" s="55">
        <f>'LUC-2012-08-10-Run2'!BZ26</f>
        <v>3.4643333333333348E-5</v>
      </c>
      <c r="AY23" s="55">
        <f>'LUC-2012-08-10-Run2'!CA26</f>
        <v>3.4643333333333348E-5</v>
      </c>
      <c r="AZ23" s="55">
        <f>'LUC-2012-08-10-Run2'!CB26</f>
        <v>3.4643333333333348E-5</v>
      </c>
      <c r="BA23" s="55">
        <f>'LUC-2012-08-10-Run2'!CC26</f>
        <v>3.4643333333333348E-5</v>
      </c>
      <c r="BB23" s="55">
        <f>'LUC-2012-08-10-Run2'!CD26</f>
        <v>3.4643333333333348E-5</v>
      </c>
      <c r="BC23" s="55">
        <f>'LUC-2012-08-10-Run2'!CE26</f>
        <v>3.4643333333333348E-5</v>
      </c>
      <c r="BD23" s="55">
        <f>'LUC-2012-08-10-Run2'!CF26</f>
        <v>3.4643333333333348E-5</v>
      </c>
      <c r="BE23" s="55">
        <f>'LUC-2012-08-10-Run2'!CG26</f>
        <v>3.4643333333333348E-5</v>
      </c>
      <c r="BF23" s="55">
        <f>'LUC-2012-08-10-Run2'!CH26</f>
        <v>3.4643333333333348E-5</v>
      </c>
      <c r="BG23" s="55">
        <f>'LUC-2012-08-10-Run2'!CI26</f>
        <v>3.4643333333333348E-5</v>
      </c>
      <c r="BH23" s="55">
        <f>'LUC-2012-08-10-Run2'!CJ26</f>
        <v>3.4643333333333348E-5</v>
      </c>
      <c r="BI23" s="55">
        <f>'LUC-2012-08-10-Run2'!CK26</f>
        <v>3.4643333333333348E-5</v>
      </c>
      <c r="BJ23" s="55">
        <f>'LUC-2012-08-10-Run2'!CL26</f>
        <v>3.4643333333333348E-5</v>
      </c>
      <c r="BK23" s="55">
        <f>'LUC-2012-08-10-Run2'!CM26</f>
        <v>3.4643333333333348E-5</v>
      </c>
      <c r="BM23" s="105"/>
      <c r="BN23" s="58" t="s">
        <v>104</v>
      </c>
      <c r="BO23" s="66">
        <f t="shared" si="8"/>
        <v>80.900000000000006</v>
      </c>
      <c r="BP23" s="66">
        <f t="shared" si="9"/>
        <v>80.3</v>
      </c>
      <c r="BQ23" s="66">
        <f t="shared" si="10"/>
        <v>80.193030303030298</v>
      </c>
      <c r="BR23" s="66">
        <f t="shared" si="11"/>
        <v>80.683939393939397</v>
      </c>
      <c r="BS23" s="66">
        <f t="shared" si="12"/>
        <v>81.751666666666679</v>
      </c>
      <c r="BT23" s="66">
        <f t="shared" si="13"/>
        <v>81.954166666666723</v>
      </c>
      <c r="BU23" s="66">
        <f t="shared" si="14"/>
        <v>82.156666666666752</v>
      </c>
      <c r="BV23" s="51">
        <f>SUM(BV13:BV17)</f>
        <v>578.79504032553496</v>
      </c>
      <c r="BW23" s="51">
        <f>SUM(BW13:BW17)</f>
        <v>689.52740919978396</v>
      </c>
      <c r="BX23" s="100">
        <f t="shared" si="15"/>
        <v>2.7386411004586317E-2</v>
      </c>
      <c r="BY23" s="100">
        <f>SUM(BX13:BX23)</f>
        <v>2.2442399719579154</v>
      </c>
      <c r="BZ23" s="101">
        <f>(BK24-'Sce 1 Table'!BK24)/'Sce 1 Table'!BK24</f>
        <v>9.3963604083445521E-2</v>
      </c>
      <c r="CA23" s="101">
        <f>SUM(BZ13:BZ23)</f>
        <v>1.4743651505918536</v>
      </c>
    </row>
    <row r="24" spans="1:79" x14ac:dyDescent="0.25">
      <c r="A24" s="54" t="s">
        <v>38</v>
      </c>
      <c r="B24" s="54" t="s">
        <v>104</v>
      </c>
      <c r="C24" s="54" t="s">
        <v>92</v>
      </c>
      <c r="D24" s="55">
        <f>'LUC-2012-08-10-Run2'!AF28</f>
        <v>8.0900000000000001E-5</v>
      </c>
      <c r="E24" s="55">
        <f>'LUC-2012-08-10-Run2'!AG28</f>
        <v>8.0833333333333338E-5</v>
      </c>
      <c r="F24" s="55">
        <f>'LUC-2012-08-10-Run2'!AH28</f>
        <v>8.0766666666666674E-5</v>
      </c>
      <c r="G24" s="55">
        <f>'LUC-2012-08-10-Run2'!AI28</f>
        <v>8.0699999999999996E-5</v>
      </c>
      <c r="H24" s="55">
        <f>'LUC-2012-08-10-Run2'!AJ28</f>
        <v>8.0633333333333333E-5</v>
      </c>
      <c r="I24" s="55">
        <f>'LUC-2012-08-10-Run2'!AK28</f>
        <v>8.0566666666666669E-5</v>
      </c>
      <c r="J24" s="55">
        <f>'LUC-2012-08-10-Run2'!AL28</f>
        <v>8.0500000000000005E-5</v>
      </c>
      <c r="K24" s="55">
        <f>'LUC-2012-08-10-Run2'!AM28</f>
        <v>8.0433333333333341E-5</v>
      </c>
      <c r="L24" s="55">
        <f>'LUC-2012-08-10-Run2'!AN28</f>
        <v>8.0366666666666664E-5</v>
      </c>
      <c r="M24" s="55">
        <f>'LUC-2012-08-10-Run2'!AO28</f>
        <v>8.03E-5</v>
      </c>
      <c r="N24" s="55">
        <f>'LUC-2012-08-10-Run2'!AP28</f>
        <v>8.0233333333333337E-5</v>
      </c>
      <c r="O24" s="55">
        <f>'LUC-2012-08-10-Run2'!AQ28</f>
        <v>8.0166666666666673E-5</v>
      </c>
      <c r="P24" s="55">
        <f>'LUC-2012-08-10-Run2'!AR28</f>
        <v>8.0100000000000009E-5</v>
      </c>
      <c r="Q24" s="55">
        <f>'LUC-2012-08-10-Run2'!AS28</f>
        <v>8.0033333333333332E-5</v>
      </c>
      <c r="R24" s="55">
        <f>'LUC-2012-08-10-Run2'!AT28</f>
        <v>7.9966666666666668E-5</v>
      </c>
      <c r="S24" s="55">
        <f>'LUC-2012-08-10-Run2'!AU28</f>
        <v>7.9996666666666666E-5</v>
      </c>
      <c r="T24" s="55">
        <f>'LUC-2012-08-10-Run2'!AV28</f>
        <v>8.0045757575757575E-5</v>
      </c>
      <c r="U24" s="55">
        <f>'LUC-2012-08-10-Run2'!AW28</f>
        <v>8.0094848484848485E-5</v>
      </c>
      <c r="V24" s="55">
        <f>'LUC-2012-08-10-Run2'!AX28</f>
        <v>8.0143939393939395E-5</v>
      </c>
      <c r="W24" s="55">
        <f>'LUC-2012-08-10-Run2'!AY28</f>
        <v>8.0193030303030304E-5</v>
      </c>
      <c r="X24" s="55">
        <f>'LUC-2012-08-10-Run2'!AZ28</f>
        <v>8.0242121212121214E-5</v>
      </c>
      <c r="Y24" s="55">
        <f>'LUC-2012-08-10-Run2'!BA28</f>
        <v>8.0291212121212123E-5</v>
      </c>
      <c r="Z24" s="55">
        <f>'LUC-2012-08-10-Run2'!BB28</f>
        <v>8.0340303030303033E-5</v>
      </c>
      <c r="AA24" s="55">
        <f>'LUC-2012-08-10-Run2'!BC28</f>
        <v>8.0389393939393942E-5</v>
      </c>
      <c r="AB24" s="55">
        <f>'LUC-2012-08-10-Run2'!BD28</f>
        <v>8.0438484848484852E-5</v>
      </c>
      <c r="AC24" s="55">
        <f>'LUC-2012-08-10-Run2'!BE28</f>
        <v>8.0487575757575761E-5</v>
      </c>
      <c r="AD24" s="55">
        <f>'LUC-2012-08-10-Run2'!BF28</f>
        <v>8.0536666666666671E-5</v>
      </c>
      <c r="AE24" s="55">
        <f>'LUC-2012-08-10-Run2'!BG28</f>
        <v>8.058575757575758E-5</v>
      </c>
      <c r="AF24" s="55">
        <f>'LUC-2012-08-10-Run2'!BH28</f>
        <v>8.063484848484849E-5</v>
      </c>
      <c r="AG24" s="55">
        <f>'LUC-2012-08-10-Run2'!BI28</f>
        <v>8.06839393939394E-5</v>
      </c>
      <c r="AH24" s="55">
        <f>'LUC-2012-08-10-Run2'!BJ28</f>
        <v>8.0733030303030309E-5</v>
      </c>
      <c r="AI24" s="55">
        <f>'LUC-2012-08-10-Run2'!BK28</f>
        <v>8.0782121212121219E-5</v>
      </c>
      <c r="AJ24" s="55">
        <f>'LUC-2012-08-10-Run2'!BL28</f>
        <v>8.0831212121212128E-5</v>
      </c>
      <c r="AK24" s="55">
        <f>'LUC-2012-08-10-Run2'!BM28</f>
        <v>8.0880303030303038E-5</v>
      </c>
      <c r="AL24" s="55">
        <f>'LUC-2012-08-10-Run2'!BN28</f>
        <v>8.0929393939393947E-5</v>
      </c>
      <c r="AM24" s="55">
        <f>'LUC-2012-08-10-Run2'!BO28</f>
        <v>8.0978484848484857E-5</v>
      </c>
      <c r="AN24" s="55">
        <f>'LUC-2012-08-10-Run2'!BP28</f>
        <v>8.1027575757575766E-5</v>
      </c>
      <c r="AO24" s="55">
        <f>'LUC-2012-08-10-Run2'!BQ28</f>
        <v>8.1076666666666676E-5</v>
      </c>
      <c r="AP24" s="55">
        <f>'LUC-2012-08-10-Run2'!BR28</f>
        <v>8.1125757575757585E-5</v>
      </c>
      <c r="AQ24" s="55">
        <f>'LUC-2012-08-10-Run2'!BS28</f>
        <v>8.1751666666666679E-5</v>
      </c>
      <c r="AR24" s="55">
        <f>'LUC-2012-08-10-Run2'!BT28</f>
        <v>8.1771916666666686E-5</v>
      </c>
      <c r="AS24" s="55">
        <f>'LUC-2012-08-10-Run2'!BU28</f>
        <v>8.1792166666666693E-5</v>
      </c>
      <c r="AT24" s="55">
        <f>'LUC-2012-08-10-Run2'!BV28</f>
        <v>8.1812416666666687E-5</v>
      </c>
      <c r="AU24" s="55">
        <f>'LUC-2012-08-10-Run2'!BW28</f>
        <v>8.1832666666666694E-5</v>
      </c>
      <c r="AV24" s="55">
        <f>'LUC-2012-08-10-Run2'!BX28</f>
        <v>8.1852916666666701E-5</v>
      </c>
      <c r="AW24" s="55">
        <f>'LUC-2012-08-10-Run2'!BY28</f>
        <v>8.1873166666666694E-5</v>
      </c>
      <c r="AX24" s="55">
        <f>'LUC-2012-08-10-Run2'!BZ28</f>
        <v>8.1893416666666702E-5</v>
      </c>
      <c r="AY24" s="55">
        <f>'LUC-2012-08-10-Run2'!CA28</f>
        <v>8.1913666666666709E-5</v>
      </c>
      <c r="AZ24" s="55">
        <f>'LUC-2012-08-10-Run2'!CB28</f>
        <v>8.1933916666666716E-5</v>
      </c>
      <c r="BA24" s="55">
        <f>'LUC-2012-08-10-Run2'!CC28</f>
        <v>8.1954166666666723E-5</v>
      </c>
      <c r="BB24" s="55">
        <f>'LUC-2012-08-10-Run2'!CD28</f>
        <v>8.1974416666666717E-5</v>
      </c>
      <c r="BC24" s="55">
        <f>'LUC-2012-08-10-Run2'!CE28</f>
        <v>8.1994666666666724E-5</v>
      </c>
      <c r="BD24" s="55">
        <f>'LUC-2012-08-10-Run2'!CF28</f>
        <v>8.2014916666666731E-5</v>
      </c>
      <c r="BE24" s="55">
        <f>'LUC-2012-08-10-Run2'!CG28</f>
        <v>8.2035166666666724E-5</v>
      </c>
      <c r="BF24" s="55">
        <f>'LUC-2012-08-10-Run2'!CH28</f>
        <v>8.2055416666666732E-5</v>
      </c>
      <c r="BG24" s="55">
        <f>'LUC-2012-08-10-Run2'!CI28</f>
        <v>8.2075666666666739E-5</v>
      </c>
      <c r="BH24" s="55">
        <f>'LUC-2012-08-10-Run2'!CJ28</f>
        <v>8.2095916666666746E-5</v>
      </c>
      <c r="BI24" s="55">
        <f>'LUC-2012-08-10-Run2'!CK28</f>
        <v>8.2116166666666753E-5</v>
      </c>
      <c r="BJ24" s="55">
        <f>'LUC-2012-08-10-Run2'!CL28</f>
        <v>8.2136416666666747E-5</v>
      </c>
      <c r="BK24" s="55">
        <f>'LUC-2012-08-10-Run2'!CM28</f>
        <v>8.2156666666666754E-5</v>
      </c>
      <c r="BN24" s="54" t="s">
        <v>112</v>
      </c>
    </row>
    <row r="25" spans="1:79" x14ac:dyDescent="0.25">
      <c r="BM25" s="60" t="s">
        <v>93</v>
      </c>
      <c r="BN25" s="60" t="s">
        <v>94</v>
      </c>
      <c r="BO25" s="60">
        <v>1991</v>
      </c>
      <c r="BP25" s="60">
        <v>2000</v>
      </c>
      <c r="BQ25" s="60">
        <v>2010</v>
      </c>
      <c r="BR25" s="60">
        <v>2020</v>
      </c>
      <c r="BS25" s="60">
        <v>2030</v>
      </c>
      <c r="BT25" s="60">
        <v>2040</v>
      </c>
      <c r="BU25" s="60">
        <v>2050</v>
      </c>
    </row>
    <row r="26" spans="1:79" x14ac:dyDescent="0.25">
      <c r="A26" s="56" t="s">
        <v>71</v>
      </c>
      <c r="B26" s="54" t="s">
        <v>99</v>
      </c>
      <c r="C26" s="56" t="s">
        <v>107</v>
      </c>
      <c r="D26" s="55">
        <f>'LUC-2012-08-10-Run2'!AF30</f>
        <v>2.8586557155908612E-3</v>
      </c>
      <c r="E26" s="55">
        <f>'LUC-2012-08-10-Run2'!AG30</f>
        <v>2.909963886131464E-3</v>
      </c>
      <c r="F26" s="55">
        <f>'LUC-2012-08-10-Run2'!AH30</f>
        <v>2.9612720566720677E-3</v>
      </c>
      <c r="G26" s="55">
        <f>'LUC-2012-08-10-Run2'!AI30</f>
        <v>3.0125802272126705E-3</v>
      </c>
      <c r="H26" s="55">
        <f>'LUC-2012-08-10-Run2'!AJ30</f>
        <v>3.0638883977532742E-3</v>
      </c>
      <c r="I26" s="55">
        <f>'LUC-2012-08-10-Run2'!AK30</f>
        <v>3.1151965682938766E-3</v>
      </c>
      <c r="J26" s="55">
        <f>'LUC-2012-08-10-Run2'!AL30</f>
        <v>3.1665047388344802E-3</v>
      </c>
      <c r="K26" s="55">
        <f>'LUC-2012-08-10-Run2'!AM30</f>
        <v>3.2178129093750835E-3</v>
      </c>
      <c r="L26" s="55">
        <f>'LUC-2012-08-10-Run2'!AN30</f>
        <v>3.2691210799156863E-3</v>
      </c>
      <c r="M26" s="55">
        <f>'LUC-2012-08-10-Run2'!AO30</f>
        <v>3.3204292504562887E-3</v>
      </c>
      <c r="N26" s="55">
        <f>'LUC-2012-08-10-Run2'!AP30</f>
        <v>3.3717374209968911E-3</v>
      </c>
      <c r="O26" s="55">
        <f>'LUC-2012-08-10-Run2'!AQ30</f>
        <v>3.4230455915374956E-3</v>
      </c>
      <c r="P26" s="55">
        <f>'LUC-2012-08-10-Run2'!AR30</f>
        <v>3.474353762078098E-3</v>
      </c>
      <c r="Q26" s="55">
        <f>'LUC-2012-08-10-Run2'!AS30</f>
        <v>3.5256619326187004E-3</v>
      </c>
      <c r="R26" s="55">
        <f>'LUC-2012-08-10-Run2'!AT30</f>
        <v>3.5769701031593041E-3</v>
      </c>
      <c r="S26" s="55">
        <f>'LUC-2012-08-10-Run2'!AU30</f>
        <v>3.6282782736999073E-3</v>
      </c>
      <c r="T26" s="55">
        <f>'LUC-2012-08-10-Run2'!AV30</f>
        <v>3.6601435786098075E-3</v>
      </c>
      <c r="U26" s="55">
        <f>'LUC-2012-08-10-Run2'!AW30</f>
        <v>3.6920088835197063E-3</v>
      </c>
      <c r="V26" s="55">
        <f>'LUC-2012-08-10-Run2'!AX30</f>
        <v>3.7238741884296055E-3</v>
      </c>
      <c r="W26" s="55">
        <f>'LUC-2012-08-10-Run2'!AY30</f>
        <v>3.7557394933395052E-3</v>
      </c>
      <c r="X26" s="55">
        <f>'LUC-2012-08-10-Run2'!AZ30</f>
        <v>3.7876047982494045E-3</v>
      </c>
      <c r="Y26" s="55">
        <f>'LUC-2012-08-10-Run2'!BA30</f>
        <v>3.8194701031593042E-3</v>
      </c>
      <c r="Z26" s="55">
        <f>'LUC-2012-08-10-Run2'!BB30</f>
        <v>3.8513354080692043E-3</v>
      </c>
      <c r="AA26" s="55">
        <f>'LUC-2012-08-10-Run2'!BC30</f>
        <v>3.8832007129791031E-3</v>
      </c>
      <c r="AB26" s="55">
        <f>'LUC-2012-08-10-Run2'!BD30</f>
        <v>3.9150660178890037E-3</v>
      </c>
      <c r="AC26" s="55">
        <f>'LUC-2012-08-10-Run2'!BE30</f>
        <v>3.9469313227989029E-3</v>
      </c>
      <c r="AD26" s="55">
        <f>'LUC-2012-08-10-Run2'!BF30</f>
        <v>3.9787966277088022E-3</v>
      </c>
      <c r="AE26" s="55">
        <f>'LUC-2012-08-10-Run2'!BG30</f>
        <v>4.0106619326187015E-3</v>
      </c>
      <c r="AF26" s="55">
        <f>'LUC-2012-08-10-Run2'!BH30</f>
        <v>4.0425272375286016E-3</v>
      </c>
      <c r="AG26" s="55">
        <f>'LUC-2012-08-10-Run2'!BI30</f>
        <v>4.0743925424385008E-3</v>
      </c>
      <c r="AH26" s="55">
        <f>'LUC-2012-08-10-Run2'!BJ30</f>
        <v>4.1062578473483992E-3</v>
      </c>
      <c r="AI26" s="55">
        <f>'LUC-2012-08-10-Run2'!BK30</f>
        <v>4.1381231522582993E-3</v>
      </c>
      <c r="AJ26" s="55">
        <f>'LUC-2012-08-10-Run2'!BL30</f>
        <v>4.1699884571681986E-3</v>
      </c>
      <c r="AK26" s="55">
        <f>'LUC-2012-08-10-Run2'!BM30</f>
        <v>4.2018537620780979E-3</v>
      </c>
      <c r="AL26" s="55">
        <f>'LUC-2012-08-10-Run2'!BN30</f>
        <v>4.233719066987998E-3</v>
      </c>
      <c r="AM26" s="55">
        <f>'LUC-2012-08-10-Run2'!BO30</f>
        <v>4.2655843718978972E-3</v>
      </c>
      <c r="AN26" s="55">
        <f>'LUC-2012-08-10-Run2'!BP30</f>
        <v>4.2974496768077956E-3</v>
      </c>
      <c r="AO26" s="55">
        <f>'LUC-2012-08-10-Run2'!BQ30</f>
        <v>4.3293149817176958E-3</v>
      </c>
      <c r="AP26" s="55">
        <f>'LUC-2012-08-10-Run2'!BR30</f>
        <v>4.3611802866275959E-3</v>
      </c>
      <c r="AQ26" s="55">
        <f>'LUC-2012-08-10-Run2'!BS30</f>
        <v>4.3930455915374969E-3</v>
      </c>
      <c r="AR26" s="55">
        <f>'LUC-2012-08-10-Run2'!BT30</f>
        <v>4.4249108964473944E-3</v>
      </c>
      <c r="AS26" s="55">
        <f>'LUC-2012-08-10-Run2'!BU30</f>
        <v>4.4567762013572945E-3</v>
      </c>
      <c r="AT26" s="55">
        <f>'LUC-2012-08-10-Run2'!BV30</f>
        <v>4.4886415062671938E-3</v>
      </c>
      <c r="AU26" s="55">
        <f>'LUC-2012-08-10-Run2'!BW30</f>
        <v>4.520506811177093E-3</v>
      </c>
      <c r="AV26" s="55">
        <f>'LUC-2012-08-10-Run2'!BX30</f>
        <v>4.5523721160869923E-3</v>
      </c>
      <c r="AW26" s="55">
        <f>'LUC-2012-08-10-Run2'!BY30</f>
        <v>4.5842374209968924E-3</v>
      </c>
      <c r="AX26" s="55">
        <f>'LUC-2012-08-10-Run2'!BZ30</f>
        <v>4.6161027259067908E-3</v>
      </c>
      <c r="AY26" s="55">
        <f>'LUC-2012-08-10-Run2'!CA30</f>
        <v>4.6479680308166918E-3</v>
      </c>
      <c r="AZ26" s="55">
        <f>'LUC-2012-08-10-Run2'!CB30</f>
        <v>4.6798333357265902E-3</v>
      </c>
      <c r="BA26" s="55">
        <f>'LUC-2012-08-10-Run2'!CC30</f>
        <v>4.7116986406364903E-3</v>
      </c>
      <c r="BB26" s="55">
        <f>'LUC-2012-08-10-Run2'!CD30</f>
        <v>4.7435639455463896E-3</v>
      </c>
      <c r="BC26" s="55">
        <f>'LUC-2012-08-10-Run2'!CE30</f>
        <v>4.7754292504562897E-3</v>
      </c>
      <c r="BD26" s="55">
        <f>'LUC-2012-08-10-Run2'!CF30</f>
        <v>4.8072945553661881E-3</v>
      </c>
      <c r="BE26" s="55">
        <f>'LUC-2012-08-10-Run2'!CG30</f>
        <v>4.8391598602760891E-3</v>
      </c>
      <c r="BF26" s="55">
        <f>'LUC-2012-08-10-Run2'!CH30</f>
        <v>4.8710251651859866E-3</v>
      </c>
      <c r="BG26" s="55">
        <f>'LUC-2012-08-10-Run2'!CI30</f>
        <v>4.9028904700958876E-3</v>
      </c>
      <c r="BH26" s="55">
        <f>'LUC-2012-08-10-Run2'!CJ30</f>
        <v>4.9347557750057851E-3</v>
      </c>
      <c r="BI26" s="55">
        <f>'LUC-2012-08-10-Run2'!CK30</f>
        <v>4.9666210799156861E-3</v>
      </c>
      <c r="BJ26" s="55">
        <f>'LUC-2012-08-10-Run2'!CL30</f>
        <v>4.9984863848255862E-3</v>
      </c>
      <c r="BK26" s="55">
        <f>'LUC-2012-08-10-Run2'!CM30</f>
        <v>5.0303516897354846E-3</v>
      </c>
      <c r="BM26" s="103" t="s">
        <v>71</v>
      </c>
      <c r="BN26" s="59" t="s">
        <v>99</v>
      </c>
      <c r="BO26" s="85">
        <f t="shared" ref="BO26:BO32" si="16">D26*1000</f>
        <v>2.8586557155908614</v>
      </c>
      <c r="BP26" s="85">
        <f t="shared" ref="BP26:BP32" si="17">M26*1000</f>
        <v>3.3204292504562889</v>
      </c>
      <c r="BQ26" s="85">
        <f t="shared" ref="BQ26:BQ32" si="18">W26*1000</f>
        <v>3.7557394933395054</v>
      </c>
      <c r="BR26" s="85">
        <f t="shared" ref="BR26:BR32" si="19">AG26*1000</f>
        <v>4.0743925424385008</v>
      </c>
      <c r="BS26" s="85">
        <f t="shared" ref="BS26:BS32" si="20">AQ26*1000</f>
        <v>4.3930455915374971</v>
      </c>
      <c r="BT26" s="85">
        <f t="shared" ref="BT26:BT32" si="21">BA26*1000</f>
        <v>4.7116986406364907</v>
      </c>
      <c r="BU26" s="85">
        <f t="shared" ref="BU26:BU32" si="22">BK26*1000</f>
        <v>5.0303516897354843</v>
      </c>
    </row>
    <row r="27" spans="1:79" x14ac:dyDescent="0.25">
      <c r="A27" s="56" t="s">
        <v>71</v>
      </c>
      <c r="B27" s="54" t="s">
        <v>100</v>
      </c>
      <c r="C27" s="56" t="s">
        <v>107</v>
      </c>
      <c r="D27" s="55">
        <f>'LUC-2012-08-10-Run2'!AF31</f>
        <v>2.21991625074704E-3</v>
      </c>
      <c r="E27" s="55">
        <f>'LUC-2012-08-10-Run2'!AG31</f>
        <v>2.2566263371078163E-3</v>
      </c>
      <c r="F27" s="55">
        <f>'LUC-2012-08-10-Run2'!AH31</f>
        <v>2.2933364234685931E-3</v>
      </c>
      <c r="G27" s="55">
        <f>'LUC-2012-08-10-Run2'!AI31</f>
        <v>2.3300465098293689E-3</v>
      </c>
      <c r="H27" s="55">
        <f>'LUC-2012-08-10-Run2'!AJ31</f>
        <v>2.3667565961901457E-3</v>
      </c>
      <c r="I27" s="55">
        <f>'LUC-2012-08-10-Run2'!AK31</f>
        <v>2.403466682550922E-3</v>
      </c>
      <c r="J27" s="55">
        <f>'LUC-2012-08-10-Run2'!AL31</f>
        <v>2.4401767689116983E-3</v>
      </c>
      <c r="K27" s="55">
        <f>'LUC-2012-08-10-Run2'!AM31</f>
        <v>2.4768868552724754E-3</v>
      </c>
      <c r="L27" s="55">
        <f>'LUC-2012-08-10-Run2'!AN31</f>
        <v>2.5135969416332517E-3</v>
      </c>
      <c r="M27" s="55">
        <f>'LUC-2012-08-10-Run2'!AO31</f>
        <v>2.5503070279940276E-3</v>
      </c>
      <c r="N27" s="55">
        <f>'LUC-2012-08-10-Run2'!AP31</f>
        <v>2.5870171143548043E-3</v>
      </c>
      <c r="O27" s="55">
        <f>'LUC-2012-08-10-Run2'!AQ31</f>
        <v>2.6237272007155811E-3</v>
      </c>
      <c r="P27" s="55">
        <f>'LUC-2012-08-10-Run2'!AR31</f>
        <v>2.6604372870763569E-3</v>
      </c>
      <c r="Q27" s="55">
        <f>'LUC-2012-08-10-Run2'!AS31</f>
        <v>2.6971473734371336E-3</v>
      </c>
      <c r="R27" s="55">
        <f>'LUC-2012-08-10-Run2'!AT31</f>
        <v>2.7338574597979095E-3</v>
      </c>
      <c r="S27" s="55">
        <f>'LUC-2012-08-10-Run2'!AU31</f>
        <v>2.7705675461586858E-3</v>
      </c>
      <c r="T27" s="55">
        <f>'LUC-2012-08-10-Run2'!AV31</f>
        <v>2.7941732069956472E-3</v>
      </c>
      <c r="U27" s="55">
        <f>'LUC-2012-08-10-Run2'!AW31</f>
        <v>2.8177788678326082E-3</v>
      </c>
      <c r="V27" s="55">
        <f>'LUC-2012-08-10-Run2'!AX31</f>
        <v>2.8413845286695688E-3</v>
      </c>
      <c r="W27" s="55">
        <f>'LUC-2012-08-10-Run2'!AY31</f>
        <v>2.8649901895065294E-3</v>
      </c>
      <c r="X27" s="55">
        <f>'LUC-2012-08-10-Run2'!AZ31</f>
        <v>2.8885958503434904E-3</v>
      </c>
      <c r="Y27" s="55">
        <f>'LUC-2012-08-10-Run2'!BA31</f>
        <v>2.9122015111804514E-3</v>
      </c>
      <c r="Z27" s="55">
        <f>'LUC-2012-08-10-Run2'!BB31</f>
        <v>2.9358071720174115E-3</v>
      </c>
      <c r="AA27" s="55">
        <f>'LUC-2012-08-10-Run2'!BC31</f>
        <v>2.9594128328543738E-3</v>
      </c>
      <c r="AB27" s="55">
        <f>'LUC-2012-08-10-Run2'!BD31</f>
        <v>2.9830184936913344E-3</v>
      </c>
      <c r="AC27" s="55">
        <f>'LUC-2012-08-10-Run2'!BE31</f>
        <v>3.0066241545282949E-3</v>
      </c>
      <c r="AD27" s="55">
        <f>'LUC-2012-08-10-Run2'!BF31</f>
        <v>3.030229815365256E-3</v>
      </c>
      <c r="AE27" s="55">
        <f>'LUC-2012-08-10-Run2'!BG31</f>
        <v>3.0538354762022174E-3</v>
      </c>
      <c r="AF27" s="55">
        <f>'LUC-2012-08-10-Run2'!BH31</f>
        <v>3.0774411370391771E-3</v>
      </c>
      <c r="AG27" s="55">
        <f>'LUC-2012-08-10-Run2'!BI31</f>
        <v>3.1010467978761381E-3</v>
      </c>
      <c r="AH27" s="55">
        <f>'LUC-2012-08-10-Run2'!BJ31</f>
        <v>3.1246524587130987E-3</v>
      </c>
      <c r="AI27" s="55">
        <f>'LUC-2012-08-10-Run2'!BK31</f>
        <v>3.1482581195500597E-3</v>
      </c>
      <c r="AJ27" s="55">
        <f>'LUC-2012-08-10-Run2'!BL31</f>
        <v>3.1718637803870211E-3</v>
      </c>
      <c r="AK27" s="55">
        <f>'LUC-2012-08-10-Run2'!BM31</f>
        <v>3.1954694412239821E-3</v>
      </c>
      <c r="AL27" s="55">
        <f>'LUC-2012-08-10-Run2'!BN31</f>
        <v>3.2190751020609435E-3</v>
      </c>
      <c r="AM27" s="55">
        <f>'LUC-2012-08-10-Run2'!BO31</f>
        <v>3.2426807628979037E-3</v>
      </c>
      <c r="AN27" s="55">
        <f>'LUC-2012-08-10-Run2'!BP31</f>
        <v>3.2662864237348651E-3</v>
      </c>
      <c r="AO27" s="55">
        <f>'LUC-2012-08-10-Run2'!BQ31</f>
        <v>3.2898920845718252E-3</v>
      </c>
      <c r="AP27" s="55">
        <f>'LUC-2012-08-10-Run2'!BR31</f>
        <v>3.3134977454087858E-3</v>
      </c>
      <c r="AQ27" s="55">
        <f>'LUC-2012-08-10-Run2'!BS31</f>
        <v>3.3371034062457468E-3</v>
      </c>
      <c r="AR27" s="55">
        <f>'LUC-2012-08-10-Run2'!BT31</f>
        <v>3.3607090670827078E-3</v>
      </c>
      <c r="AS27" s="55">
        <f>'LUC-2012-08-10-Run2'!BU31</f>
        <v>3.3843147279196684E-3</v>
      </c>
      <c r="AT27" s="55">
        <f>'LUC-2012-08-10-Run2'!BV31</f>
        <v>3.4079203887566302E-3</v>
      </c>
      <c r="AU27" s="55">
        <f>'LUC-2012-08-10-Run2'!BW31</f>
        <v>3.4315260495935899E-3</v>
      </c>
      <c r="AV27" s="55">
        <f>'LUC-2012-08-10-Run2'!BX31</f>
        <v>3.4551317104305514E-3</v>
      </c>
      <c r="AW27" s="55">
        <f>'LUC-2012-08-10-Run2'!BY31</f>
        <v>3.4787373712675128E-3</v>
      </c>
      <c r="AX27" s="55">
        <f>'LUC-2012-08-10-Run2'!BZ31</f>
        <v>3.5023430321044729E-3</v>
      </c>
      <c r="AY27" s="55">
        <f>'LUC-2012-08-10-Run2'!CA31</f>
        <v>3.5259486929414339E-3</v>
      </c>
      <c r="AZ27" s="55">
        <f>'LUC-2012-08-10-Run2'!CB31</f>
        <v>3.5495543537783945E-3</v>
      </c>
      <c r="BA27" s="55">
        <f>'LUC-2012-08-10-Run2'!CC31</f>
        <v>3.5731600146153551E-3</v>
      </c>
      <c r="BB27" s="55">
        <f>'LUC-2012-08-10-Run2'!CD31</f>
        <v>3.5967656754523165E-3</v>
      </c>
      <c r="BC27" s="55">
        <f>'LUC-2012-08-10-Run2'!CE31</f>
        <v>3.6203713362892771E-3</v>
      </c>
      <c r="BD27" s="55">
        <f>'LUC-2012-08-10-Run2'!CF31</f>
        <v>3.6439769971262381E-3</v>
      </c>
      <c r="BE27" s="55">
        <f>'LUC-2012-08-10-Run2'!CG31</f>
        <v>3.6675826579631995E-3</v>
      </c>
      <c r="BF27" s="55">
        <f>'LUC-2012-08-10-Run2'!CH31</f>
        <v>3.6911883188001609E-3</v>
      </c>
      <c r="BG27" s="55">
        <f>'LUC-2012-08-10-Run2'!CI31</f>
        <v>3.7147939796371206E-3</v>
      </c>
      <c r="BH27" s="55">
        <f>'LUC-2012-08-10-Run2'!CJ31</f>
        <v>3.7383996404740821E-3</v>
      </c>
      <c r="BI27" s="55">
        <f>'LUC-2012-08-10-Run2'!CK31</f>
        <v>3.7620053013110422E-3</v>
      </c>
      <c r="BJ27" s="55">
        <f>'LUC-2012-08-10-Run2'!CL31</f>
        <v>3.7856109621480032E-3</v>
      </c>
      <c r="BK27" s="55">
        <f>'LUC-2012-08-10-Run2'!CM31</f>
        <v>3.8092166229849646E-3</v>
      </c>
      <c r="BM27" s="104"/>
      <c r="BN27" s="57" t="s">
        <v>100</v>
      </c>
      <c r="BO27" s="83">
        <f t="shared" si="16"/>
        <v>2.21991625074704</v>
      </c>
      <c r="BP27" s="83">
        <f t="shared" si="17"/>
        <v>2.5503070279940276</v>
      </c>
      <c r="BQ27" s="83">
        <f t="shared" si="18"/>
        <v>2.8649901895065293</v>
      </c>
      <c r="BR27" s="83">
        <f t="shared" si="19"/>
        <v>3.1010467978761382</v>
      </c>
      <c r="BS27" s="83">
        <f t="shared" si="20"/>
        <v>3.3371034062457468</v>
      </c>
      <c r="BT27" s="83">
        <f t="shared" si="21"/>
        <v>3.5731600146153553</v>
      </c>
      <c r="BU27" s="83">
        <f t="shared" si="22"/>
        <v>3.8092166229849647</v>
      </c>
    </row>
    <row r="28" spans="1:79" x14ac:dyDescent="0.25">
      <c r="A28" s="56" t="s">
        <v>71</v>
      </c>
      <c r="B28" s="54" t="s">
        <v>101</v>
      </c>
      <c r="C28" s="56" t="s">
        <v>107</v>
      </c>
      <c r="D28" s="55">
        <f>'LUC-2012-08-10-Run2'!AF32</f>
        <v>3.2695631189309741E-3</v>
      </c>
      <c r="E28" s="55">
        <f>'LUC-2012-08-10-Run2'!AG32</f>
        <v>3.3190680876783053E-3</v>
      </c>
      <c r="F28" s="55">
        <f>'LUC-2012-08-10-Run2'!AH32</f>
        <v>3.3685730564256351E-3</v>
      </c>
      <c r="G28" s="55">
        <f>'LUC-2012-08-10-Run2'!AI32</f>
        <v>3.4180780251729654E-3</v>
      </c>
      <c r="H28" s="55">
        <f>'LUC-2012-08-10-Run2'!AJ32</f>
        <v>3.4675829939202975E-3</v>
      </c>
      <c r="I28" s="55">
        <f>'LUC-2012-08-10-Run2'!AK32</f>
        <v>3.5170879626676278E-3</v>
      </c>
      <c r="J28" s="55">
        <f>'LUC-2012-08-10-Run2'!AL32</f>
        <v>3.566592931414959E-3</v>
      </c>
      <c r="K28" s="55">
        <f>'LUC-2012-08-10-Run2'!AM32</f>
        <v>3.6160979001622893E-3</v>
      </c>
      <c r="L28" s="55">
        <f>'LUC-2012-08-10-Run2'!AN32</f>
        <v>3.66560286890962E-3</v>
      </c>
      <c r="M28" s="55">
        <f>'LUC-2012-08-10-Run2'!AO32</f>
        <v>3.7151078376569512E-3</v>
      </c>
      <c r="N28" s="55">
        <f>'LUC-2012-08-10-Run2'!AP32</f>
        <v>3.764612806404282E-3</v>
      </c>
      <c r="O28" s="55">
        <f>'LUC-2012-08-10-Run2'!AQ32</f>
        <v>3.8141177751516123E-3</v>
      </c>
      <c r="P28" s="55">
        <f>'LUC-2012-08-10-Run2'!AR32</f>
        <v>3.8636227438989435E-3</v>
      </c>
      <c r="Q28" s="55">
        <f>'LUC-2012-08-10-Run2'!AS32</f>
        <v>3.9131277126462733E-3</v>
      </c>
      <c r="R28" s="55">
        <f>'LUC-2012-08-10-Run2'!AT32</f>
        <v>3.9626326813936045E-3</v>
      </c>
      <c r="S28" s="55">
        <f>'LUC-2012-08-10-Run2'!AU32</f>
        <v>4.0121376501409357E-3</v>
      </c>
      <c r="T28" s="55">
        <f>'LUC-2012-08-10-Run2'!AV32</f>
        <v>4.0409850921853223E-3</v>
      </c>
      <c r="U28" s="55">
        <f>'LUC-2012-08-10-Run2'!AW32</f>
        <v>4.0698325342297097E-3</v>
      </c>
      <c r="V28" s="55">
        <f>'LUC-2012-08-10-Run2'!AX32</f>
        <v>4.0986799762740963E-3</v>
      </c>
      <c r="W28" s="55">
        <f>'LUC-2012-08-10-Run2'!AY32</f>
        <v>4.127527418318482E-3</v>
      </c>
      <c r="X28" s="55">
        <f>'LUC-2012-08-10-Run2'!AZ32</f>
        <v>4.1563748603628704E-3</v>
      </c>
      <c r="Y28" s="55">
        <f>'LUC-2012-08-10-Run2'!BA32</f>
        <v>4.1852223024072561E-3</v>
      </c>
      <c r="Z28" s="55">
        <f>'LUC-2012-08-10-Run2'!BB32</f>
        <v>4.2140697444516435E-3</v>
      </c>
      <c r="AA28" s="55">
        <f>'LUC-2012-08-10-Run2'!BC32</f>
        <v>4.2429171864960301E-3</v>
      </c>
      <c r="AB28" s="55">
        <f>'LUC-2012-08-10-Run2'!BD32</f>
        <v>4.2717646285404158E-3</v>
      </c>
      <c r="AC28" s="55">
        <f>'LUC-2012-08-10-Run2'!BE32</f>
        <v>4.3006120705848042E-3</v>
      </c>
      <c r="AD28" s="55">
        <f>'LUC-2012-08-10-Run2'!BF32</f>
        <v>4.3294595126291899E-3</v>
      </c>
      <c r="AE28" s="55">
        <f>'LUC-2012-08-10-Run2'!BG32</f>
        <v>4.3583069546735782E-3</v>
      </c>
      <c r="AF28" s="55">
        <f>'LUC-2012-08-10-Run2'!BH32</f>
        <v>4.3871543967179639E-3</v>
      </c>
      <c r="AG28" s="55">
        <f>'LUC-2012-08-10-Run2'!BI32</f>
        <v>4.4160018387623514E-3</v>
      </c>
      <c r="AH28" s="55">
        <f>'LUC-2012-08-10-Run2'!BJ32</f>
        <v>4.444849280806738E-3</v>
      </c>
      <c r="AI28" s="55">
        <f>'LUC-2012-08-10-Run2'!BK32</f>
        <v>4.4736967228511245E-3</v>
      </c>
      <c r="AJ28" s="55">
        <f>'LUC-2012-08-10-Run2'!BL32</f>
        <v>4.5025441648955111E-3</v>
      </c>
      <c r="AK28" s="55">
        <f>'LUC-2012-08-10-Run2'!BM32</f>
        <v>4.5313916069398994E-3</v>
      </c>
      <c r="AL28" s="55">
        <f>'LUC-2012-08-10-Run2'!BN32</f>
        <v>4.5602390489842852E-3</v>
      </c>
      <c r="AM28" s="55">
        <f>'LUC-2012-08-10-Run2'!BO32</f>
        <v>4.5890864910286726E-3</v>
      </c>
      <c r="AN28" s="55">
        <f>'LUC-2012-08-10-Run2'!BP32</f>
        <v>4.6179339330730601E-3</v>
      </c>
      <c r="AO28" s="55">
        <f>'LUC-2012-08-10-Run2'!BQ32</f>
        <v>4.6467813751174458E-3</v>
      </c>
      <c r="AP28" s="55">
        <f>'LUC-2012-08-10-Run2'!BR32</f>
        <v>4.6756288171618332E-3</v>
      </c>
      <c r="AQ28" s="55">
        <f>'LUC-2012-08-10-Run2'!BS32</f>
        <v>4.7044762592062198E-3</v>
      </c>
      <c r="AR28" s="55">
        <f>'LUC-2012-08-10-Run2'!BT32</f>
        <v>4.7333237012506073E-3</v>
      </c>
      <c r="AS28" s="55">
        <f>'LUC-2012-08-10-Run2'!BU32</f>
        <v>4.762171143294993E-3</v>
      </c>
      <c r="AT28" s="55">
        <f>'LUC-2012-08-10-Run2'!BV32</f>
        <v>4.7910185853393805E-3</v>
      </c>
      <c r="AU28" s="55">
        <f>'LUC-2012-08-10-Run2'!BW32</f>
        <v>4.8198660273837679E-3</v>
      </c>
      <c r="AV28" s="55">
        <f>'LUC-2012-08-10-Run2'!BX32</f>
        <v>4.8487134694281545E-3</v>
      </c>
      <c r="AW28" s="55">
        <f>'LUC-2012-08-10-Run2'!BY32</f>
        <v>4.8775609114725419E-3</v>
      </c>
      <c r="AX28" s="55">
        <f>'LUC-2012-08-10-Run2'!BZ32</f>
        <v>4.9064083535169277E-3</v>
      </c>
      <c r="AY28" s="55">
        <f>'LUC-2012-08-10-Run2'!CA32</f>
        <v>4.9352557955613151E-3</v>
      </c>
      <c r="AZ28" s="55">
        <f>'LUC-2012-08-10-Run2'!CB32</f>
        <v>4.9641032376057017E-3</v>
      </c>
      <c r="BA28" s="55">
        <f>'LUC-2012-08-10-Run2'!CC32</f>
        <v>4.9929506796500883E-3</v>
      </c>
      <c r="BB28" s="55">
        <f>'LUC-2012-08-10-Run2'!CD32</f>
        <v>5.0217981216944757E-3</v>
      </c>
      <c r="BC28" s="55">
        <f>'LUC-2012-08-10-Run2'!CE32</f>
        <v>5.0506455637388623E-3</v>
      </c>
      <c r="BD28" s="55">
        <f>'LUC-2012-08-10-Run2'!CF32</f>
        <v>5.0794930057832489E-3</v>
      </c>
      <c r="BE28" s="55">
        <f>'LUC-2012-08-10-Run2'!CG32</f>
        <v>5.1083404478276355E-3</v>
      </c>
      <c r="BF28" s="55">
        <f>'LUC-2012-08-10-Run2'!CH32</f>
        <v>5.1371878898720212E-3</v>
      </c>
      <c r="BG28" s="55">
        <f>'LUC-2012-08-10-Run2'!CI32</f>
        <v>5.1660353319164087E-3</v>
      </c>
      <c r="BH28" s="55">
        <f>'LUC-2012-08-10-Run2'!CJ32</f>
        <v>5.1948827739607961E-3</v>
      </c>
      <c r="BI28" s="55">
        <f>'LUC-2012-08-10-Run2'!CK32</f>
        <v>5.2237302160051836E-3</v>
      </c>
      <c r="BJ28" s="55">
        <f>'LUC-2012-08-10-Run2'!CL32</f>
        <v>5.252577658049571E-3</v>
      </c>
      <c r="BK28" s="55">
        <f>'LUC-2012-08-10-Run2'!CM32</f>
        <v>5.2814251000939559E-3</v>
      </c>
      <c r="BM28" s="104"/>
      <c r="BN28" s="57" t="s">
        <v>101</v>
      </c>
      <c r="BO28" s="83">
        <f t="shared" si="16"/>
        <v>3.2695631189309742</v>
      </c>
      <c r="BP28" s="83">
        <f t="shared" si="17"/>
        <v>3.7151078376569511</v>
      </c>
      <c r="BQ28" s="83">
        <f t="shared" si="18"/>
        <v>4.1275274183184818</v>
      </c>
      <c r="BR28" s="83">
        <f t="shared" si="19"/>
        <v>4.4160018387623516</v>
      </c>
      <c r="BS28" s="83">
        <f t="shared" si="20"/>
        <v>4.7044762592062197</v>
      </c>
      <c r="BT28" s="83">
        <f t="shared" si="21"/>
        <v>4.9929506796500887</v>
      </c>
      <c r="BU28" s="83">
        <f t="shared" si="22"/>
        <v>5.2814251000939558</v>
      </c>
      <c r="BW28" s="54" t="s">
        <v>139</v>
      </c>
    </row>
    <row r="29" spans="1:79" x14ac:dyDescent="0.25">
      <c r="A29" s="56" t="s">
        <v>71</v>
      </c>
      <c r="B29" s="54" t="s">
        <v>111</v>
      </c>
      <c r="C29" s="56" t="s">
        <v>107</v>
      </c>
      <c r="D29" s="55">
        <f>'LUC-2012-08-10-Run2'!AF33</f>
        <v>1.4251346260975677E-3</v>
      </c>
      <c r="E29" s="55">
        <f>'LUC-2012-08-10-Run2'!AG33</f>
        <v>1.4394010133432365E-3</v>
      </c>
      <c r="F29" s="55">
        <f>'LUC-2012-08-10-Run2'!AH33</f>
        <v>1.4536674005889065E-3</v>
      </c>
      <c r="G29" s="55">
        <f>'LUC-2012-08-10-Run2'!AI33</f>
        <v>1.4679337878345756E-3</v>
      </c>
      <c r="H29" s="55">
        <f>'LUC-2012-08-10-Run2'!AJ33</f>
        <v>1.4822001750802451E-3</v>
      </c>
      <c r="I29" s="55">
        <f>'LUC-2012-08-10-Run2'!AK33</f>
        <v>1.4964665623259147E-3</v>
      </c>
      <c r="J29" s="55">
        <f>'LUC-2012-08-10-Run2'!AL33</f>
        <v>1.5107329495715842E-3</v>
      </c>
      <c r="K29" s="55">
        <f>'LUC-2012-08-10-Run2'!AM33</f>
        <v>1.5249993368172535E-3</v>
      </c>
      <c r="L29" s="55">
        <f>'LUC-2012-08-10-Run2'!AN33</f>
        <v>1.5392657240629226E-3</v>
      </c>
      <c r="M29" s="55">
        <f>'LUC-2012-08-10-Run2'!AO33</f>
        <v>1.5535321113085924E-3</v>
      </c>
      <c r="N29" s="55">
        <f>'LUC-2012-08-10-Run2'!AP33</f>
        <v>1.5677984985542617E-3</v>
      </c>
      <c r="O29" s="55">
        <f>'LUC-2012-08-10-Run2'!AQ33</f>
        <v>1.5820648857999312E-3</v>
      </c>
      <c r="P29" s="55">
        <f>'LUC-2012-08-10-Run2'!AR33</f>
        <v>1.5963312730456008E-3</v>
      </c>
      <c r="Q29" s="55">
        <f>'LUC-2012-08-10-Run2'!AS33</f>
        <v>1.6105976602912699E-3</v>
      </c>
      <c r="R29" s="55">
        <f>'LUC-2012-08-10-Run2'!AT33</f>
        <v>1.6248640475369394E-3</v>
      </c>
      <c r="S29" s="55">
        <f>'LUC-2012-08-10-Run2'!AU33</f>
        <v>1.6391304347826087E-3</v>
      </c>
      <c r="T29" s="55">
        <f>'LUC-2012-08-10-Run2'!AV33</f>
        <v>1.6512056578914661E-3</v>
      </c>
      <c r="U29" s="55">
        <f>'LUC-2012-08-10-Run2'!AW33</f>
        <v>1.6632808810003231E-3</v>
      </c>
      <c r="V29" s="55">
        <f>'LUC-2012-08-10-Run2'!AX33</f>
        <v>1.6753561041091803E-3</v>
      </c>
      <c r="W29" s="55">
        <f>'LUC-2012-08-10-Run2'!AY33</f>
        <v>1.6874313272180379E-3</v>
      </c>
      <c r="X29" s="55">
        <f>'LUC-2012-08-10-Run2'!AZ33</f>
        <v>1.6995065503268951E-3</v>
      </c>
      <c r="Y29" s="55">
        <f>'LUC-2012-08-10-Run2'!BA33</f>
        <v>1.7115817734357521E-3</v>
      </c>
      <c r="Z29" s="55">
        <f>'LUC-2012-08-10-Run2'!BB33</f>
        <v>1.7236569965446093E-3</v>
      </c>
      <c r="AA29" s="55">
        <f>'LUC-2012-08-10-Run2'!BC33</f>
        <v>1.7357322196534667E-3</v>
      </c>
      <c r="AB29" s="55">
        <f>'LUC-2012-08-10-Run2'!BD33</f>
        <v>1.7478074427623236E-3</v>
      </c>
      <c r="AC29" s="55">
        <f>'LUC-2012-08-10-Run2'!BE33</f>
        <v>1.759882665871181E-3</v>
      </c>
      <c r="AD29" s="55">
        <f>'LUC-2012-08-10-Run2'!BF33</f>
        <v>1.7719578889800382E-3</v>
      </c>
      <c r="AE29" s="55">
        <f>'LUC-2012-08-10-Run2'!BG33</f>
        <v>1.7840331120888959E-3</v>
      </c>
      <c r="AF29" s="55">
        <f>'LUC-2012-08-10-Run2'!BH33</f>
        <v>1.7961083351977531E-3</v>
      </c>
      <c r="AG29" s="55">
        <f>'LUC-2012-08-10-Run2'!BI33</f>
        <v>1.8081835583066094E-3</v>
      </c>
      <c r="AH29" s="55">
        <f>'LUC-2012-08-10-Run2'!BJ33</f>
        <v>1.8202587814154672E-3</v>
      </c>
      <c r="AI29" s="55">
        <f>'LUC-2012-08-10-Run2'!BK33</f>
        <v>1.8323340045243244E-3</v>
      </c>
      <c r="AJ29" s="55">
        <f>'LUC-2012-08-10-Run2'!BL33</f>
        <v>1.844409227633182E-3</v>
      </c>
      <c r="AK29" s="55">
        <f>'LUC-2012-08-10-Run2'!BM33</f>
        <v>1.8564844507420388E-3</v>
      </c>
      <c r="AL29" s="55">
        <f>'LUC-2012-08-10-Run2'!BN33</f>
        <v>1.8685596738508962E-3</v>
      </c>
      <c r="AM29" s="55">
        <f>'LUC-2012-08-10-Run2'!BO33</f>
        <v>1.8806348969597534E-3</v>
      </c>
      <c r="AN29" s="55">
        <f>'LUC-2012-08-10-Run2'!BP33</f>
        <v>1.8927101200686108E-3</v>
      </c>
      <c r="AO29" s="55">
        <f>'LUC-2012-08-10-Run2'!BQ33</f>
        <v>1.9047853431774678E-3</v>
      </c>
      <c r="AP29" s="55">
        <f>'LUC-2012-08-10-Run2'!BR33</f>
        <v>1.9168605662863256E-3</v>
      </c>
      <c r="AQ29" s="55">
        <f>'LUC-2012-08-10-Run2'!BS33</f>
        <v>1.9289357893951824E-3</v>
      </c>
      <c r="AR29" s="55">
        <f>'LUC-2012-08-10-Run2'!BT33</f>
        <v>1.9410110125040402E-3</v>
      </c>
      <c r="AS29" s="55">
        <f>'LUC-2012-08-10-Run2'!BU33</f>
        <v>1.9530862356128972E-3</v>
      </c>
      <c r="AT29" s="55">
        <f>'LUC-2012-08-10-Run2'!BV33</f>
        <v>1.9651614587217541E-3</v>
      </c>
      <c r="AU29" s="55">
        <f>'LUC-2012-08-10-Run2'!BW33</f>
        <v>1.9772366818306113E-3</v>
      </c>
      <c r="AV29" s="55">
        <f>'LUC-2012-08-10-Run2'!BX33</f>
        <v>1.989311904939469E-3</v>
      </c>
      <c r="AW29" s="55">
        <f>'LUC-2012-08-10-Run2'!BY33</f>
        <v>2.0013871280483257E-3</v>
      </c>
      <c r="AX29" s="55">
        <f>'LUC-2012-08-10-Run2'!BZ33</f>
        <v>2.0134623511571829E-3</v>
      </c>
      <c r="AY29" s="55">
        <f>'LUC-2012-08-10-Run2'!CA33</f>
        <v>2.0255375742660405E-3</v>
      </c>
      <c r="AZ29" s="55">
        <f>'LUC-2012-08-10-Run2'!CB33</f>
        <v>2.0376127973748973E-3</v>
      </c>
      <c r="BA29" s="55">
        <f>'LUC-2012-08-10-Run2'!CC33</f>
        <v>2.0496880204837549E-3</v>
      </c>
      <c r="BB29" s="55">
        <f>'LUC-2012-08-10-Run2'!CD33</f>
        <v>2.0617632435926121E-3</v>
      </c>
      <c r="BC29" s="55">
        <f>'LUC-2012-08-10-Run2'!CE33</f>
        <v>2.0738384667014697E-3</v>
      </c>
      <c r="BD29" s="55">
        <f>'LUC-2012-08-10-Run2'!CF33</f>
        <v>2.0859136898103261E-3</v>
      </c>
      <c r="BE29" s="55">
        <f>'LUC-2012-08-10-Run2'!CG33</f>
        <v>2.0979889129191837E-3</v>
      </c>
      <c r="BF29" s="55">
        <f>'LUC-2012-08-10-Run2'!CH33</f>
        <v>2.1100641360280409E-3</v>
      </c>
      <c r="BG29" s="55">
        <f>'LUC-2012-08-10-Run2'!CI33</f>
        <v>2.1221393591368985E-3</v>
      </c>
      <c r="BH29" s="55">
        <f>'LUC-2012-08-10-Run2'!CJ33</f>
        <v>2.1342145822457557E-3</v>
      </c>
      <c r="BI29" s="55">
        <f>'LUC-2012-08-10-Run2'!CK33</f>
        <v>2.1462898053546129E-3</v>
      </c>
      <c r="BJ29" s="55">
        <f>'LUC-2012-08-10-Run2'!CL33</f>
        <v>2.1583650284634701E-3</v>
      </c>
      <c r="BK29" s="55">
        <f>'LUC-2012-08-10-Run2'!CM33</f>
        <v>2.1704402515723277E-3</v>
      </c>
      <c r="BM29" s="104"/>
      <c r="BN29" s="57" t="s">
        <v>111</v>
      </c>
      <c r="BO29" s="83">
        <f t="shared" si="16"/>
        <v>1.4251346260975677</v>
      </c>
      <c r="BP29" s="83">
        <f t="shared" si="17"/>
        <v>1.5535321113085925</v>
      </c>
      <c r="BQ29" s="83">
        <f t="shared" si="18"/>
        <v>1.6874313272180379</v>
      </c>
      <c r="BR29" s="83">
        <f t="shared" si="19"/>
        <v>1.8081835583066095</v>
      </c>
      <c r="BS29" s="83">
        <f t="shared" si="20"/>
        <v>1.9289357893951824</v>
      </c>
      <c r="BT29" s="83">
        <f t="shared" si="21"/>
        <v>2.0496880204837549</v>
      </c>
      <c r="BU29" s="83">
        <f t="shared" si="22"/>
        <v>2.1704402515723276</v>
      </c>
      <c r="BW29" s="54" t="s">
        <v>140</v>
      </c>
    </row>
    <row r="30" spans="1:79" x14ac:dyDescent="0.25">
      <c r="A30" s="56" t="s">
        <v>71</v>
      </c>
      <c r="B30" s="54" t="s">
        <v>102</v>
      </c>
      <c r="C30" s="56" t="s">
        <v>107</v>
      </c>
      <c r="D30" s="55">
        <f>'LUC-2012-08-10-Run2'!AF34</f>
        <v>1.6577549140049134E-3</v>
      </c>
      <c r="E30" s="55">
        <f>'LUC-2012-08-10-Run2'!AG34</f>
        <v>1.6804361179361179E-3</v>
      </c>
      <c r="F30" s="55">
        <f>'LUC-2012-08-10-Run2'!AH34</f>
        <v>1.7031173218673219E-3</v>
      </c>
      <c r="G30" s="55">
        <f>'LUC-2012-08-10-Run2'!AI34</f>
        <v>1.7257985257985258E-3</v>
      </c>
      <c r="H30" s="55">
        <f>'LUC-2012-08-10-Run2'!AJ34</f>
        <v>1.7484797297297294E-3</v>
      </c>
      <c r="I30" s="55">
        <f>'LUC-2012-08-10-Run2'!AK34</f>
        <v>1.7711609336609332E-3</v>
      </c>
      <c r="J30" s="55">
        <f>'LUC-2012-08-10-Run2'!AL34</f>
        <v>1.7938421375921377E-3</v>
      </c>
      <c r="K30" s="55">
        <f>'LUC-2012-08-10-Run2'!AM34</f>
        <v>1.8165233415233415E-3</v>
      </c>
      <c r="L30" s="55">
        <f>'LUC-2012-08-10-Run2'!AN34</f>
        <v>1.8392045454545453E-3</v>
      </c>
      <c r="M30" s="55">
        <f>'LUC-2012-08-10-Run2'!AO34</f>
        <v>1.8618857493857496E-3</v>
      </c>
      <c r="N30" s="55">
        <f>'LUC-2012-08-10-Run2'!AP34</f>
        <v>1.8845669533169532E-3</v>
      </c>
      <c r="O30" s="55">
        <f>'LUC-2012-08-10-Run2'!AQ34</f>
        <v>1.9072481572481575E-3</v>
      </c>
      <c r="P30" s="55">
        <f>'LUC-2012-08-10-Run2'!AR34</f>
        <v>1.9299293611793611E-3</v>
      </c>
      <c r="Q30" s="55">
        <f>'LUC-2012-08-10-Run2'!AS34</f>
        <v>1.9526105651105647E-3</v>
      </c>
      <c r="R30" s="55">
        <f>'LUC-2012-08-10-Run2'!AT34</f>
        <v>1.9752917690417696E-3</v>
      </c>
      <c r="S30" s="55">
        <f>'LUC-2012-08-10-Run2'!AU34</f>
        <v>1.9979729729729728E-3</v>
      </c>
      <c r="T30" s="55">
        <f>'LUC-2012-08-10-Run2'!AV34</f>
        <v>2.0184735872235877E-3</v>
      </c>
      <c r="U30" s="55">
        <f>'LUC-2012-08-10-Run2'!AW34</f>
        <v>2.0389742014742013E-3</v>
      </c>
      <c r="V30" s="55">
        <f>'LUC-2012-08-10-Run2'!AX34</f>
        <v>2.0594748157248153E-3</v>
      </c>
      <c r="W30" s="55">
        <f>'LUC-2012-08-10-Run2'!AY34</f>
        <v>2.0799754299754298E-3</v>
      </c>
      <c r="X30" s="55">
        <f>'LUC-2012-08-10-Run2'!AZ34</f>
        <v>2.1004760442260443E-3</v>
      </c>
      <c r="Y30" s="55">
        <f>'LUC-2012-08-10-Run2'!BA34</f>
        <v>2.1209766584766587E-3</v>
      </c>
      <c r="Z30" s="55">
        <f>'LUC-2012-08-10-Run2'!BB34</f>
        <v>2.1414772727272723E-3</v>
      </c>
      <c r="AA30" s="55">
        <f>'LUC-2012-08-10-Run2'!BC34</f>
        <v>2.1619778869778868E-3</v>
      </c>
      <c r="AB30" s="55">
        <f>'LUC-2012-08-10-Run2'!BD34</f>
        <v>2.1824785012285013E-3</v>
      </c>
      <c r="AC30" s="55">
        <f>'LUC-2012-08-10-Run2'!BE34</f>
        <v>2.2029791154791153E-3</v>
      </c>
      <c r="AD30" s="55">
        <f>'LUC-2012-08-10-Run2'!BF34</f>
        <v>2.2234797297297293E-3</v>
      </c>
      <c r="AE30" s="55">
        <f>'LUC-2012-08-10-Run2'!BG34</f>
        <v>2.2439803439803438E-3</v>
      </c>
      <c r="AF30" s="55">
        <f>'LUC-2012-08-10-Run2'!BH34</f>
        <v>2.2644809582309583E-3</v>
      </c>
      <c r="AG30" s="55">
        <f>'LUC-2012-08-10-Run2'!BI34</f>
        <v>2.2849815724815723E-3</v>
      </c>
      <c r="AH30" s="55">
        <f>'LUC-2012-08-10-Run2'!BJ34</f>
        <v>2.3054821867321868E-3</v>
      </c>
      <c r="AI30" s="55">
        <f>'LUC-2012-08-10-Run2'!BK34</f>
        <v>2.3259828009828008E-3</v>
      </c>
      <c r="AJ30" s="55">
        <f>'LUC-2012-08-10-Run2'!BL34</f>
        <v>2.3464834152334153E-3</v>
      </c>
      <c r="AK30" s="55">
        <f>'LUC-2012-08-10-Run2'!BM34</f>
        <v>2.3669840294840293E-3</v>
      </c>
      <c r="AL30" s="55">
        <f>'LUC-2012-08-10-Run2'!BN34</f>
        <v>2.3874846437346438E-3</v>
      </c>
      <c r="AM30" s="55">
        <f>'LUC-2012-08-10-Run2'!BO34</f>
        <v>2.4079852579852574E-3</v>
      </c>
      <c r="AN30" s="55">
        <f>'LUC-2012-08-10-Run2'!BP34</f>
        <v>2.4284858722358718E-3</v>
      </c>
      <c r="AO30" s="55">
        <f>'LUC-2012-08-10-Run2'!BQ34</f>
        <v>2.4489864864864859E-3</v>
      </c>
      <c r="AP30" s="55">
        <f>'LUC-2012-08-10-Run2'!BR34</f>
        <v>2.4694871007371003E-3</v>
      </c>
      <c r="AQ30" s="55">
        <f>'LUC-2012-08-10-Run2'!BS34</f>
        <v>2.4899877149877148E-3</v>
      </c>
      <c r="AR30" s="55">
        <f>'LUC-2012-08-10-Run2'!BT34</f>
        <v>2.5104883292383293E-3</v>
      </c>
      <c r="AS30" s="55">
        <f>'LUC-2012-08-10-Run2'!BU34</f>
        <v>2.5309889434889433E-3</v>
      </c>
      <c r="AT30" s="55">
        <f>'LUC-2012-08-10-Run2'!BV34</f>
        <v>2.5514895577395573E-3</v>
      </c>
      <c r="AU30" s="55">
        <f>'LUC-2012-08-10-Run2'!BW34</f>
        <v>2.5719901719901722E-3</v>
      </c>
      <c r="AV30" s="55">
        <f>'LUC-2012-08-10-Run2'!BX34</f>
        <v>2.5924907862407863E-3</v>
      </c>
      <c r="AW30" s="55">
        <f>'LUC-2012-08-10-Run2'!BY34</f>
        <v>2.6129914004914007E-3</v>
      </c>
      <c r="AX30" s="55">
        <f>'LUC-2012-08-10-Run2'!BZ34</f>
        <v>2.6334920147420139E-3</v>
      </c>
      <c r="AY30" s="55">
        <f>'LUC-2012-08-10-Run2'!CA34</f>
        <v>2.6539926289926284E-3</v>
      </c>
      <c r="AZ30" s="55">
        <f>'LUC-2012-08-10-Run2'!CB34</f>
        <v>2.6744932432432428E-3</v>
      </c>
      <c r="BA30" s="55">
        <f>'LUC-2012-08-10-Run2'!CC34</f>
        <v>2.6949938574938573E-3</v>
      </c>
      <c r="BB30" s="55">
        <f>'LUC-2012-08-10-Run2'!CD34</f>
        <v>2.7154944717444713E-3</v>
      </c>
      <c r="BC30" s="55">
        <f>'LUC-2012-08-10-Run2'!CE34</f>
        <v>2.7359950859950858E-3</v>
      </c>
      <c r="BD30" s="55">
        <f>'LUC-2012-08-10-Run2'!CF34</f>
        <v>2.7564957002457007E-3</v>
      </c>
      <c r="BE30" s="55">
        <f>'LUC-2012-08-10-Run2'!CG34</f>
        <v>2.7769963144963143E-3</v>
      </c>
      <c r="BF30" s="55">
        <f>'LUC-2012-08-10-Run2'!CH34</f>
        <v>2.7974969287469288E-3</v>
      </c>
      <c r="BG30" s="55">
        <f>'LUC-2012-08-10-Run2'!CI34</f>
        <v>2.8179975429975424E-3</v>
      </c>
      <c r="BH30" s="55">
        <f>'LUC-2012-08-10-Run2'!CJ34</f>
        <v>2.8384981572481573E-3</v>
      </c>
      <c r="BI30" s="55">
        <f>'LUC-2012-08-10-Run2'!CK34</f>
        <v>2.8589987714987713E-3</v>
      </c>
      <c r="BJ30" s="55">
        <f>'LUC-2012-08-10-Run2'!CL34</f>
        <v>2.8794993857493853E-3</v>
      </c>
      <c r="BK30" s="55">
        <f>'LUC-2012-08-10-Run2'!CM34</f>
        <v>2.8999999999999998E-3</v>
      </c>
      <c r="BM30" s="104"/>
      <c r="BN30" s="57" t="s">
        <v>102</v>
      </c>
      <c r="BO30" s="83">
        <f t="shared" si="16"/>
        <v>1.6577549140049135</v>
      </c>
      <c r="BP30" s="83">
        <f t="shared" si="17"/>
        <v>1.8618857493857497</v>
      </c>
      <c r="BQ30" s="83">
        <f t="shared" si="18"/>
        <v>2.0799754299754296</v>
      </c>
      <c r="BR30" s="83">
        <f t="shared" si="19"/>
        <v>2.2849815724815721</v>
      </c>
      <c r="BS30" s="83">
        <f t="shared" si="20"/>
        <v>2.489987714987715</v>
      </c>
      <c r="BT30" s="83">
        <f t="shared" si="21"/>
        <v>2.6949938574938574</v>
      </c>
      <c r="BU30" s="83">
        <f t="shared" si="22"/>
        <v>2.9</v>
      </c>
    </row>
    <row r="31" spans="1:79" x14ac:dyDescent="0.25">
      <c r="A31" s="56" t="s">
        <v>71</v>
      </c>
      <c r="B31" s="54" t="s">
        <v>103</v>
      </c>
      <c r="C31" s="56" t="s">
        <v>107</v>
      </c>
      <c r="D31" s="55">
        <f>'LUC-2012-08-10-Run2'!AF35</f>
        <v>6.1522727272727278E-2</v>
      </c>
      <c r="E31" s="55">
        <f>'LUC-2012-08-10-Run2'!AG35</f>
        <v>6.1954545454545457E-2</v>
      </c>
      <c r="F31" s="55">
        <f>'LUC-2012-08-10-Run2'!AH35</f>
        <v>6.2386363636363643E-2</v>
      </c>
      <c r="G31" s="55">
        <f>'LUC-2012-08-10-Run2'!AI35</f>
        <v>6.2818181818181829E-2</v>
      </c>
      <c r="H31" s="55">
        <f>'LUC-2012-08-10-Run2'!AJ35</f>
        <v>6.3250000000000001E-2</v>
      </c>
      <c r="I31" s="55">
        <f>'LUC-2012-08-10-Run2'!AK35</f>
        <v>6.3681818181818187E-2</v>
      </c>
      <c r="J31" s="55">
        <f>'LUC-2012-08-10-Run2'!AL35</f>
        <v>6.4113636363636373E-2</v>
      </c>
      <c r="K31" s="55">
        <f>'LUC-2012-08-10-Run2'!AM35</f>
        <v>6.4545454545454545E-2</v>
      </c>
      <c r="L31" s="55">
        <f>'LUC-2012-08-10-Run2'!AN35</f>
        <v>6.4977272727272731E-2</v>
      </c>
      <c r="M31" s="55">
        <f>'LUC-2012-08-10-Run2'!AO35</f>
        <v>6.5409090909090917E-2</v>
      </c>
      <c r="N31" s="55">
        <f>'LUC-2012-08-10-Run2'!AP35</f>
        <v>6.5840909090909089E-2</v>
      </c>
      <c r="O31" s="55">
        <f>'LUC-2012-08-10-Run2'!AQ35</f>
        <v>6.6272727272727275E-2</v>
      </c>
      <c r="P31" s="55">
        <f>'LUC-2012-08-10-Run2'!AR35</f>
        <v>6.6704545454545461E-2</v>
      </c>
      <c r="Q31" s="55">
        <f>'LUC-2012-08-10-Run2'!AS35</f>
        <v>6.7136363636363633E-2</v>
      </c>
      <c r="R31" s="55">
        <f>'LUC-2012-08-10-Run2'!AT35</f>
        <v>6.7568181818181819E-2</v>
      </c>
      <c r="S31" s="55">
        <f>'LUC-2012-08-10-Run2'!AU35</f>
        <v>6.8000000000000005E-2</v>
      </c>
      <c r="T31" s="55">
        <f>'LUC-2012-08-10-Run2'!AV35</f>
        <v>6.881818181818182E-2</v>
      </c>
      <c r="U31" s="55">
        <f>'LUC-2012-08-10-Run2'!AW35</f>
        <v>6.9636363636363635E-2</v>
      </c>
      <c r="V31" s="55">
        <f>'LUC-2012-08-10-Run2'!AX35</f>
        <v>7.0454545454545464E-2</v>
      </c>
      <c r="W31" s="55">
        <f>'LUC-2012-08-10-Run2'!AY35</f>
        <v>7.1272727272727279E-2</v>
      </c>
      <c r="X31" s="55">
        <f>'LUC-2012-08-10-Run2'!AZ35</f>
        <v>7.2090909090909094E-2</v>
      </c>
      <c r="Y31" s="55">
        <f>'LUC-2012-08-10-Run2'!BA35</f>
        <v>7.290909090909091E-2</v>
      </c>
      <c r="Z31" s="55">
        <f>'LUC-2012-08-10-Run2'!BB35</f>
        <v>7.3727272727272725E-2</v>
      </c>
      <c r="AA31" s="55">
        <f>'LUC-2012-08-10-Run2'!BC35</f>
        <v>7.4545454545454554E-2</v>
      </c>
      <c r="AB31" s="55">
        <f>'LUC-2012-08-10-Run2'!BD35</f>
        <v>7.5363636363636369E-2</v>
      </c>
      <c r="AC31" s="55">
        <f>'LUC-2012-08-10-Run2'!BE35</f>
        <v>7.6181818181818184E-2</v>
      </c>
      <c r="AD31" s="55">
        <f>'LUC-2012-08-10-Run2'!BF35</f>
        <v>7.6999999999999999E-2</v>
      </c>
      <c r="AE31" s="55">
        <f>'LUC-2012-08-10-Run2'!BG35</f>
        <v>7.7818181818181814E-2</v>
      </c>
      <c r="AF31" s="55">
        <f>'LUC-2012-08-10-Run2'!BH35</f>
        <v>7.8636363636363643E-2</v>
      </c>
      <c r="AG31" s="55">
        <f>'LUC-2012-08-10-Run2'!BI35</f>
        <v>7.9454545454545458E-2</v>
      </c>
      <c r="AH31" s="55">
        <f>'LUC-2012-08-10-Run2'!BJ35</f>
        <v>8.0272727272727273E-2</v>
      </c>
      <c r="AI31" s="55">
        <f>'LUC-2012-08-10-Run2'!BK35</f>
        <v>8.1090909090909088E-2</v>
      </c>
      <c r="AJ31" s="55">
        <f>'LUC-2012-08-10-Run2'!BL35</f>
        <v>8.1909090909090904E-2</v>
      </c>
      <c r="AK31" s="55">
        <f>'LUC-2012-08-10-Run2'!BM35</f>
        <v>8.2727272727272733E-2</v>
      </c>
      <c r="AL31" s="55">
        <f>'LUC-2012-08-10-Run2'!BN35</f>
        <v>8.3545454545454548E-2</v>
      </c>
      <c r="AM31" s="55">
        <f>'LUC-2012-08-10-Run2'!BO35</f>
        <v>8.4363636363636363E-2</v>
      </c>
      <c r="AN31" s="55">
        <f>'LUC-2012-08-10-Run2'!BP35</f>
        <v>8.5181818181818178E-2</v>
      </c>
      <c r="AO31" s="55">
        <f>'LUC-2012-08-10-Run2'!BQ35</f>
        <v>8.5999999999999993E-2</v>
      </c>
      <c r="AP31" s="55">
        <f>'LUC-2012-08-10-Run2'!BR35</f>
        <v>8.6818181818181822E-2</v>
      </c>
      <c r="AQ31" s="55">
        <f>'LUC-2012-08-10-Run2'!BS35</f>
        <v>8.7636363636363637E-2</v>
      </c>
      <c r="AR31" s="55">
        <f>'LUC-2012-08-10-Run2'!BT35</f>
        <v>8.8454545454545452E-2</v>
      </c>
      <c r="AS31" s="55">
        <f>'LUC-2012-08-10-Run2'!BU35</f>
        <v>8.9272727272727267E-2</v>
      </c>
      <c r="AT31" s="55">
        <f>'LUC-2012-08-10-Run2'!BV35</f>
        <v>9.0090909090909083E-2</v>
      </c>
      <c r="AU31" s="55">
        <f>'LUC-2012-08-10-Run2'!BW35</f>
        <v>9.0909090909090912E-2</v>
      </c>
      <c r="AV31" s="55">
        <f>'LUC-2012-08-10-Run2'!BX35</f>
        <v>9.1727272727272727E-2</v>
      </c>
      <c r="AW31" s="55">
        <f>'LUC-2012-08-10-Run2'!BY35</f>
        <v>9.2545454545454542E-2</v>
      </c>
      <c r="AX31" s="55">
        <f>'LUC-2012-08-10-Run2'!BZ35</f>
        <v>9.3363636363636357E-2</v>
      </c>
      <c r="AY31" s="55">
        <f>'LUC-2012-08-10-Run2'!CA35</f>
        <v>9.4181818181818172E-2</v>
      </c>
      <c r="AZ31" s="55">
        <f>'LUC-2012-08-10-Run2'!CB35</f>
        <v>9.5000000000000001E-2</v>
      </c>
      <c r="BA31" s="55">
        <f>'LUC-2012-08-10-Run2'!CC35</f>
        <v>9.5818181818181816E-2</v>
      </c>
      <c r="BB31" s="55">
        <f>'LUC-2012-08-10-Run2'!CD35</f>
        <v>9.6636363636363631E-2</v>
      </c>
      <c r="BC31" s="55">
        <f>'LUC-2012-08-10-Run2'!CE35</f>
        <v>9.7454545454545446E-2</v>
      </c>
      <c r="BD31" s="55">
        <f>'LUC-2012-08-10-Run2'!CF35</f>
        <v>9.8272727272727262E-2</v>
      </c>
      <c r="BE31" s="55">
        <f>'LUC-2012-08-10-Run2'!CG35</f>
        <v>9.9090909090909091E-2</v>
      </c>
      <c r="BF31" s="55">
        <f>'LUC-2012-08-10-Run2'!CH35</f>
        <v>9.9909090909090906E-2</v>
      </c>
      <c r="BG31" s="55">
        <f>'LUC-2012-08-10-Run2'!CI35</f>
        <v>0.10072727272727272</v>
      </c>
      <c r="BH31" s="55">
        <f>'LUC-2012-08-10-Run2'!CJ35</f>
        <v>0.10154545454545455</v>
      </c>
      <c r="BI31" s="55">
        <f>'LUC-2012-08-10-Run2'!CK35</f>
        <v>0.10236363636363635</v>
      </c>
      <c r="BJ31" s="55">
        <f>'LUC-2012-08-10-Run2'!CL35</f>
        <v>0.10318181818181818</v>
      </c>
      <c r="BK31" s="55">
        <f>'LUC-2012-08-10-Run2'!CM35</f>
        <v>0.104</v>
      </c>
      <c r="BM31" s="104"/>
      <c r="BN31" s="57" t="s">
        <v>103</v>
      </c>
      <c r="BO31" s="67">
        <f t="shared" si="16"/>
        <v>61.52272727272728</v>
      </c>
      <c r="BP31" s="67">
        <f t="shared" si="17"/>
        <v>65.409090909090921</v>
      </c>
      <c r="BQ31" s="67">
        <f t="shared" si="18"/>
        <v>71.27272727272728</v>
      </c>
      <c r="BR31" s="67">
        <f t="shared" si="19"/>
        <v>79.454545454545453</v>
      </c>
      <c r="BS31" s="67">
        <f t="shared" si="20"/>
        <v>87.63636363636364</v>
      </c>
      <c r="BT31" s="67">
        <f t="shared" si="21"/>
        <v>95.818181818181813</v>
      </c>
      <c r="BU31" s="67">
        <f t="shared" si="22"/>
        <v>104</v>
      </c>
    </row>
    <row r="32" spans="1:79" x14ac:dyDescent="0.25">
      <c r="A32" s="56" t="s">
        <v>71</v>
      </c>
      <c r="B32" s="54" t="s">
        <v>104</v>
      </c>
      <c r="C32" s="56" t="s">
        <v>107</v>
      </c>
      <c r="D32" s="55">
        <f>'LUC-2012-08-10-Run2'!AF39</f>
        <v>8.6618671127481966E-4</v>
      </c>
      <c r="E32" s="55">
        <f>'LUC-2012-08-10-Run2'!AG39</f>
        <v>8.7332065560907562E-4</v>
      </c>
      <c r="F32" s="55">
        <f>'LUC-2012-08-10-Run2'!AH39</f>
        <v>8.8045459994333169E-4</v>
      </c>
      <c r="G32" s="55">
        <f>'LUC-2012-08-10-Run2'!AI39</f>
        <v>8.8758854427758765E-4</v>
      </c>
      <c r="H32" s="55">
        <f>'LUC-2012-08-10-Run2'!AJ39</f>
        <v>8.9472248861184372E-4</v>
      </c>
      <c r="I32" s="55">
        <f>'LUC-2012-08-10-Run2'!AK39</f>
        <v>9.0185643294609969E-4</v>
      </c>
      <c r="J32" s="55">
        <f>'LUC-2012-08-10-Run2'!AL39</f>
        <v>9.0899037728035576E-4</v>
      </c>
      <c r="K32" s="55">
        <f>'LUC-2012-08-10-Run2'!AM39</f>
        <v>9.1612432161461172E-4</v>
      </c>
      <c r="L32" s="55">
        <f>'LUC-2012-08-10-Run2'!AN39</f>
        <v>9.2325826594886768E-4</v>
      </c>
      <c r="M32" s="55">
        <f>'LUC-2012-08-10-Run2'!AO39</f>
        <v>9.3039221028312375E-4</v>
      </c>
      <c r="N32" s="55">
        <f>'LUC-2012-08-10-Run2'!AP39</f>
        <v>9.3752615461737982E-4</v>
      </c>
      <c r="O32" s="55">
        <f>'LUC-2012-08-10-Run2'!AQ39</f>
        <v>9.4466009895163578E-4</v>
      </c>
      <c r="P32" s="55">
        <f>'LUC-2012-08-10-Run2'!AR39</f>
        <v>9.5179404328589175E-4</v>
      </c>
      <c r="Q32" s="55">
        <f>'LUC-2012-08-10-Run2'!AS39</f>
        <v>9.5892798762014782E-4</v>
      </c>
      <c r="R32" s="55">
        <f>'LUC-2012-08-10-Run2'!AT39</f>
        <v>9.6606193195440389E-4</v>
      </c>
      <c r="S32" s="55">
        <f>'LUC-2012-08-10-Run2'!AU39</f>
        <v>9.7319587628865985E-4</v>
      </c>
      <c r="T32" s="55">
        <f>'LUC-2012-08-10-Run2'!AV39</f>
        <v>9.9072164948453621E-4</v>
      </c>
      <c r="U32" s="55">
        <f>'LUC-2012-08-10-Run2'!AW39</f>
        <v>1.0082474226804125E-3</v>
      </c>
      <c r="V32" s="55">
        <f>'LUC-2012-08-10-Run2'!AX39</f>
        <v>1.0257731958762887E-3</v>
      </c>
      <c r="W32" s="55">
        <f>'LUC-2012-08-10-Run2'!AY39</f>
        <v>1.043298969072165E-3</v>
      </c>
      <c r="X32" s="55">
        <f>'LUC-2012-08-10-Run2'!AZ39</f>
        <v>1.0608247422680412E-3</v>
      </c>
      <c r="Y32" s="55">
        <f>'LUC-2012-08-10-Run2'!BA39</f>
        <v>1.0783505154639175E-3</v>
      </c>
      <c r="Z32" s="55">
        <f>'LUC-2012-08-10-Run2'!BB39</f>
        <v>1.095876288659794E-3</v>
      </c>
      <c r="AA32" s="55">
        <f>'LUC-2012-08-10-Run2'!BC39</f>
        <v>1.1134020618556702E-3</v>
      </c>
      <c r="AB32" s="55">
        <f>'LUC-2012-08-10-Run2'!BD39</f>
        <v>1.1309278350515465E-3</v>
      </c>
      <c r="AC32" s="55">
        <f>'LUC-2012-08-10-Run2'!BE39</f>
        <v>1.1484536082474227E-3</v>
      </c>
      <c r="AD32" s="55">
        <f>'LUC-2012-08-10-Run2'!BF39</f>
        <v>1.165979381443299E-3</v>
      </c>
      <c r="AE32" s="55">
        <f>'LUC-2012-08-10-Run2'!BG39</f>
        <v>1.1835051546391752E-3</v>
      </c>
      <c r="AF32" s="55">
        <f>'LUC-2012-08-10-Run2'!BH39</f>
        <v>1.2010309278350515E-3</v>
      </c>
      <c r="AG32" s="55">
        <f>'LUC-2012-08-10-Run2'!BI39</f>
        <v>1.2185567010309277E-3</v>
      </c>
      <c r="AH32" s="55">
        <f>'LUC-2012-08-10-Run2'!BJ39</f>
        <v>1.236082474226804E-3</v>
      </c>
      <c r="AI32" s="55">
        <f>'LUC-2012-08-10-Run2'!BK39</f>
        <v>1.2536082474226805E-3</v>
      </c>
      <c r="AJ32" s="55">
        <f>'LUC-2012-08-10-Run2'!BL39</f>
        <v>1.2711340206185567E-3</v>
      </c>
      <c r="AK32" s="55">
        <f>'LUC-2012-08-10-Run2'!BM39</f>
        <v>1.288659793814433E-3</v>
      </c>
      <c r="AL32" s="55">
        <f>'LUC-2012-08-10-Run2'!BN39</f>
        <v>1.3061855670103092E-3</v>
      </c>
      <c r="AM32" s="55">
        <f>'LUC-2012-08-10-Run2'!BO39</f>
        <v>1.3237113402061855E-3</v>
      </c>
      <c r="AN32" s="55">
        <f>'LUC-2012-08-10-Run2'!BP39</f>
        <v>1.3412371134020619E-3</v>
      </c>
      <c r="AO32" s="55">
        <f>'LUC-2012-08-10-Run2'!BQ39</f>
        <v>1.3587628865979382E-3</v>
      </c>
      <c r="AP32" s="55">
        <f>'LUC-2012-08-10-Run2'!BR39</f>
        <v>1.3762886597938145E-3</v>
      </c>
      <c r="AQ32" s="55">
        <f>'LUC-2012-08-10-Run2'!BS39</f>
        <v>1.3938144329896907E-3</v>
      </c>
      <c r="AR32" s="55">
        <f>'LUC-2012-08-10-Run2'!BT39</f>
        <v>1.411340206185567E-3</v>
      </c>
      <c r="AS32" s="55">
        <f>'LUC-2012-08-10-Run2'!BU39</f>
        <v>1.4288659793814432E-3</v>
      </c>
      <c r="AT32" s="55">
        <f>'LUC-2012-08-10-Run2'!BV39</f>
        <v>1.4463917525773195E-3</v>
      </c>
      <c r="AU32" s="55">
        <f>'LUC-2012-08-10-Run2'!BW39</f>
        <v>1.4639175257731957E-3</v>
      </c>
      <c r="AV32" s="55">
        <f>'LUC-2012-08-10-Run2'!BX39</f>
        <v>1.481443298969072E-3</v>
      </c>
      <c r="AW32" s="55">
        <f>'LUC-2012-08-10-Run2'!BY39</f>
        <v>1.4989690721649482E-3</v>
      </c>
      <c r="AX32" s="55">
        <f>'LUC-2012-08-10-Run2'!BZ39</f>
        <v>1.5164948453608247E-3</v>
      </c>
      <c r="AY32" s="55">
        <f>'LUC-2012-08-10-Run2'!CA39</f>
        <v>1.534020618556701E-3</v>
      </c>
      <c r="AZ32" s="55">
        <f>'LUC-2012-08-10-Run2'!CB39</f>
        <v>1.5515463917525772E-3</v>
      </c>
      <c r="BA32" s="55">
        <f>'LUC-2012-08-10-Run2'!CC39</f>
        <v>1.5690721649484537E-3</v>
      </c>
      <c r="BB32" s="55">
        <f>'LUC-2012-08-10-Run2'!CD39</f>
        <v>1.5865979381443299E-3</v>
      </c>
      <c r="BC32" s="55">
        <f>'LUC-2012-08-10-Run2'!CE39</f>
        <v>1.6041237113402062E-3</v>
      </c>
      <c r="BD32" s="55">
        <f>'LUC-2012-08-10-Run2'!CF39</f>
        <v>1.6216494845360824E-3</v>
      </c>
      <c r="BE32" s="55">
        <f>'LUC-2012-08-10-Run2'!CG39</f>
        <v>1.6391752577319587E-3</v>
      </c>
      <c r="BF32" s="55">
        <f>'LUC-2012-08-10-Run2'!CH39</f>
        <v>1.656701030927835E-3</v>
      </c>
      <c r="BG32" s="55">
        <f>'LUC-2012-08-10-Run2'!CI39</f>
        <v>1.6742268041237112E-3</v>
      </c>
      <c r="BH32" s="55">
        <f>'LUC-2012-08-10-Run2'!CJ39</f>
        <v>1.6917525773195875E-3</v>
      </c>
      <c r="BI32" s="55">
        <f>'LUC-2012-08-10-Run2'!CK39</f>
        <v>1.7092783505154637E-3</v>
      </c>
      <c r="BJ32" s="55">
        <f>'LUC-2012-08-10-Run2'!CL39</f>
        <v>1.72680412371134E-3</v>
      </c>
      <c r="BK32" s="55">
        <f>'LUC-2012-08-10-Run2'!CM39</f>
        <v>1.7443298969072164E-3</v>
      </c>
      <c r="BM32" s="105"/>
      <c r="BN32" s="58" t="s">
        <v>104</v>
      </c>
      <c r="BO32" s="83">
        <f t="shared" si="16"/>
        <v>0.86618671127481961</v>
      </c>
      <c r="BP32" s="83">
        <f t="shared" si="17"/>
        <v>0.9303922102831238</v>
      </c>
      <c r="BQ32" s="83">
        <f t="shared" si="18"/>
        <v>1.043298969072165</v>
      </c>
      <c r="BR32" s="83">
        <f t="shared" si="19"/>
        <v>1.2185567010309277</v>
      </c>
      <c r="BS32" s="83">
        <f t="shared" si="20"/>
        <v>1.3938144329896907</v>
      </c>
      <c r="BT32" s="83">
        <f t="shared" si="21"/>
        <v>1.5690721649484536</v>
      </c>
      <c r="BU32" s="83">
        <f t="shared" si="22"/>
        <v>1.7443298969072165</v>
      </c>
    </row>
    <row r="33" spans="1:75" x14ac:dyDescent="0.25">
      <c r="BM33" s="108" t="s">
        <v>38</v>
      </c>
      <c r="BN33" s="57" t="s">
        <v>99</v>
      </c>
      <c r="BO33" s="83">
        <f t="shared" ref="BO33:BO39" si="23">D34*1000</f>
        <v>5.0675000000000008</v>
      </c>
      <c r="BP33" s="83">
        <f t="shared" ref="BP33:BP39" si="24">M34*1000</f>
        <v>5.7650000000000015</v>
      </c>
      <c r="BQ33" s="83">
        <f t="shared" ref="BQ33:BQ39" si="25">W34*1000</f>
        <v>6.34</v>
      </c>
      <c r="BR33" s="83">
        <f t="shared" ref="BR33:BR39" si="26">AG34*1000</f>
        <v>6.6150000000000002</v>
      </c>
      <c r="BS33" s="83">
        <f t="shared" ref="BS33:BS39" si="27">AQ34*1000</f>
        <v>6.8900000000000006</v>
      </c>
      <c r="BT33" s="83">
        <f t="shared" ref="BT33:BT39" si="28">BA34*1000</f>
        <v>7.1649999999999991</v>
      </c>
      <c r="BU33" s="83">
        <f t="shared" ref="BU33:BU39" si="29">BK34*1000</f>
        <v>7.4399999999999995</v>
      </c>
    </row>
    <row r="34" spans="1:75" x14ac:dyDescent="0.25">
      <c r="A34" s="56" t="s">
        <v>38</v>
      </c>
      <c r="B34" s="54" t="s">
        <v>99</v>
      </c>
      <c r="C34" s="56" t="s">
        <v>107</v>
      </c>
      <c r="D34" s="55">
        <f>'LUC-2012-08-10-Run2'!AF41</f>
        <v>5.0675000000000008E-3</v>
      </c>
      <c r="E34" s="55">
        <f>'LUC-2012-08-10-Run2'!AG41</f>
        <v>5.1450000000000003E-3</v>
      </c>
      <c r="F34" s="55">
        <f>'LUC-2012-08-10-Run2'!AH41</f>
        <v>5.2225000000000006E-3</v>
      </c>
      <c r="G34" s="55">
        <f>'LUC-2012-08-10-Run2'!AI41</f>
        <v>5.3000000000000009E-3</v>
      </c>
      <c r="H34" s="55">
        <f>'LUC-2012-08-10-Run2'!AJ41</f>
        <v>5.3775000000000003E-3</v>
      </c>
      <c r="I34" s="55">
        <f>'LUC-2012-08-10-Run2'!AK41</f>
        <v>5.4550000000000006E-3</v>
      </c>
      <c r="J34" s="55">
        <f>'LUC-2012-08-10-Run2'!AL41</f>
        <v>5.532500000000001E-3</v>
      </c>
      <c r="K34" s="55">
        <f>'LUC-2012-08-10-Run2'!AM41</f>
        <v>5.6100000000000004E-3</v>
      </c>
      <c r="L34" s="55">
        <f>'LUC-2012-08-10-Run2'!AN41</f>
        <v>5.6874999999999998E-3</v>
      </c>
      <c r="M34" s="55">
        <f>'LUC-2012-08-10-Run2'!AO41</f>
        <v>5.765000000000001E-3</v>
      </c>
      <c r="N34" s="55">
        <f>'LUC-2012-08-10-Run2'!AP41</f>
        <v>5.8425000000000005E-3</v>
      </c>
      <c r="O34" s="55">
        <f>'LUC-2012-08-10-Run2'!AQ41</f>
        <v>5.9199999999999999E-3</v>
      </c>
      <c r="P34" s="55">
        <f>'LUC-2012-08-10-Run2'!AR41</f>
        <v>5.9975000000000011E-3</v>
      </c>
      <c r="Q34" s="55">
        <f>'LUC-2012-08-10-Run2'!AS41</f>
        <v>6.0750000000000005E-3</v>
      </c>
      <c r="R34" s="55">
        <f>'LUC-2012-08-10-Run2'!AT41</f>
        <v>6.1525E-3</v>
      </c>
      <c r="S34" s="55">
        <f>'LUC-2012-08-10-Run2'!AU41</f>
        <v>6.2300000000000003E-3</v>
      </c>
      <c r="T34" s="55">
        <f>'LUC-2012-08-10-Run2'!AV41</f>
        <v>6.2575E-3</v>
      </c>
      <c r="U34" s="55">
        <f>'LUC-2012-08-10-Run2'!AW41</f>
        <v>6.2850000000000007E-3</v>
      </c>
      <c r="V34" s="55">
        <f>'LUC-2012-08-10-Run2'!AX41</f>
        <v>6.3125000000000004E-3</v>
      </c>
      <c r="W34" s="55">
        <f>'LUC-2012-08-10-Run2'!AY41</f>
        <v>6.3400000000000001E-3</v>
      </c>
      <c r="X34" s="55">
        <f>'LUC-2012-08-10-Run2'!AZ41</f>
        <v>6.3674999999999999E-3</v>
      </c>
      <c r="Y34" s="55">
        <f>'LUC-2012-08-10-Run2'!BA41</f>
        <v>6.3950000000000005E-3</v>
      </c>
      <c r="Z34" s="55">
        <f>'LUC-2012-08-10-Run2'!BB41</f>
        <v>6.4225000000000003E-3</v>
      </c>
      <c r="AA34" s="55">
        <f>'LUC-2012-08-10-Run2'!BC41</f>
        <v>6.45E-3</v>
      </c>
      <c r="AB34" s="55">
        <f>'LUC-2012-08-10-Run2'!BD41</f>
        <v>6.4774999999999998E-3</v>
      </c>
      <c r="AC34" s="55">
        <f>'LUC-2012-08-10-Run2'!BE41</f>
        <v>6.5050000000000004E-3</v>
      </c>
      <c r="AD34" s="55">
        <f>'LUC-2012-08-10-Run2'!BF41</f>
        <v>6.5325000000000001E-3</v>
      </c>
      <c r="AE34" s="55">
        <f>'LUC-2012-08-10-Run2'!BG41</f>
        <v>6.5599999999999999E-3</v>
      </c>
      <c r="AF34" s="55">
        <f>'LUC-2012-08-10-Run2'!BH41</f>
        <v>6.5875000000000005E-3</v>
      </c>
      <c r="AG34" s="55">
        <f>'LUC-2012-08-10-Run2'!BI41</f>
        <v>6.6150000000000002E-3</v>
      </c>
      <c r="AH34" s="55">
        <f>'LUC-2012-08-10-Run2'!BJ41</f>
        <v>6.6425E-3</v>
      </c>
      <c r="AI34" s="55">
        <f>'LUC-2012-08-10-Run2'!BK41</f>
        <v>6.6699999999999997E-3</v>
      </c>
      <c r="AJ34" s="55">
        <f>'LUC-2012-08-10-Run2'!BL41</f>
        <v>6.6975000000000003E-3</v>
      </c>
      <c r="AK34" s="55">
        <f>'LUC-2012-08-10-Run2'!BM41</f>
        <v>6.7250000000000001E-3</v>
      </c>
      <c r="AL34" s="55">
        <f>'LUC-2012-08-10-Run2'!BN41</f>
        <v>6.7524999999999998E-3</v>
      </c>
      <c r="AM34" s="55">
        <f>'LUC-2012-08-10-Run2'!BO41</f>
        <v>6.7799999999999996E-3</v>
      </c>
      <c r="AN34" s="55">
        <f>'LUC-2012-08-10-Run2'!BP41</f>
        <v>6.8075000000000002E-3</v>
      </c>
      <c r="AO34" s="55">
        <f>'LUC-2012-08-10-Run2'!BQ41</f>
        <v>6.8349999999999999E-3</v>
      </c>
      <c r="AP34" s="55">
        <f>'LUC-2012-08-10-Run2'!BR41</f>
        <v>6.8624999999999997E-3</v>
      </c>
      <c r="AQ34" s="55">
        <f>'LUC-2012-08-10-Run2'!BS41</f>
        <v>6.8900000000000003E-3</v>
      </c>
      <c r="AR34" s="55">
        <f>'LUC-2012-08-10-Run2'!BT41</f>
        <v>6.9175E-3</v>
      </c>
      <c r="AS34" s="55">
        <f>'LUC-2012-08-10-Run2'!BU41</f>
        <v>6.9449999999999998E-3</v>
      </c>
      <c r="AT34" s="55">
        <f>'LUC-2012-08-10-Run2'!BV41</f>
        <v>6.9724999999999995E-3</v>
      </c>
      <c r="AU34" s="55">
        <f>'LUC-2012-08-10-Run2'!BW41</f>
        <v>7.0000000000000001E-3</v>
      </c>
      <c r="AV34" s="55">
        <f>'LUC-2012-08-10-Run2'!BX41</f>
        <v>7.0274999999999999E-3</v>
      </c>
      <c r="AW34" s="55">
        <f>'LUC-2012-08-10-Run2'!BY41</f>
        <v>7.0549999999999996E-3</v>
      </c>
      <c r="AX34" s="55">
        <f>'LUC-2012-08-10-Run2'!BZ41</f>
        <v>7.0825000000000003E-3</v>
      </c>
      <c r="AY34" s="55">
        <f>'LUC-2012-08-10-Run2'!CA41</f>
        <v>7.11E-3</v>
      </c>
      <c r="AZ34" s="55">
        <f>'LUC-2012-08-10-Run2'!CB41</f>
        <v>7.1374999999999997E-3</v>
      </c>
      <c r="BA34" s="55">
        <f>'LUC-2012-08-10-Run2'!CC41</f>
        <v>7.1649999999999995E-3</v>
      </c>
      <c r="BB34" s="55">
        <f>'LUC-2012-08-10-Run2'!CD41</f>
        <v>7.1925000000000001E-3</v>
      </c>
      <c r="BC34" s="55">
        <f>'LUC-2012-08-10-Run2'!CE41</f>
        <v>7.2199999999999999E-3</v>
      </c>
      <c r="BD34" s="55">
        <f>'LUC-2012-08-10-Run2'!CF41</f>
        <v>7.2474999999999996E-3</v>
      </c>
      <c r="BE34" s="55">
        <f>'LUC-2012-08-10-Run2'!CG41</f>
        <v>7.2750000000000002E-3</v>
      </c>
      <c r="BF34" s="55">
        <f>'LUC-2012-08-10-Run2'!CH41</f>
        <v>7.3025E-3</v>
      </c>
      <c r="BG34" s="55">
        <f>'LUC-2012-08-10-Run2'!CI41</f>
        <v>7.3299999999999997E-3</v>
      </c>
      <c r="BH34" s="55">
        <f>'LUC-2012-08-10-Run2'!CJ41</f>
        <v>7.3574999999999995E-3</v>
      </c>
      <c r="BI34" s="55">
        <f>'LUC-2012-08-10-Run2'!CK41</f>
        <v>7.3849999999999992E-3</v>
      </c>
      <c r="BJ34" s="55">
        <f>'LUC-2012-08-10-Run2'!CL41</f>
        <v>7.4124999999999998E-3</v>
      </c>
      <c r="BK34" s="55">
        <f>'LUC-2012-08-10-Run2'!CM41</f>
        <v>7.4399999999999996E-3</v>
      </c>
      <c r="BM34" s="108"/>
      <c r="BN34" s="57" t="s">
        <v>100</v>
      </c>
      <c r="BO34" s="83">
        <f t="shared" si="23"/>
        <v>2.3129545454545455</v>
      </c>
      <c r="BP34" s="83">
        <f t="shared" si="24"/>
        <v>2.5931818181818183</v>
      </c>
      <c r="BQ34" s="83">
        <f t="shared" si="25"/>
        <v>2.8572727272727274</v>
      </c>
      <c r="BR34" s="83">
        <f t="shared" si="26"/>
        <v>3.0504545454545458</v>
      </c>
      <c r="BS34" s="83">
        <f t="shared" si="27"/>
        <v>3.2436363636363641</v>
      </c>
      <c r="BT34" s="83">
        <f t="shared" si="28"/>
        <v>3.436818181818182</v>
      </c>
      <c r="BU34" s="83">
        <f t="shared" si="29"/>
        <v>3.63</v>
      </c>
    </row>
    <row r="35" spans="1:75" x14ac:dyDescent="0.25">
      <c r="A35" s="56" t="s">
        <v>38</v>
      </c>
      <c r="B35" s="54" t="s">
        <v>100</v>
      </c>
      <c r="C35" s="56" t="s">
        <v>107</v>
      </c>
      <c r="D35" s="55">
        <f>'LUC-2012-08-10-Run2'!AF42</f>
        <v>2.3129545454545456E-3</v>
      </c>
      <c r="E35" s="55">
        <f>'LUC-2012-08-10-Run2'!AG42</f>
        <v>2.3440909090909094E-3</v>
      </c>
      <c r="F35" s="55">
        <f>'LUC-2012-08-10-Run2'!AH42</f>
        <v>2.3752272727272728E-3</v>
      </c>
      <c r="G35" s="55">
        <f>'LUC-2012-08-10-Run2'!AI42</f>
        <v>2.4063636363636366E-3</v>
      </c>
      <c r="H35" s="55">
        <f>'LUC-2012-08-10-Run2'!AJ42</f>
        <v>2.4375000000000004E-3</v>
      </c>
      <c r="I35" s="55">
        <f>'LUC-2012-08-10-Run2'!AK42</f>
        <v>2.4686363636363638E-3</v>
      </c>
      <c r="J35" s="55">
        <f>'LUC-2012-08-10-Run2'!AL42</f>
        <v>2.4997727272727276E-3</v>
      </c>
      <c r="K35" s="55">
        <f>'LUC-2012-08-10-Run2'!AM42</f>
        <v>2.5309090909090915E-3</v>
      </c>
      <c r="L35" s="55">
        <f>'LUC-2012-08-10-Run2'!AN42</f>
        <v>2.5620454545454549E-3</v>
      </c>
      <c r="M35" s="55">
        <f>'LUC-2012-08-10-Run2'!AO42</f>
        <v>2.5931818181818183E-3</v>
      </c>
      <c r="N35" s="55">
        <f>'LUC-2012-08-10-Run2'!AP42</f>
        <v>2.6243181818181821E-3</v>
      </c>
      <c r="O35" s="55">
        <f>'LUC-2012-08-10-Run2'!AQ42</f>
        <v>2.6554545454545459E-3</v>
      </c>
      <c r="P35" s="55">
        <f>'LUC-2012-08-10-Run2'!AR42</f>
        <v>2.6865909090909093E-3</v>
      </c>
      <c r="Q35" s="55">
        <f>'LUC-2012-08-10-Run2'!AS42</f>
        <v>2.7177272727272731E-3</v>
      </c>
      <c r="R35" s="55">
        <f>'LUC-2012-08-10-Run2'!AT42</f>
        <v>2.748863636363637E-3</v>
      </c>
      <c r="S35" s="55">
        <f>'LUC-2012-08-10-Run2'!AU42</f>
        <v>2.7800000000000004E-3</v>
      </c>
      <c r="T35" s="55">
        <f>'LUC-2012-08-10-Run2'!AV42</f>
        <v>2.7993181818181823E-3</v>
      </c>
      <c r="U35" s="55">
        <f>'LUC-2012-08-10-Run2'!AW42</f>
        <v>2.8186363636363639E-3</v>
      </c>
      <c r="V35" s="55">
        <f>'LUC-2012-08-10-Run2'!AX42</f>
        <v>2.8379545454545459E-3</v>
      </c>
      <c r="W35" s="55">
        <f>'LUC-2012-08-10-Run2'!AY42</f>
        <v>2.8572727272727274E-3</v>
      </c>
      <c r="X35" s="55">
        <f>'LUC-2012-08-10-Run2'!AZ42</f>
        <v>2.8765909090909094E-3</v>
      </c>
      <c r="Y35" s="55">
        <f>'LUC-2012-08-10-Run2'!BA42</f>
        <v>2.8959090909090913E-3</v>
      </c>
      <c r="Z35" s="55">
        <f>'LUC-2012-08-10-Run2'!BB42</f>
        <v>2.9152272727272729E-3</v>
      </c>
      <c r="AA35" s="55">
        <f>'LUC-2012-08-10-Run2'!BC42</f>
        <v>2.9345454545454549E-3</v>
      </c>
      <c r="AB35" s="55">
        <f>'LUC-2012-08-10-Run2'!BD42</f>
        <v>2.9538636363636368E-3</v>
      </c>
      <c r="AC35" s="55">
        <f>'LUC-2012-08-10-Run2'!BE42</f>
        <v>2.9731818181818184E-3</v>
      </c>
      <c r="AD35" s="55">
        <f>'LUC-2012-08-10-Run2'!BF42</f>
        <v>2.9925000000000004E-3</v>
      </c>
      <c r="AE35" s="55">
        <f>'LUC-2012-08-10-Run2'!BG42</f>
        <v>3.0118181818181819E-3</v>
      </c>
      <c r="AF35" s="55">
        <f>'LUC-2012-08-10-Run2'!BH42</f>
        <v>3.0311363636363639E-3</v>
      </c>
      <c r="AG35" s="55">
        <f>'LUC-2012-08-10-Run2'!BI42</f>
        <v>3.0504545454545459E-3</v>
      </c>
      <c r="AH35" s="55">
        <f>'LUC-2012-08-10-Run2'!BJ42</f>
        <v>3.0697727272727274E-3</v>
      </c>
      <c r="AI35" s="55">
        <f>'LUC-2012-08-10-Run2'!BK42</f>
        <v>3.0890909090909094E-3</v>
      </c>
      <c r="AJ35" s="55">
        <f>'LUC-2012-08-10-Run2'!BL42</f>
        <v>3.1084090909090914E-3</v>
      </c>
      <c r="AK35" s="55">
        <f>'LUC-2012-08-10-Run2'!BM42</f>
        <v>3.1277272727272729E-3</v>
      </c>
      <c r="AL35" s="55">
        <f>'LUC-2012-08-10-Run2'!BN42</f>
        <v>3.1470454545454549E-3</v>
      </c>
      <c r="AM35" s="55">
        <f>'LUC-2012-08-10-Run2'!BO42</f>
        <v>3.1663636363636364E-3</v>
      </c>
      <c r="AN35" s="55">
        <f>'LUC-2012-08-10-Run2'!BP42</f>
        <v>3.1856818181818184E-3</v>
      </c>
      <c r="AO35" s="55">
        <f>'LUC-2012-08-10-Run2'!BQ42</f>
        <v>3.2050000000000004E-3</v>
      </c>
      <c r="AP35" s="55">
        <f>'LUC-2012-08-10-Run2'!BR42</f>
        <v>3.2243181818181819E-3</v>
      </c>
      <c r="AQ35" s="55">
        <f>'LUC-2012-08-10-Run2'!BS42</f>
        <v>3.2436363636363639E-3</v>
      </c>
      <c r="AR35" s="55">
        <f>'LUC-2012-08-10-Run2'!BT42</f>
        <v>3.2629545454545454E-3</v>
      </c>
      <c r="AS35" s="55">
        <f>'LUC-2012-08-10-Run2'!BU42</f>
        <v>3.2822727272727274E-3</v>
      </c>
      <c r="AT35" s="55">
        <f>'LUC-2012-08-10-Run2'!BV42</f>
        <v>3.3015909090909094E-3</v>
      </c>
      <c r="AU35" s="55">
        <f>'LUC-2012-08-10-Run2'!BW42</f>
        <v>3.3209090909090909E-3</v>
      </c>
      <c r="AV35" s="55">
        <f>'LUC-2012-08-10-Run2'!BX42</f>
        <v>3.3402272727272729E-3</v>
      </c>
      <c r="AW35" s="55">
        <f>'LUC-2012-08-10-Run2'!BY42</f>
        <v>3.3595454545454545E-3</v>
      </c>
      <c r="AX35" s="55">
        <f>'LUC-2012-08-10-Run2'!BZ42</f>
        <v>3.3788636363636364E-3</v>
      </c>
      <c r="AY35" s="55">
        <f>'LUC-2012-08-10-Run2'!CA42</f>
        <v>3.3981818181818184E-3</v>
      </c>
      <c r="AZ35" s="55">
        <f>'LUC-2012-08-10-Run2'!CB42</f>
        <v>3.4175E-3</v>
      </c>
      <c r="BA35" s="55">
        <f>'LUC-2012-08-10-Run2'!CC42</f>
        <v>3.4368181818181819E-3</v>
      </c>
      <c r="BB35" s="55">
        <f>'LUC-2012-08-10-Run2'!CD42</f>
        <v>3.4561363636363635E-3</v>
      </c>
      <c r="BC35" s="55">
        <f>'LUC-2012-08-10-Run2'!CE42</f>
        <v>3.4754545454545455E-3</v>
      </c>
      <c r="BD35" s="55">
        <f>'LUC-2012-08-10-Run2'!CF42</f>
        <v>3.4947727272727274E-3</v>
      </c>
      <c r="BE35" s="55">
        <f>'LUC-2012-08-10-Run2'!CG42</f>
        <v>3.5140909090909094E-3</v>
      </c>
      <c r="BF35" s="55">
        <f>'LUC-2012-08-10-Run2'!CH42</f>
        <v>3.533409090909091E-3</v>
      </c>
      <c r="BG35" s="55">
        <f>'LUC-2012-08-10-Run2'!CI42</f>
        <v>3.5527272727272729E-3</v>
      </c>
      <c r="BH35" s="55">
        <f>'LUC-2012-08-10-Run2'!CJ42</f>
        <v>3.5720454545454545E-3</v>
      </c>
      <c r="BI35" s="55">
        <f>'LUC-2012-08-10-Run2'!CK42</f>
        <v>3.5913636363636365E-3</v>
      </c>
      <c r="BJ35" s="55">
        <f>'LUC-2012-08-10-Run2'!CL42</f>
        <v>3.6106818181818184E-3</v>
      </c>
      <c r="BK35" s="55">
        <f>'LUC-2012-08-10-Run2'!CM42</f>
        <v>3.63E-3</v>
      </c>
      <c r="BM35" s="108"/>
      <c r="BN35" s="57" t="s">
        <v>101</v>
      </c>
      <c r="BO35" s="83">
        <f t="shared" si="23"/>
        <v>3.4209090909090913</v>
      </c>
      <c r="BP35" s="83">
        <f t="shared" si="24"/>
        <v>3.8463636363636371</v>
      </c>
      <c r="BQ35" s="83">
        <f t="shared" si="25"/>
        <v>4.2418181818181822</v>
      </c>
      <c r="BR35" s="83">
        <f t="shared" si="26"/>
        <v>4.5213636363636365</v>
      </c>
      <c r="BS35" s="83">
        <f t="shared" si="27"/>
        <v>4.8009090909090917</v>
      </c>
      <c r="BT35" s="83">
        <f t="shared" si="28"/>
        <v>5.080454545454546</v>
      </c>
      <c r="BU35" s="83">
        <f t="shared" si="29"/>
        <v>5.36</v>
      </c>
    </row>
    <row r="36" spans="1:75" x14ac:dyDescent="0.25">
      <c r="A36" s="56" t="s">
        <v>38</v>
      </c>
      <c r="B36" s="54" t="s">
        <v>101</v>
      </c>
      <c r="C36" s="56" t="s">
        <v>107</v>
      </c>
      <c r="D36" s="55">
        <f>'LUC-2012-08-10-Run2'!AF43</f>
        <v>3.4209090909090912E-3</v>
      </c>
      <c r="E36" s="55">
        <f>'LUC-2012-08-10-Run2'!AG43</f>
        <v>3.4681818181818186E-3</v>
      </c>
      <c r="F36" s="55">
        <f>'LUC-2012-08-10-Run2'!AH43</f>
        <v>3.5154545454545456E-3</v>
      </c>
      <c r="G36" s="55">
        <f>'LUC-2012-08-10-Run2'!AI43</f>
        <v>3.562727272727273E-3</v>
      </c>
      <c r="H36" s="55">
        <f>'LUC-2012-08-10-Run2'!AJ43</f>
        <v>3.6100000000000004E-3</v>
      </c>
      <c r="I36" s="55">
        <f>'LUC-2012-08-10-Run2'!AK43</f>
        <v>3.6572727272727278E-3</v>
      </c>
      <c r="J36" s="55">
        <f>'LUC-2012-08-10-Run2'!AL43</f>
        <v>3.7045454545454552E-3</v>
      </c>
      <c r="K36" s="55">
        <f>'LUC-2012-08-10-Run2'!AM43</f>
        <v>3.7518181818181826E-3</v>
      </c>
      <c r="L36" s="55">
        <f>'LUC-2012-08-10-Run2'!AN43</f>
        <v>3.7990909090909099E-3</v>
      </c>
      <c r="M36" s="55">
        <f>'LUC-2012-08-10-Run2'!AO43</f>
        <v>3.8463636363636369E-3</v>
      </c>
      <c r="N36" s="55">
        <f>'LUC-2012-08-10-Run2'!AP43</f>
        <v>3.8936363636363643E-3</v>
      </c>
      <c r="O36" s="55">
        <f>'LUC-2012-08-10-Run2'!AQ43</f>
        <v>3.9409090909090913E-3</v>
      </c>
      <c r="P36" s="55">
        <f>'LUC-2012-08-10-Run2'!AR43</f>
        <v>3.9881818181818187E-3</v>
      </c>
      <c r="Q36" s="55">
        <f>'LUC-2012-08-10-Run2'!AS43</f>
        <v>4.0354545454545461E-3</v>
      </c>
      <c r="R36" s="55">
        <f>'LUC-2012-08-10-Run2'!AT43</f>
        <v>4.0827272727272735E-3</v>
      </c>
      <c r="S36" s="55">
        <f>'LUC-2012-08-10-Run2'!AU43</f>
        <v>4.1300000000000009E-3</v>
      </c>
      <c r="T36" s="55">
        <f>'LUC-2012-08-10-Run2'!AV43</f>
        <v>4.1579545454545463E-3</v>
      </c>
      <c r="U36" s="55">
        <f>'LUC-2012-08-10-Run2'!AW43</f>
        <v>4.1859090909090917E-3</v>
      </c>
      <c r="V36" s="55">
        <f>'LUC-2012-08-10-Run2'!AX43</f>
        <v>4.2138636363636371E-3</v>
      </c>
      <c r="W36" s="55">
        <f>'LUC-2012-08-10-Run2'!AY43</f>
        <v>4.2418181818181825E-3</v>
      </c>
      <c r="X36" s="55">
        <f>'LUC-2012-08-10-Run2'!AZ43</f>
        <v>4.269772727272728E-3</v>
      </c>
      <c r="Y36" s="55">
        <f>'LUC-2012-08-10-Run2'!BA43</f>
        <v>4.2977272727272734E-3</v>
      </c>
      <c r="Z36" s="55">
        <f>'LUC-2012-08-10-Run2'!BB43</f>
        <v>4.3256818181818188E-3</v>
      </c>
      <c r="AA36" s="55">
        <f>'LUC-2012-08-10-Run2'!BC43</f>
        <v>4.3536363636363642E-3</v>
      </c>
      <c r="AB36" s="55">
        <f>'LUC-2012-08-10-Run2'!BD43</f>
        <v>4.3815909090909096E-3</v>
      </c>
      <c r="AC36" s="55">
        <f>'LUC-2012-08-10-Run2'!BE43</f>
        <v>4.4095454545454551E-3</v>
      </c>
      <c r="AD36" s="55">
        <f>'LUC-2012-08-10-Run2'!BF43</f>
        <v>4.4375000000000005E-3</v>
      </c>
      <c r="AE36" s="55">
        <f>'LUC-2012-08-10-Run2'!BG43</f>
        <v>4.4654545454545459E-3</v>
      </c>
      <c r="AF36" s="55">
        <f>'LUC-2012-08-10-Run2'!BH43</f>
        <v>4.4934090909090913E-3</v>
      </c>
      <c r="AG36" s="55">
        <f>'LUC-2012-08-10-Run2'!BI43</f>
        <v>4.5213636363636367E-3</v>
      </c>
      <c r="AH36" s="55">
        <f>'LUC-2012-08-10-Run2'!BJ43</f>
        <v>4.5493181818181821E-3</v>
      </c>
      <c r="AI36" s="55">
        <f>'LUC-2012-08-10-Run2'!BK43</f>
        <v>4.5772727272727276E-3</v>
      </c>
      <c r="AJ36" s="55">
        <f>'LUC-2012-08-10-Run2'!BL43</f>
        <v>4.605227272727273E-3</v>
      </c>
      <c r="AK36" s="55">
        <f>'LUC-2012-08-10-Run2'!BM43</f>
        <v>4.6331818181818184E-3</v>
      </c>
      <c r="AL36" s="55">
        <f>'LUC-2012-08-10-Run2'!BN43</f>
        <v>4.6611363636363638E-3</v>
      </c>
      <c r="AM36" s="55">
        <f>'LUC-2012-08-10-Run2'!BO43</f>
        <v>4.6890909090909101E-3</v>
      </c>
      <c r="AN36" s="55">
        <f>'LUC-2012-08-10-Run2'!BP43</f>
        <v>4.7170454545454547E-3</v>
      </c>
      <c r="AO36" s="55">
        <f>'LUC-2012-08-10-Run2'!BQ43</f>
        <v>4.745000000000001E-3</v>
      </c>
      <c r="AP36" s="55">
        <f>'LUC-2012-08-10-Run2'!BR43</f>
        <v>4.7729545454545455E-3</v>
      </c>
      <c r="AQ36" s="55">
        <f>'LUC-2012-08-10-Run2'!BS43</f>
        <v>4.8009090909090918E-3</v>
      </c>
      <c r="AR36" s="55">
        <f>'LUC-2012-08-10-Run2'!BT43</f>
        <v>4.8288636363636372E-3</v>
      </c>
      <c r="AS36" s="55">
        <f>'LUC-2012-08-10-Run2'!BU43</f>
        <v>4.8568181818181826E-3</v>
      </c>
      <c r="AT36" s="55">
        <f>'LUC-2012-08-10-Run2'!BV43</f>
        <v>4.8847727272727281E-3</v>
      </c>
      <c r="AU36" s="55">
        <f>'LUC-2012-08-10-Run2'!BW43</f>
        <v>4.9127272727272735E-3</v>
      </c>
      <c r="AV36" s="55">
        <f>'LUC-2012-08-10-Run2'!BX43</f>
        <v>4.9406818181818189E-3</v>
      </c>
      <c r="AW36" s="55">
        <f>'LUC-2012-08-10-Run2'!BY43</f>
        <v>4.9686363636363643E-3</v>
      </c>
      <c r="AX36" s="55">
        <f>'LUC-2012-08-10-Run2'!BZ43</f>
        <v>4.9965909090909097E-3</v>
      </c>
      <c r="AY36" s="55">
        <f>'LUC-2012-08-10-Run2'!CA43</f>
        <v>5.0245454545454551E-3</v>
      </c>
      <c r="AZ36" s="55">
        <f>'LUC-2012-08-10-Run2'!CB43</f>
        <v>5.0525000000000006E-3</v>
      </c>
      <c r="BA36" s="55">
        <f>'LUC-2012-08-10-Run2'!CC43</f>
        <v>5.080454545454546E-3</v>
      </c>
      <c r="BB36" s="55">
        <f>'LUC-2012-08-10-Run2'!CD43</f>
        <v>5.1084090909090914E-3</v>
      </c>
      <c r="BC36" s="55">
        <f>'LUC-2012-08-10-Run2'!CE43</f>
        <v>5.1363636363636368E-3</v>
      </c>
      <c r="BD36" s="55">
        <f>'LUC-2012-08-10-Run2'!CF43</f>
        <v>5.1643181818181822E-3</v>
      </c>
      <c r="BE36" s="55">
        <f>'LUC-2012-08-10-Run2'!CG43</f>
        <v>5.1922727272727277E-3</v>
      </c>
      <c r="BF36" s="55">
        <f>'LUC-2012-08-10-Run2'!CH43</f>
        <v>5.2202272727272731E-3</v>
      </c>
      <c r="BG36" s="55">
        <f>'LUC-2012-08-10-Run2'!CI43</f>
        <v>5.2481818181818185E-3</v>
      </c>
      <c r="BH36" s="55">
        <f>'LUC-2012-08-10-Run2'!CJ43</f>
        <v>5.2761363636363639E-3</v>
      </c>
      <c r="BI36" s="55">
        <f>'LUC-2012-08-10-Run2'!CK43</f>
        <v>5.3040909090909093E-3</v>
      </c>
      <c r="BJ36" s="55">
        <f>'LUC-2012-08-10-Run2'!CL43</f>
        <v>5.3320454545454548E-3</v>
      </c>
      <c r="BK36" s="55">
        <f>'LUC-2012-08-10-Run2'!CM43</f>
        <v>5.3600000000000002E-3</v>
      </c>
      <c r="BM36" s="108"/>
      <c r="BN36" s="57" t="s">
        <v>111</v>
      </c>
      <c r="BO36" s="83">
        <f t="shared" si="23"/>
        <v>1.4251346260975675</v>
      </c>
      <c r="BP36" s="83">
        <f t="shared" si="24"/>
        <v>1.5535321113085923</v>
      </c>
      <c r="BQ36" s="83">
        <f t="shared" si="25"/>
        <v>1.6874313272180377</v>
      </c>
      <c r="BR36" s="83">
        <f t="shared" si="26"/>
        <v>1.8081835583066099</v>
      </c>
      <c r="BS36" s="83">
        <f t="shared" si="27"/>
        <v>1.9289357893951826</v>
      </c>
      <c r="BT36" s="83">
        <f t="shared" si="28"/>
        <v>2.0496880204837549</v>
      </c>
      <c r="BU36" s="83">
        <f t="shared" si="29"/>
        <v>2.1704402515723271</v>
      </c>
    </row>
    <row r="37" spans="1:75" x14ac:dyDescent="0.25">
      <c r="A37" s="56" t="s">
        <v>38</v>
      </c>
      <c r="B37" s="54" t="s">
        <v>111</v>
      </c>
      <c r="C37" s="56" t="s">
        <v>107</v>
      </c>
      <c r="D37" s="55">
        <f>'LUC-2012-08-10-Run2'!AF44</f>
        <v>1.4251346260975674E-3</v>
      </c>
      <c r="E37" s="55">
        <f>'LUC-2012-08-10-Run2'!AG44</f>
        <v>1.4394010133432368E-3</v>
      </c>
      <c r="F37" s="55">
        <f>'LUC-2012-08-10-Run2'!AH44</f>
        <v>1.4536674005889063E-3</v>
      </c>
      <c r="G37" s="55">
        <f>'LUC-2012-08-10-Run2'!AI44</f>
        <v>1.4679337878345756E-3</v>
      </c>
      <c r="H37" s="55">
        <f>'LUC-2012-08-10-Run2'!AJ44</f>
        <v>1.4822001750802451E-3</v>
      </c>
      <c r="I37" s="55">
        <f>'LUC-2012-08-10-Run2'!AK44</f>
        <v>1.4964665623259145E-3</v>
      </c>
      <c r="J37" s="55">
        <f>'LUC-2012-08-10-Run2'!AL44</f>
        <v>1.510732949571584E-3</v>
      </c>
      <c r="K37" s="55">
        <f>'LUC-2012-08-10-Run2'!AM44</f>
        <v>1.5249993368172533E-3</v>
      </c>
      <c r="L37" s="55">
        <f>'LUC-2012-08-10-Run2'!AN44</f>
        <v>1.5392657240629226E-3</v>
      </c>
      <c r="M37" s="55">
        <f>'LUC-2012-08-10-Run2'!AO44</f>
        <v>1.5535321113085922E-3</v>
      </c>
      <c r="N37" s="55">
        <f>'LUC-2012-08-10-Run2'!AP44</f>
        <v>1.5677984985542617E-3</v>
      </c>
      <c r="O37" s="55">
        <f>'LUC-2012-08-10-Run2'!AQ44</f>
        <v>1.582064885799931E-3</v>
      </c>
      <c r="P37" s="55">
        <f>'LUC-2012-08-10-Run2'!AR44</f>
        <v>1.5963312730456003E-3</v>
      </c>
      <c r="Q37" s="55">
        <f>'LUC-2012-08-10-Run2'!AS44</f>
        <v>1.6105976602912699E-3</v>
      </c>
      <c r="R37" s="55">
        <f>'LUC-2012-08-10-Run2'!AT44</f>
        <v>1.6248640475369394E-3</v>
      </c>
      <c r="S37" s="55">
        <f>'LUC-2012-08-10-Run2'!AU44</f>
        <v>1.6391304347826087E-3</v>
      </c>
      <c r="T37" s="55">
        <f>'LUC-2012-08-10-Run2'!AV44</f>
        <v>1.6512056578914659E-3</v>
      </c>
      <c r="U37" s="55">
        <f>'LUC-2012-08-10-Run2'!AW44</f>
        <v>1.6632808810003231E-3</v>
      </c>
      <c r="V37" s="55">
        <f>'LUC-2012-08-10-Run2'!AX44</f>
        <v>1.6753561041091805E-3</v>
      </c>
      <c r="W37" s="55">
        <f>'LUC-2012-08-10-Run2'!AY44</f>
        <v>1.6874313272180377E-3</v>
      </c>
      <c r="X37" s="55">
        <f>'LUC-2012-08-10-Run2'!AZ44</f>
        <v>1.6995065503268949E-3</v>
      </c>
      <c r="Y37" s="55">
        <f>'LUC-2012-08-10-Run2'!BA44</f>
        <v>1.7115817734357521E-3</v>
      </c>
      <c r="Z37" s="55">
        <f>'LUC-2012-08-10-Run2'!BB44</f>
        <v>1.7236569965446095E-3</v>
      </c>
      <c r="AA37" s="55">
        <f>'LUC-2012-08-10-Run2'!BC44</f>
        <v>1.7357322196534667E-3</v>
      </c>
      <c r="AB37" s="55">
        <f>'LUC-2012-08-10-Run2'!BD44</f>
        <v>1.7478074427623239E-3</v>
      </c>
      <c r="AC37" s="55">
        <f>'LUC-2012-08-10-Run2'!BE44</f>
        <v>1.759882665871181E-3</v>
      </c>
      <c r="AD37" s="55">
        <f>'LUC-2012-08-10-Run2'!BF44</f>
        <v>1.7719578889800382E-3</v>
      </c>
      <c r="AE37" s="55">
        <f>'LUC-2012-08-10-Run2'!BG44</f>
        <v>1.7840331120888956E-3</v>
      </c>
      <c r="AF37" s="55">
        <f>'LUC-2012-08-10-Run2'!BH44</f>
        <v>1.7961083351977528E-3</v>
      </c>
      <c r="AG37" s="55">
        <f>'LUC-2012-08-10-Run2'!BI44</f>
        <v>1.80818355830661E-3</v>
      </c>
      <c r="AH37" s="55">
        <f>'LUC-2012-08-10-Run2'!BJ44</f>
        <v>1.8202587814154672E-3</v>
      </c>
      <c r="AI37" s="55">
        <f>'LUC-2012-08-10-Run2'!BK44</f>
        <v>1.8323340045243246E-3</v>
      </c>
      <c r="AJ37" s="55">
        <f>'LUC-2012-08-10-Run2'!BL44</f>
        <v>1.8444092276331818E-3</v>
      </c>
      <c r="AK37" s="55">
        <f>'LUC-2012-08-10-Run2'!BM44</f>
        <v>1.856484450742039E-3</v>
      </c>
      <c r="AL37" s="55">
        <f>'LUC-2012-08-10-Run2'!BN44</f>
        <v>1.8685596738508962E-3</v>
      </c>
      <c r="AM37" s="55">
        <f>'LUC-2012-08-10-Run2'!BO44</f>
        <v>1.8806348969597534E-3</v>
      </c>
      <c r="AN37" s="55">
        <f>'LUC-2012-08-10-Run2'!BP44</f>
        <v>1.8927101200686108E-3</v>
      </c>
      <c r="AO37" s="55">
        <f>'LUC-2012-08-10-Run2'!BQ44</f>
        <v>1.904785343177468E-3</v>
      </c>
      <c r="AP37" s="55">
        <f>'LUC-2012-08-10-Run2'!BR44</f>
        <v>1.9168605662863252E-3</v>
      </c>
      <c r="AQ37" s="55">
        <f>'LUC-2012-08-10-Run2'!BS44</f>
        <v>1.9289357893951826E-3</v>
      </c>
      <c r="AR37" s="55">
        <f>'LUC-2012-08-10-Run2'!BT44</f>
        <v>1.9410110125040398E-3</v>
      </c>
      <c r="AS37" s="55">
        <f>'LUC-2012-08-10-Run2'!BU44</f>
        <v>1.953086235612897E-3</v>
      </c>
      <c r="AT37" s="55">
        <f>'LUC-2012-08-10-Run2'!BV44</f>
        <v>1.9651614587217541E-3</v>
      </c>
      <c r="AU37" s="55">
        <f>'LUC-2012-08-10-Run2'!BW44</f>
        <v>1.9772366818306113E-3</v>
      </c>
      <c r="AV37" s="55">
        <f>'LUC-2012-08-10-Run2'!BX44</f>
        <v>1.9893119049394685E-3</v>
      </c>
      <c r="AW37" s="55">
        <f>'LUC-2012-08-10-Run2'!BY44</f>
        <v>2.0013871280483257E-3</v>
      </c>
      <c r="AX37" s="55">
        <f>'LUC-2012-08-10-Run2'!BZ44</f>
        <v>2.0134623511571829E-3</v>
      </c>
      <c r="AY37" s="55">
        <f>'LUC-2012-08-10-Run2'!CA44</f>
        <v>2.0255375742660405E-3</v>
      </c>
      <c r="AZ37" s="55">
        <f>'LUC-2012-08-10-Run2'!CB44</f>
        <v>2.0376127973748977E-3</v>
      </c>
      <c r="BA37" s="55">
        <f>'LUC-2012-08-10-Run2'!CC44</f>
        <v>2.0496880204837549E-3</v>
      </c>
      <c r="BB37" s="55">
        <f>'LUC-2012-08-10-Run2'!CD44</f>
        <v>2.0617632435926121E-3</v>
      </c>
      <c r="BC37" s="55">
        <f>'LUC-2012-08-10-Run2'!CE44</f>
        <v>2.0738384667014693E-3</v>
      </c>
      <c r="BD37" s="55">
        <f>'LUC-2012-08-10-Run2'!CF44</f>
        <v>2.0859136898103265E-3</v>
      </c>
      <c r="BE37" s="55">
        <f>'LUC-2012-08-10-Run2'!CG44</f>
        <v>2.0979889129191837E-3</v>
      </c>
      <c r="BF37" s="55">
        <f>'LUC-2012-08-10-Run2'!CH44</f>
        <v>2.1100641360280409E-3</v>
      </c>
      <c r="BG37" s="55">
        <f>'LUC-2012-08-10-Run2'!CI44</f>
        <v>2.1221393591368985E-3</v>
      </c>
      <c r="BH37" s="55">
        <f>'LUC-2012-08-10-Run2'!CJ44</f>
        <v>2.1342145822457557E-3</v>
      </c>
      <c r="BI37" s="55">
        <f>'LUC-2012-08-10-Run2'!CK44</f>
        <v>2.1462898053546129E-3</v>
      </c>
      <c r="BJ37" s="55">
        <f>'LUC-2012-08-10-Run2'!CL44</f>
        <v>2.1583650284634701E-3</v>
      </c>
      <c r="BK37" s="55">
        <f>'LUC-2012-08-10-Run2'!CM44</f>
        <v>2.1704402515723272E-3</v>
      </c>
      <c r="BM37" s="108"/>
      <c r="BN37" s="57" t="s">
        <v>102</v>
      </c>
      <c r="BO37" s="83">
        <f t="shared" si="23"/>
        <v>1.6577549140049139</v>
      </c>
      <c r="BP37" s="83">
        <f t="shared" si="24"/>
        <v>1.8618857493857495</v>
      </c>
      <c r="BQ37" s="83">
        <f t="shared" si="25"/>
        <v>2.0799754299754296</v>
      </c>
      <c r="BR37" s="83">
        <f t="shared" si="26"/>
        <v>2.2849815724815721</v>
      </c>
      <c r="BS37" s="83">
        <f t="shared" si="27"/>
        <v>2.489987714987715</v>
      </c>
      <c r="BT37" s="83">
        <f t="shared" si="28"/>
        <v>2.6949938574938574</v>
      </c>
      <c r="BU37" s="83">
        <f t="shared" si="29"/>
        <v>2.9</v>
      </c>
    </row>
    <row r="38" spans="1:75" x14ac:dyDescent="0.25">
      <c r="A38" s="56" t="s">
        <v>38</v>
      </c>
      <c r="B38" s="54" t="s">
        <v>102</v>
      </c>
      <c r="C38" s="56" t="s">
        <v>107</v>
      </c>
      <c r="D38" s="55">
        <f>'LUC-2012-08-10-Run2'!AF45</f>
        <v>1.6577549140049139E-3</v>
      </c>
      <c r="E38" s="55">
        <f>'LUC-2012-08-10-Run2'!AG45</f>
        <v>1.6804361179361179E-3</v>
      </c>
      <c r="F38" s="55">
        <f>'LUC-2012-08-10-Run2'!AH45</f>
        <v>1.7031173218673219E-3</v>
      </c>
      <c r="G38" s="55">
        <f>'LUC-2012-08-10-Run2'!AI45</f>
        <v>1.7257985257985258E-3</v>
      </c>
      <c r="H38" s="55">
        <f>'LUC-2012-08-10-Run2'!AJ45</f>
        <v>1.7484797297297296E-3</v>
      </c>
      <c r="I38" s="55">
        <f>'LUC-2012-08-10-Run2'!AK45</f>
        <v>1.7711609336609336E-3</v>
      </c>
      <c r="J38" s="55">
        <f>'LUC-2012-08-10-Run2'!AL45</f>
        <v>1.7938421375921377E-3</v>
      </c>
      <c r="K38" s="55">
        <f>'LUC-2012-08-10-Run2'!AM45</f>
        <v>1.8165233415233415E-3</v>
      </c>
      <c r="L38" s="55">
        <f>'LUC-2012-08-10-Run2'!AN45</f>
        <v>1.8392045454545453E-3</v>
      </c>
      <c r="M38" s="55">
        <f>'LUC-2012-08-10-Run2'!AO45</f>
        <v>1.8618857493857494E-3</v>
      </c>
      <c r="N38" s="55">
        <f>'LUC-2012-08-10-Run2'!AP45</f>
        <v>1.8845669533169532E-3</v>
      </c>
      <c r="O38" s="55">
        <f>'LUC-2012-08-10-Run2'!AQ45</f>
        <v>1.907248157248157E-3</v>
      </c>
      <c r="P38" s="55">
        <f>'LUC-2012-08-10-Run2'!AR45</f>
        <v>1.9299293611793611E-3</v>
      </c>
      <c r="Q38" s="55">
        <f>'LUC-2012-08-10-Run2'!AS45</f>
        <v>1.9526105651105651E-3</v>
      </c>
      <c r="R38" s="55">
        <f>'LUC-2012-08-10-Run2'!AT45</f>
        <v>1.9752917690417692E-3</v>
      </c>
      <c r="S38" s="55">
        <f>'LUC-2012-08-10-Run2'!AU45</f>
        <v>1.9979729729729728E-3</v>
      </c>
      <c r="T38" s="55">
        <f>'LUC-2012-08-10-Run2'!AV45</f>
        <v>2.0184735872235873E-3</v>
      </c>
      <c r="U38" s="55">
        <f>'LUC-2012-08-10-Run2'!AW45</f>
        <v>2.0389742014742013E-3</v>
      </c>
      <c r="V38" s="55">
        <f>'LUC-2012-08-10-Run2'!AX45</f>
        <v>2.0594748157248153E-3</v>
      </c>
      <c r="W38" s="55">
        <f>'LUC-2012-08-10-Run2'!AY45</f>
        <v>2.0799754299754298E-3</v>
      </c>
      <c r="X38" s="55">
        <f>'LUC-2012-08-10-Run2'!AZ45</f>
        <v>2.1004760442260443E-3</v>
      </c>
      <c r="Y38" s="55">
        <f>'LUC-2012-08-10-Run2'!BA45</f>
        <v>2.1209766584766583E-3</v>
      </c>
      <c r="Z38" s="55">
        <f>'LUC-2012-08-10-Run2'!BB45</f>
        <v>2.1414772727272723E-3</v>
      </c>
      <c r="AA38" s="55">
        <f>'LUC-2012-08-10-Run2'!BC45</f>
        <v>2.1619778869778868E-3</v>
      </c>
      <c r="AB38" s="55">
        <f>'LUC-2012-08-10-Run2'!BD45</f>
        <v>2.1824785012285013E-3</v>
      </c>
      <c r="AC38" s="55">
        <f>'LUC-2012-08-10-Run2'!BE45</f>
        <v>2.2029791154791153E-3</v>
      </c>
      <c r="AD38" s="55">
        <f>'LUC-2012-08-10-Run2'!BF45</f>
        <v>2.2234797297297293E-3</v>
      </c>
      <c r="AE38" s="55">
        <f>'LUC-2012-08-10-Run2'!BG45</f>
        <v>2.2439803439803438E-3</v>
      </c>
      <c r="AF38" s="55">
        <f>'LUC-2012-08-10-Run2'!BH45</f>
        <v>2.2644809582309583E-3</v>
      </c>
      <c r="AG38" s="55">
        <f>'LUC-2012-08-10-Run2'!BI45</f>
        <v>2.2849815724815723E-3</v>
      </c>
      <c r="AH38" s="55">
        <f>'LUC-2012-08-10-Run2'!BJ45</f>
        <v>2.3054821867321863E-3</v>
      </c>
      <c r="AI38" s="55">
        <f>'LUC-2012-08-10-Run2'!BK45</f>
        <v>2.3259828009828008E-3</v>
      </c>
      <c r="AJ38" s="55">
        <f>'LUC-2012-08-10-Run2'!BL45</f>
        <v>2.3464834152334153E-3</v>
      </c>
      <c r="AK38" s="55">
        <f>'LUC-2012-08-10-Run2'!BM45</f>
        <v>2.3669840294840293E-3</v>
      </c>
      <c r="AL38" s="55">
        <f>'LUC-2012-08-10-Run2'!BN45</f>
        <v>2.3874846437346433E-3</v>
      </c>
      <c r="AM38" s="55">
        <f>'LUC-2012-08-10-Run2'!BO45</f>
        <v>2.4079852579852578E-3</v>
      </c>
      <c r="AN38" s="55">
        <f>'LUC-2012-08-10-Run2'!BP45</f>
        <v>2.4284858722358723E-3</v>
      </c>
      <c r="AO38" s="55">
        <f>'LUC-2012-08-10-Run2'!BQ45</f>
        <v>2.4489864864864863E-3</v>
      </c>
      <c r="AP38" s="55">
        <f>'LUC-2012-08-10-Run2'!BR45</f>
        <v>2.4694871007371003E-3</v>
      </c>
      <c r="AQ38" s="55">
        <f>'LUC-2012-08-10-Run2'!BS45</f>
        <v>2.4899877149877148E-3</v>
      </c>
      <c r="AR38" s="55">
        <f>'LUC-2012-08-10-Run2'!BT45</f>
        <v>2.5104883292383293E-3</v>
      </c>
      <c r="AS38" s="55">
        <f>'LUC-2012-08-10-Run2'!BU45</f>
        <v>2.5309889434889433E-3</v>
      </c>
      <c r="AT38" s="55">
        <f>'LUC-2012-08-10-Run2'!BV45</f>
        <v>2.5514895577395573E-3</v>
      </c>
      <c r="AU38" s="55">
        <f>'LUC-2012-08-10-Run2'!BW45</f>
        <v>2.5719901719901718E-3</v>
      </c>
      <c r="AV38" s="55">
        <f>'LUC-2012-08-10-Run2'!BX45</f>
        <v>2.5924907862407863E-3</v>
      </c>
      <c r="AW38" s="55">
        <f>'LUC-2012-08-10-Run2'!BY45</f>
        <v>2.6129914004914003E-3</v>
      </c>
      <c r="AX38" s="55">
        <f>'LUC-2012-08-10-Run2'!BZ45</f>
        <v>2.6334920147420143E-3</v>
      </c>
      <c r="AY38" s="55">
        <f>'LUC-2012-08-10-Run2'!CA45</f>
        <v>2.6539926289926288E-3</v>
      </c>
      <c r="AZ38" s="55">
        <f>'LUC-2012-08-10-Run2'!CB45</f>
        <v>2.6744932432432433E-3</v>
      </c>
      <c r="BA38" s="55">
        <f>'LUC-2012-08-10-Run2'!CC45</f>
        <v>2.6949938574938573E-3</v>
      </c>
      <c r="BB38" s="55">
        <f>'LUC-2012-08-10-Run2'!CD45</f>
        <v>2.7154944717444713E-3</v>
      </c>
      <c r="BC38" s="55">
        <f>'LUC-2012-08-10-Run2'!CE45</f>
        <v>2.7359950859950858E-3</v>
      </c>
      <c r="BD38" s="55">
        <f>'LUC-2012-08-10-Run2'!CF45</f>
        <v>2.7564957002457003E-3</v>
      </c>
      <c r="BE38" s="55">
        <f>'LUC-2012-08-10-Run2'!CG45</f>
        <v>2.7769963144963143E-3</v>
      </c>
      <c r="BF38" s="55">
        <f>'LUC-2012-08-10-Run2'!CH45</f>
        <v>2.7974969287469283E-3</v>
      </c>
      <c r="BG38" s="55">
        <f>'LUC-2012-08-10-Run2'!CI45</f>
        <v>2.8179975429975428E-3</v>
      </c>
      <c r="BH38" s="55">
        <f>'LUC-2012-08-10-Run2'!CJ45</f>
        <v>2.8384981572481573E-3</v>
      </c>
      <c r="BI38" s="55">
        <f>'LUC-2012-08-10-Run2'!CK45</f>
        <v>2.8589987714987713E-3</v>
      </c>
      <c r="BJ38" s="55">
        <f>'LUC-2012-08-10-Run2'!CL45</f>
        <v>2.8794993857493853E-3</v>
      </c>
      <c r="BK38" s="55">
        <f>'LUC-2012-08-10-Run2'!CM45</f>
        <v>2.8999999999999998E-3</v>
      </c>
      <c r="BM38" s="108"/>
      <c r="BN38" s="57" t="s">
        <v>103</v>
      </c>
      <c r="BO38" s="67">
        <f t="shared" si="23"/>
        <v>61.52272727272728</v>
      </c>
      <c r="BP38" s="67">
        <f t="shared" si="24"/>
        <v>65.409090909090921</v>
      </c>
      <c r="BQ38" s="67">
        <f t="shared" si="25"/>
        <v>71.27272727272728</v>
      </c>
      <c r="BR38" s="67">
        <f t="shared" si="26"/>
        <v>79.454545454545453</v>
      </c>
      <c r="BS38" s="67">
        <f t="shared" si="27"/>
        <v>87.63636363636364</v>
      </c>
      <c r="BT38" s="67">
        <f t="shared" si="28"/>
        <v>95.818181818181813</v>
      </c>
      <c r="BU38" s="67">
        <f t="shared" si="29"/>
        <v>104</v>
      </c>
    </row>
    <row r="39" spans="1:75" x14ac:dyDescent="0.25">
      <c r="A39" s="56" t="s">
        <v>38</v>
      </c>
      <c r="B39" s="54" t="s">
        <v>103</v>
      </c>
      <c r="C39" s="56" t="s">
        <v>107</v>
      </c>
      <c r="D39" s="55">
        <f>'LUC-2012-08-10-Run2'!AF46</f>
        <v>6.1522727272727278E-2</v>
      </c>
      <c r="E39" s="55">
        <f>'LUC-2012-08-10-Run2'!AG46</f>
        <v>6.1954545454545457E-2</v>
      </c>
      <c r="F39" s="55">
        <f>'LUC-2012-08-10-Run2'!AH46</f>
        <v>6.2386363636363643E-2</v>
      </c>
      <c r="G39" s="55">
        <f>'LUC-2012-08-10-Run2'!AI46</f>
        <v>6.2818181818181829E-2</v>
      </c>
      <c r="H39" s="55">
        <f>'LUC-2012-08-10-Run2'!AJ46</f>
        <v>6.3250000000000001E-2</v>
      </c>
      <c r="I39" s="55">
        <f>'LUC-2012-08-10-Run2'!AK46</f>
        <v>6.3681818181818187E-2</v>
      </c>
      <c r="J39" s="55">
        <f>'LUC-2012-08-10-Run2'!AL46</f>
        <v>6.4113636363636373E-2</v>
      </c>
      <c r="K39" s="55">
        <f>'LUC-2012-08-10-Run2'!AM46</f>
        <v>6.4545454545454545E-2</v>
      </c>
      <c r="L39" s="55">
        <f>'LUC-2012-08-10-Run2'!AN46</f>
        <v>6.4977272727272731E-2</v>
      </c>
      <c r="M39" s="55">
        <f>'LUC-2012-08-10-Run2'!AO46</f>
        <v>6.5409090909090917E-2</v>
      </c>
      <c r="N39" s="55">
        <f>'LUC-2012-08-10-Run2'!AP46</f>
        <v>6.5840909090909089E-2</v>
      </c>
      <c r="O39" s="55">
        <f>'LUC-2012-08-10-Run2'!AQ46</f>
        <v>6.6272727272727275E-2</v>
      </c>
      <c r="P39" s="55">
        <f>'LUC-2012-08-10-Run2'!AR46</f>
        <v>6.6704545454545461E-2</v>
      </c>
      <c r="Q39" s="55">
        <f>'LUC-2012-08-10-Run2'!AS46</f>
        <v>6.7136363636363633E-2</v>
      </c>
      <c r="R39" s="55">
        <f>'LUC-2012-08-10-Run2'!AT46</f>
        <v>6.7568181818181819E-2</v>
      </c>
      <c r="S39" s="55">
        <f>'LUC-2012-08-10-Run2'!AU46</f>
        <v>6.8000000000000005E-2</v>
      </c>
      <c r="T39" s="55">
        <f>'LUC-2012-08-10-Run2'!AV46</f>
        <v>6.881818181818182E-2</v>
      </c>
      <c r="U39" s="55">
        <f>'LUC-2012-08-10-Run2'!AW46</f>
        <v>6.9636363636363635E-2</v>
      </c>
      <c r="V39" s="55">
        <f>'LUC-2012-08-10-Run2'!AX46</f>
        <v>7.0454545454545464E-2</v>
      </c>
      <c r="W39" s="55">
        <f>'LUC-2012-08-10-Run2'!AY46</f>
        <v>7.1272727272727279E-2</v>
      </c>
      <c r="X39" s="55">
        <f>'LUC-2012-08-10-Run2'!AZ46</f>
        <v>7.2090909090909094E-2</v>
      </c>
      <c r="Y39" s="55">
        <f>'LUC-2012-08-10-Run2'!BA46</f>
        <v>7.290909090909091E-2</v>
      </c>
      <c r="Z39" s="55">
        <f>'LUC-2012-08-10-Run2'!BB46</f>
        <v>7.3727272727272725E-2</v>
      </c>
      <c r="AA39" s="55">
        <f>'LUC-2012-08-10-Run2'!BC46</f>
        <v>7.4545454545454554E-2</v>
      </c>
      <c r="AB39" s="55">
        <f>'LUC-2012-08-10-Run2'!BD46</f>
        <v>7.5363636363636369E-2</v>
      </c>
      <c r="AC39" s="55">
        <f>'LUC-2012-08-10-Run2'!BE46</f>
        <v>7.6181818181818184E-2</v>
      </c>
      <c r="AD39" s="55">
        <f>'LUC-2012-08-10-Run2'!BF46</f>
        <v>7.6999999999999999E-2</v>
      </c>
      <c r="AE39" s="55">
        <f>'LUC-2012-08-10-Run2'!BG46</f>
        <v>7.7818181818181814E-2</v>
      </c>
      <c r="AF39" s="55">
        <f>'LUC-2012-08-10-Run2'!BH46</f>
        <v>7.8636363636363643E-2</v>
      </c>
      <c r="AG39" s="55">
        <f>'LUC-2012-08-10-Run2'!BI46</f>
        <v>7.9454545454545458E-2</v>
      </c>
      <c r="AH39" s="55">
        <f>'LUC-2012-08-10-Run2'!BJ46</f>
        <v>8.0272727272727273E-2</v>
      </c>
      <c r="AI39" s="55">
        <f>'LUC-2012-08-10-Run2'!BK46</f>
        <v>8.1090909090909088E-2</v>
      </c>
      <c r="AJ39" s="55">
        <f>'LUC-2012-08-10-Run2'!BL46</f>
        <v>8.1909090909090904E-2</v>
      </c>
      <c r="AK39" s="55">
        <f>'LUC-2012-08-10-Run2'!BM46</f>
        <v>8.2727272727272733E-2</v>
      </c>
      <c r="AL39" s="55">
        <f>'LUC-2012-08-10-Run2'!BN46</f>
        <v>8.3545454545454548E-2</v>
      </c>
      <c r="AM39" s="55">
        <f>'LUC-2012-08-10-Run2'!BO46</f>
        <v>8.4363636363636363E-2</v>
      </c>
      <c r="AN39" s="55">
        <f>'LUC-2012-08-10-Run2'!BP46</f>
        <v>8.5181818181818178E-2</v>
      </c>
      <c r="AO39" s="55">
        <f>'LUC-2012-08-10-Run2'!BQ46</f>
        <v>8.5999999999999993E-2</v>
      </c>
      <c r="AP39" s="55">
        <f>'LUC-2012-08-10-Run2'!BR46</f>
        <v>8.6818181818181822E-2</v>
      </c>
      <c r="AQ39" s="55">
        <f>'LUC-2012-08-10-Run2'!BS46</f>
        <v>8.7636363636363637E-2</v>
      </c>
      <c r="AR39" s="55">
        <f>'LUC-2012-08-10-Run2'!BT46</f>
        <v>8.8454545454545452E-2</v>
      </c>
      <c r="AS39" s="55">
        <f>'LUC-2012-08-10-Run2'!BU46</f>
        <v>8.9272727272727267E-2</v>
      </c>
      <c r="AT39" s="55">
        <f>'LUC-2012-08-10-Run2'!BV46</f>
        <v>9.0090909090909083E-2</v>
      </c>
      <c r="AU39" s="55">
        <f>'LUC-2012-08-10-Run2'!BW46</f>
        <v>9.0909090909090912E-2</v>
      </c>
      <c r="AV39" s="55">
        <f>'LUC-2012-08-10-Run2'!BX46</f>
        <v>9.1727272727272727E-2</v>
      </c>
      <c r="AW39" s="55">
        <f>'LUC-2012-08-10-Run2'!BY46</f>
        <v>9.2545454545454542E-2</v>
      </c>
      <c r="AX39" s="55">
        <f>'LUC-2012-08-10-Run2'!BZ46</f>
        <v>9.3363636363636357E-2</v>
      </c>
      <c r="AY39" s="55">
        <f>'LUC-2012-08-10-Run2'!CA46</f>
        <v>9.4181818181818172E-2</v>
      </c>
      <c r="AZ39" s="55">
        <f>'LUC-2012-08-10-Run2'!CB46</f>
        <v>9.5000000000000001E-2</v>
      </c>
      <c r="BA39" s="55">
        <f>'LUC-2012-08-10-Run2'!CC46</f>
        <v>9.5818181818181816E-2</v>
      </c>
      <c r="BB39" s="55">
        <f>'LUC-2012-08-10-Run2'!CD46</f>
        <v>9.6636363636363631E-2</v>
      </c>
      <c r="BC39" s="55">
        <f>'LUC-2012-08-10-Run2'!CE46</f>
        <v>9.7454545454545446E-2</v>
      </c>
      <c r="BD39" s="55">
        <f>'LUC-2012-08-10-Run2'!CF46</f>
        <v>9.8272727272727262E-2</v>
      </c>
      <c r="BE39" s="55">
        <f>'LUC-2012-08-10-Run2'!CG46</f>
        <v>9.9090909090909091E-2</v>
      </c>
      <c r="BF39" s="55">
        <f>'LUC-2012-08-10-Run2'!CH46</f>
        <v>9.9909090909090906E-2</v>
      </c>
      <c r="BG39" s="55">
        <f>'LUC-2012-08-10-Run2'!CI46</f>
        <v>0.10072727272727272</v>
      </c>
      <c r="BH39" s="55">
        <f>'LUC-2012-08-10-Run2'!CJ46</f>
        <v>0.10154545454545455</v>
      </c>
      <c r="BI39" s="55">
        <f>'LUC-2012-08-10-Run2'!CK46</f>
        <v>0.10236363636363635</v>
      </c>
      <c r="BJ39" s="55">
        <f>'LUC-2012-08-10-Run2'!CL46</f>
        <v>0.10318181818181818</v>
      </c>
      <c r="BK39" s="55">
        <f>'LUC-2012-08-10-Run2'!CM46</f>
        <v>0.104</v>
      </c>
      <c r="BM39" s="109"/>
      <c r="BN39" s="58" t="s">
        <v>104</v>
      </c>
      <c r="BO39" s="84">
        <f t="shared" si="23"/>
        <v>0.86618671127481961</v>
      </c>
      <c r="BP39" s="84">
        <f t="shared" si="24"/>
        <v>0.9303922102831238</v>
      </c>
      <c r="BQ39" s="84">
        <f t="shared" si="25"/>
        <v>1.043298969072165</v>
      </c>
      <c r="BR39" s="84">
        <f t="shared" si="26"/>
        <v>1.2185567010309277</v>
      </c>
      <c r="BS39" s="84">
        <f t="shared" si="27"/>
        <v>1.3938144329896907</v>
      </c>
      <c r="BT39" s="84">
        <f t="shared" si="28"/>
        <v>1.5690721649484536</v>
      </c>
      <c r="BU39" s="84">
        <f t="shared" si="29"/>
        <v>1.7443298969072165</v>
      </c>
    </row>
    <row r="40" spans="1:75" x14ac:dyDescent="0.25">
      <c r="A40" s="56" t="s">
        <v>38</v>
      </c>
      <c r="B40" s="54" t="s">
        <v>104</v>
      </c>
      <c r="C40" s="56" t="s">
        <v>107</v>
      </c>
      <c r="D40" s="55">
        <f>'LUC-2012-08-10-Run2'!AF50</f>
        <v>8.6618671127481966E-4</v>
      </c>
      <c r="E40" s="55">
        <f>'LUC-2012-08-10-Run2'!AG50</f>
        <v>8.7332065560907562E-4</v>
      </c>
      <c r="F40" s="55">
        <f>'LUC-2012-08-10-Run2'!AH50</f>
        <v>8.8045459994333169E-4</v>
      </c>
      <c r="G40" s="55">
        <f>'LUC-2012-08-10-Run2'!AI50</f>
        <v>8.8758854427758765E-4</v>
      </c>
      <c r="H40" s="55">
        <f>'LUC-2012-08-10-Run2'!AJ50</f>
        <v>8.9472248861184372E-4</v>
      </c>
      <c r="I40" s="55">
        <f>'LUC-2012-08-10-Run2'!AK50</f>
        <v>9.0185643294609969E-4</v>
      </c>
      <c r="J40" s="55">
        <f>'LUC-2012-08-10-Run2'!AL50</f>
        <v>9.0899037728035576E-4</v>
      </c>
      <c r="K40" s="55">
        <f>'LUC-2012-08-10-Run2'!AM50</f>
        <v>9.1612432161461172E-4</v>
      </c>
      <c r="L40" s="55">
        <f>'LUC-2012-08-10-Run2'!AN50</f>
        <v>9.2325826594886768E-4</v>
      </c>
      <c r="M40" s="55">
        <f>'LUC-2012-08-10-Run2'!AO50</f>
        <v>9.3039221028312375E-4</v>
      </c>
      <c r="N40" s="55">
        <f>'LUC-2012-08-10-Run2'!AP50</f>
        <v>9.3752615461737982E-4</v>
      </c>
      <c r="O40" s="55">
        <f>'LUC-2012-08-10-Run2'!AQ50</f>
        <v>9.4466009895163578E-4</v>
      </c>
      <c r="P40" s="55">
        <f>'LUC-2012-08-10-Run2'!AR50</f>
        <v>9.5179404328589175E-4</v>
      </c>
      <c r="Q40" s="55">
        <f>'LUC-2012-08-10-Run2'!AS50</f>
        <v>9.5892798762014782E-4</v>
      </c>
      <c r="R40" s="55">
        <f>'LUC-2012-08-10-Run2'!AT50</f>
        <v>9.6606193195440389E-4</v>
      </c>
      <c r="S40" s="55">
        <f>'LUC-2012-08-10-Run2'!AU50</f>
        <v>9.7319587628865985E-4</v>
      </c>
      <c r="T40" s="55">
        <f>'LUC-2012-08-10-Run2'!AV50</f>
        <v>9.9072164948453621E-4</v>
      </c>
      <c r="U40" s="55">
        <f>'LUC-2012-08-10-Run2'!AW50</f>
        <v>1.0082474226804125E-3</v>
      </c>
      <c r="V40" s="55">
        <f>'LUC-2012-08-10-Run2'!AX50</f>
        <v>1.0257731958762887E-3</v>
      </c>
      <c r="W40" s="55">
        <f>'LUC-2012-08-10-Run2'!AY50</f>
        <v>1.043298969072165E-3</v>
      </c>
      <c r="X40" s="55">
        <f>'LUC-2012-08-10-Run2'!AZ50</f>
        <v>1.0608247422680412E-3</v>
      </c>
      <c r="Y40" s="55">
        <f>'LUC-2012-08-10-Run2'!BA50</f>
        <v>1.0783505154639175E-3</v>
      </c>
      <c r="Z40" s="55">
        <f>'LUC-2012-08-10-Run2'!BB50</f>
        <v>1.095876288659794E-3</v>
      </c>
      <c r="AA40" s="55">
        <f>'LUC-2012-08-10-Run2'!BC50</f>
        <v>1.1134020618556702E-3</v>
      </c>
      <c r="AB40" s="55">
        <f>'LUC-2012-08-10-Run2'!BD50</f>
        <v>1.1309278350515465E-3</v>
      </c>
      <c r="AC40" s="55">
        <f>'LUC-2012-08-10-Run2'!BE50</f>
        <v>1.1484536082474227E-3</v>
      </c>
      <c r="AD40" s="55">
        <f>'LUC-2012-08-10-Run2'!BF50</f>
        <v>1.165979381443299E-3</v>
      </c>
      <c r="AE40" s="55">
        <f>'LUC-2012-08-10-Run2'!BG50</f>
        <v>1.1835051546391752E-3</v>
      </c>
      <c r="AF40" s="55">
        <f>'LUC-2012-08-10-Run2'!BH50</f>
        <v>1.2010309278350515E-3</v>
      </c>
      <c r="AG40" s="55">
        <f>'LUC-2012-08-10-Run2'!BI50</f>
        <v>1.2185567010309277E-3</v>
      </c>
      <c r="AH40" s="55">
        <f>'LUC-2012-08-10-Run2'!BJ50</f>
        <v>1.236082474226804E-3</v>
      </c>
      <c r="AI40" s="55">
        <f>'LUC-2012-08-10-Run2'!BK50</f>
        <v>1.2536082474226805E-3</v>
      </c>
      <c r="AJ40" s="55">
        <f>'LUC-2012-08-10-Run2'!BL50</f>
        <v>1.2711340206185567E-3</v>
      </c>
      <c r="AK40" s="55">
        <f>'LUC-2012-08-10-Run2'!BM50</f>
        <v>1.288659793814433E-3</v>
      </c>
      <c r="AL40" s="55">
        <f>'LUC-2012-08-10-Run2'!BN50</f>
        <v>1.3061855670103092E-3</v>
      </c>
      <c r="AM40" s="55">
        <f>'LUC-2012-08-10-Run2'!BO50</f>
        <v>1.3237113402061855E-3</v>
      </c>
      <c r="AN40" s="55">
        <f>'LUC-2012-08-10-Run2'!BP50</f>
        <v>1.3412371134020619E-3</v>
      </c>
      <c r="AO40" s="55">
        <f>'LUC-2012-08-10-Run2'!BQ50</f>
        <v>1.3587628865979382E-3</v>
      </c>
      <c r="AP40" s="55">
        <f>'LUC-2012-08-10-Run2'!BR50</f>
        <v>1.3762886597938145E-3</v>
      </c>
      <c r="AQ40" s="55">
        <f>'LUC-2012-08-10-Run2'!BS50</f>
        <v>1.3938144329896907E-3</v>
      </c>
      <c r="AR40" s="55">
        <f>'LUC-2012-08-10-Run2'!BT50</f>
        <v>1.411340206185567E-3</v>
      </c>
      <c r="AS40" s="55">
        <f>'LUC-2012-08-10-Run2'!BU50</f>
        <v>1.4288659793814432E-3</v>
      </c>
      <c r="AT40" s="55">
        <f>'LUC-2012-08-10-Run2'!BV50</f>
        <v>1.4463917525773195E-3</v>
      </c>
      <c r="AU40" s="55">
        <f>'LUC-2012-08-10-Run2'!BW50</f>
        <v>1.4639175257731957E-3</v>
      </c>
      <c r="AV40" s="55">
        <f>'LUC-2012-08-10-Run2'!BX50</f>
        <v>1.481443298969072E-3</v>
      </c>
      <c r="AW40" s="55">
        <f>'LUC-2012-08-10-Run2'!BY50</f>
        <v>1.4989690721649482E-3</v>
      </c>
      <c r="AX40" s="55">
        <f>'LUC-2012-08-10-Run2'!BZ50</f>
        <v>1.5164948453608247E-3</v>
      </c>
      <c r="AY40" s="55">
        <f>'LUC-2012-08-10-Run2'!CA50</f>
        <v>1.534020618556701E-3</v>
      </c>
      <c r="AZ40" s="55">
        <f>'LUC-2012-08-10-Run2'!CB50</f>
        <v>1.5515463917525772E-3</v>
      </c>
      <c r="BA40" s="55">
        <f>'LUC-2012-08-10-Run2'!CC50</f>
        <v>1.5690721649484537E-3</v>
      </c>
      <c r="BB40" s="55">
        <f>'LUC-2012-08-10-Run2'!CD50</f>
        <v>1.5865979381443299E-3</v>
      </c>
      <c r="BC40" s="55">
        <f>'LUC-2012-08-10-Run2'!CE50</f>
        <v>1.6041237113402062E-3</v>
      </c>
      <c r="BD40" s="55">
        <f>'LUC-2012-08-10-Run2'!CF50</f>
        <v>1.6216494845360824E-3</v>
      </c>
      <c r="BE40" s="55">
        <f>'LUC-2012-08-10-Run2'!CG50</f>
        <v>1.6391752577319587E-3</v>
      </c>
      <c r="BF40" s="55">
        <f>'LUC-2012-08-10-Run2'!CH50</f>
        <v>1.656701030927835E-3</v>
      </c>
      <c r="BG40" s="55">
        <f>'LUC-2012-08-10-Run2'!CI50</f>
        <v>1.6742268041237112E-3</v>
      </c>
      <c r="BH40" s="55">
        <f>'LUC-2012-08-10-Run2'!CJ50</f>
        <v>1.6917525773195875E-3</v>
      </c>
      <c r="BI40" s="55">
        <f>'LUC-2012-08-10-Run2'!CK50</f>
        <v>1.7092783505154637E-3</v>
      </c>
      <c r="BJ40" s="55">
        <f>'LUC-2012-08-10-Run2'!CL50</f>
        <v>1.72680412371134E-3</v>
      </c>
      <c r="BK40" s="55">
        <f>'LUC-2012-08-10-Run2'!CM50</f>
        <v>1.7443298969072164E-3</v>
      </c>
      <c r="BN40" s="56" t="s">
        <v>113</v>
      </c>
      <c r="BO40" s="51"/>
      <c r="BP40" s="51"/>
      <c r="BQ40" s="51"/>
      <c r="BR40" s="51"/>
      <c r="BS40" s="51"/>
      <c r="BT40" s="51"/>
      <c r="BU40" s="51"/>
    </row>
    <row r="41" spans="1:75" x14ac:dyDescent="0.25">
      <c r="BM41" s="61" t="s">
        <v>93</v>
      </c>
      <c r="BN41" s="61" t="s">
        <v>94</v>
      </c>
      <c r="BO41" s="61">
        <v>1991</v>
      </c>
      <c r="BP41" s="61">
        <v>2000</v>
      </c>
      <c r="BQ41" s="61">
        <v>2010</v>
      </c>
      <c r="BR41" s="61">
        <v>2020</v>
      </c>
      <c r="BS41" s="61">
        <v>2030</v>
      </c>
      <c r="BT41" s="61">
        <v>2040</v>
      </c>
      <c r="BU41" s="61">
        <v>2050</v>
      </c>
    </row>
    <row r="42" spans="1:75" x14ac:dyDescent="0.25">
      <c r="A42" s="54" t="s">
        <v>38</v>
      </c>
      <c r="B42" s="54" t="s">
        <v>105</v>
      </c>
      <c r="C42" s="54" t="s">
        <v>108</v>
      </c>
      <c r="D42" s="54">
        <f>'WAO Scenario Ag'!AF13</f>
        <v>264298.13384870189</v>
      </c>
      <c r="E42" s="54">
        <f>'WAO Scenario Ag'!AG13</f>
        <v>520633.93324715138</v>
      </c>
      <c r="F42" s="54">
        <f>'WAO Scenario Ag'!AH13</f>
        <v>769361.87263473251</v>
      </c>
      <c r="G42" s="54">
        <f>'WAO Scenario Ag'!AI13</f>
        <v>1010815.693040224</v>
      </c>
      <c r="H42" s="54">
        <f>'WAO Scenario Ag'!AJ13</f>
        <v>1245309.8961211501</v>
      </c>
      <c r="I42" s="54">
        <f>'WAO Scenario Ag'!AK13</f>
        <v>1473141.1108468894</v>
      </c>
      <c r="J42" s="54">
        <f>'WAO Scenario Ag'!AL13</f>
        <v>1694589.3453137057</v>
      </c>
      <c r="K42" s="54">
        <f>'WAO Scenario Ag'!AM13</f>
        <v>1909919.13479971</v>
      </c>
      <c r="L42" s="54">
        <f>'WAO Scenario Ag'!AN13</f>
        <v>2119380.5959568662</v>
      </c>
      <c r="M42" s="54">
        <f>'WAO Scenario Ag'!AO13</f>
        <v>2323210.3959727613</v>
      </c>
      <c r="N42" s="54">
        <f>'WAO Scenario Ag'!AP13</f>
        <v>2501128.3875601627</v>
      </c>
      <c r="O42" s="54">
        <f>'WAO Scenario Ag'!AQ13</f>
        <v>2992716.5447963728</v>
      </c>
      <c r="P42" s="54">
        <f>'WAO Scenario Ag'!AR13</f>
        <v>3870875.3137433636</v>
      </c>
      <c r="Q42" s="54">
        <f>'WAO Scenario Ag'!AS13</f>
        <v>4626359.6083531128</v>
      </c>
      <c r="R42" s="54">
        <f>'WAO Scenario Ag'!AT13</f>
        <v>5253285.8776954524</v>
      </c>
      <c r="S42" s="54">
        <f>'WAO Scenario Ag'!AU13</f>
        <v>6490042.973514053</v>
      </c>
      <c r="T42" s="54">
        <f>'WAO Scenario Ag'!AV13</f>
        <v>8626704.6787839495</v>
      </c>
      <c r="U42" s="54">
        <f>'WAO Scenario Ag'!AW13</f>
        <v>12139091.505161144</v>
      </c>
      <c r="V42" s="54">
        <f>'WAO Scenario Ag'!AX13</f>
        <v>13126471.001578134</v>
      </c>
      <c r="W42" s="54">
        <f>'WAO Scenario Ag'!AY13</f>
        <v>14105284.902994657</v>
      </c>
      <c r="X42" s="54">
        <f>'WAO Scenario Ag'!AZ13</f>
        <v>15075644.188851245</v>
      </c>
      <c r="Y42" s="54">
        <f>'WAO Scenario Ag'!BA13</f>
        <v>16037657.929637915</v>
      </c>
      <c r="Z42" s="54">
        <f>'WAO Scenario Ag'!BB13</f>
        <v>16991433.327763122</v>
      </c>
      <c r="AA42" s="54">
        <f>'WAO Scenario Ag'!BC13</f>
        <v>17937075.757377177</v>
      </c>
      <c r="AB42" s="54">
        <f>'WAO Scenario Ag'!BD13</f>
        <v>18874688.803181317</v>
      </c>
      <c r="AC42" s="54">
        <f>'WAO Scenario Ag'!BE13</f>
        <v>19804374.298252288</v>
      </c>
      <c r="AD42" s="54">
        <f>'WAO Scenario Ag'!BF13</f>
        <v>20726232.360911638</v>
      </c>
      <c r="AE42" s="54">
        <f>'WAO Scenario Ag'!BG13</f>
        <v>21640361.430667602</v>
      </c>
      <c r="AF42" s="54">
        <f>'WAO Scenario Ag'!BH13</f>
        <v>22546858.967190493</v>
      </c>
      <c r="AG42" s="54">
        <f>'WAO Scenario Ag'!BI13</f>
        <v>22453126.749261886</v>
      </c>
      <c r="AH42" s="54">
        <f>'WAO Scenario Ag'!BJ13</f>
        <v>22360170.635508824</v>
      </c>
      <c r="AI42" s="54">
        <f>'WAO Scenario Ag'!BK13</f>
        <v>22267981.026441887</v>
      </c>
      <c r="AJ42" s="54">
        <f>'WAO Scenario Ag'!BL13</f>
        <v>22176548.480234023</v>
      </c>
      <c r="AK42" s="54">
        <f>'WAO Scenario Ag'!BM13</f>
        <v>22085863.709497008</v>
      </c>
      <c r="AL42" s="54">
        <f>'WAO Scenario Ag'!BN13</f>
        <v>21995917.578136601</v>
      </c>
      <c r="AM42" s="54">
        <f>'WAO Scenario Ag'!BO13</f>
        <v>21906701.098284278</v>
      </c>
      <c r="AN42" s="54">
        <f>'WAO Scenario Ag'!BP13</f>
        <v>21818205.427303322</v>
      </c>
      <c r="AO42" s="54">
        <f>'WAO Scenario Ag'!BQ13</f>
        <v>21730421.86486721</v>
      </c>
      <c r="AP42" s="54">
        <f>'WAO Scenario Ag'!BR13</f>
        <v>21643341.85010818</v>
      </c>
      <c r="AQ42" s="54">
        <f>'WAO Scenario Ag'!BS13</f>
        <v>21556956.95883416</v>
      </c>
      <c r="AR42" s="54">
        <f>'WAO Scenario Ag'!BT13</f>
        <v>21471258.900812052</v>
      </c>
      <c r="AS42" s="54">
        <f>'WAO Scenario Ag'!BU13</f>
        <v>21386239.517115533</v>
      </c>
      <c r="AT42" s="54">
        <f>'WAO Scenario Ag'!BV13</f>
        <v>21301890.777535658</v>
      </c>
      <c r="AU42" s="54">
        <f>'WAO Scenario Ag'!BW13</f>
        <v>21218204.778052483</v>
      </c>
      <c r="AV42" s="54">
        <f>'WAO Scenario Ag'!BX13</f>
        <v>21135173.738366045</v>
      </c>
      <c r="AW42" s="54">
        <f>'WAO Scenario Ag'!BY13</f>
        <v>21052789.999485102</v>
      </c>
      <c r="AX42" s="54">
        <f>'WAO Scenario Ag'!BZ13</f>
        <v>20971046.021372028</v>
      </c>
      <c r="AY42" s="54">
        <f>'WAO Scenario Ag'!CA13</f>
        <v>20889934.380642388</v>
      </c>
      <c r="AZ42" s="54">
        <f>'WAO Scenario Ag'!CB13</f>
        <v>20809447.768317673</v>
      </c>
      <c r="BA42" s="54">
        <f>'WAO Scenario Ag'!CC13</f>
        <v>20729578.987629782</v>
      </c>
      <c r="BB42" s="54">
        <f>'WAO Scenario Ag'!CD13</f>
        <v>20650320.951875895</v>
      </c>
      <c r="BC42" s="54">
        <f>'WAO Scenario Ag'!CE13</f>
        <v>20571666.682322353</v>
      </c>
      <c r="BD42" s="54">
        <f>'WAO Scenario Ag'!CF13</f>
        <v>20493609.306156244</v>
      </c>
      <c r="BE42" s="54">
        <f>'WAO Scenario Ag'!CG13</f>
        <v>20416142.054483488</v>
      </c>
      <c r="BF42" s="54">
        <f>'WAO Scenario Ag'!CH13</f>
        <v>20339258.260372117</v>
      </c>
      <c r="BG42" s="54">
        <f>'WAO Scenario Ag'!CI13</f>
        <v>20262951.356939618</v>
      </c>
      <c r="BH42" s="54">
        <f>'WAO Scenario Ag'!CJ13</f>
        <v>20187214.875483166</v>
      </c>
      <c r="BI42" s="54">
        <f>'WAO Scenario Ag'!CK13</f>
        <v>20112042.443651643</v>
      </c>
      <c r="BJ42" s="54">
        <f>'WAO Scenario Ag'!CL13</f>
        <v>20037427.783658333</v>
      </c>
      <c r="BK42" s="54">
        <f>'WAO Scenario Ag'!CM13</f>
        <v>19963364.71053325</v>
      </c>
      <c r="BM42" s="103" t="s">
        <v>38</v>
      </c>
      <c r="BN42" s="59" t="s">
        <v>105</v>
      </c>
      <c r="BO42" s="80">
        <f>D42/1000000</f>
        <v>0.26429813384870188</v>
      </c>
      <c r="BP42" s="79">
        <f>M42/1000000</f>
        <v>2.3232103959727612</v>
      </c>
      <c r="BQ42" s="64">
        <f>W42/1000000</f>
        <v>14.105284902994656</v>
      </c>
      <c r="BR42" s="64">
        <f>AG42/1000000</f>
        <v>22.453126749261887</v>
      </c>
      <c r="BS42" s="64">
        <f>AQ42/1000000</f>
        <v>21.55695695883416</v>
      </c>
      <c r="BT42" s="64">
        <f>BA42/1000000</f>
        <v>20.729578987629782</v>
      </c>
      <c r="BU42" s="64">
        <f>BK42/1000000</f>
        <v>19.963364710533249</v>
      </c>
    </row>
    <row r="43" spans="1:75" x14ac:dyDescent="0.25">
      <c r="A43" s="54" t="s">
        <v>38</v>
      </c>
      <c r="B43" s="54" t="s">
        <v>106</v>
      </c>
      <c r="C43" s="54" t="s">
        <v>108</v>
      </c>
      <c r="D43" s="54">
        <f>'WAO Scenario Ag'!AF14</f>
        <v>0</v>
      </c>
      <c r="E43" s="54">
        <f>'WAO Scenario Ag'!AG14</f>
        <v>0</v>
      </c>
      <c r="F43" s="54">
        <f>'WAO Scenario Ag'!AH14</f>
        <v>0</v>
      </c>
      <c r="G43" s="54">
        <f>'WAO Scenario Ag'!AI14</f>
        <v>0</v>
      </c>
      <c r="H43" s="54">
        <f>'WAO Scenario Ag'!AJ14</f>
        <v>0</v>
      </c>
      <c r="I43" s="54">
        <f>'WAO Scenario Ag'!AK14</f>
        <v>0</v>
      </c>
      <c r="J43" s="54">
        <f>'WAO Scenario Ag'!AL14</f>
        <v>0</v>
      </c>
      <c r="K43" s="54">
        <f>'WAO Scenario Ag'!AM14</f>
        <v>0</v>
      </c>
      <c r="L43" s="54">
        <f>'WAO Scenario Ag'!AN14</f>
        <v>0</v>
      </c>
      <c r="M43" s="54">
        <f>'WAO Scenario Ag'!AO14</f>
        <v>0</v>
      </c>
      <c r="N43" s="54">
        <f>'WAO Scenario Ag'!AP14</f>
        <v>26902.341993431211</v>
      </c>
      <c r="O43" s="54">
        <f>'WAO Scenario Ag'!AQ14</f>
        <v>32526.606109635377</v>
      </c>
      <c r="P43" s="54">
        <f>'WAO Scenario Ag'!AR14</f>
        <v>43564.042547470432</v>
      </c>
      <c r="Q43" s="54">
        <f>'WAO Scenario Ag'!AS14</f>
        <v>84536.761375307266</v>
      </c>
      <c r="R43" s="54">
        <f>'WAO Scenario Ag'!AT14</f>
        <v>271911.14066607878</v>
      </c>
      <c r="S43" s="54">
        <f>'WAO Scenario Ag'!AU14</f>
        <v>741604.83511076646</v>
      </c>
      <c r="T43" s="54">
        <f>'WAO Scenario Ag'!AV14</f>
        <v>1435703.7325092244</v>
      </c>
      <c r="U43" s="54">
        <f>'WAO Scenario Ag'!AW14</f>
        <v>1777556.8524855981</v>
      </c>
      <c r="V43" s="54">
        <f>'WAO Scenario Ag'!AX14</f>
        <v>1863278.5505074349</v>
      </c>
      <c r="W43" s="54">
        <f>'WAO Scenario Ag'!AY14</f>
        <v>1947310.4713917852</v>
      </c>
      <c r="X43" s="54">
        <f>'WAO Scenario Ag'!AZ14</f>
        <v>2029702.0917361467</v>
      </c>
      <c r="Y43" s="54">
        <f>'WAO Scenario Ag'!BA14</f>
        <v>2110500.9752444732</v>
      </c>
      <c r="Z43" s="54">
        <f>'WAO Scenario Ag'!BB14</f>
        <v>2189752.8642889517</v>
      </c>
      <c r="AA43" s="54">
        <f>'WAO Scenario Ag'!BC14</f>
        <v>2267501.7662624517</v>
      </c>
      <c r="AB43" s="54">
        <f>'WAO Scenario Ag'!BD14</f>
        <v>2343790.0350641971</v>
      </c>
      <c r="AC43" s="54">
        <f>'WAO Scenario Ag'!BE14</f>
        <v>2418658.4480356607</v>
      </c>
      <c r="AD43" s="54">
        <f>'WAO Scenario Ag'!BF14</f>
        <v>2492146.2786403401</v>
      </c>
      <c r="AE43" s="54">
        <f>'WAO Scenario Ag'!BG14</f>
        <v>2564291.3651595972</v>
      </c>
      <c r="AF43" s="54">
        <f>'WAO Scenario Ag'!BH14</f>
        <v>2635128.1051006331</v>
      </c>
      <c r="AG43" s="54">
        <f>'WAO Scenario Ag'!BI14</f>
        <v>2611486.0130005423</v>
      </c>
      <c r="AH43" s="54">
        <f>'WAO Scenario Ag'!BJ14</f>
        <v>2588264.3773351274</v>
      </c>
      <c r="AI43" s="54">
        <f>'WAO Scenario Ag'!BK14</f>
        <v>2565452.080719721</v>
      </c>
      <c r="AJ43" s="54">
        <f>'WAO Scenario Ag'!BL14</f>
        <v>2543038.3942884281</v>
      </c>
      <c r="AK43" s="54">
        <f>'WAO Scenario Ag'!BM14</f>
        <v>2521012.960869187</v>
      </c>
      <c r="AL43" s="54">
        <f>'WAO Scenario Ag'!BN14</f>
        <v>2499365.7790256487</v>
      </c>
      <c r="AM43" s="54">
        <f>'WAO Scenario Ag'!BO14</f>
        <v>2478087.1879142313</v>
      </c>
      <c r="AN43" s="54">
        <f>'WAO Scenario Ag'!BP14</f>
        <v>2457167.8529081573</v>
      </c>
      <c r="AO43" s="54">
        <f>'WAO Scenario Ag'!BQ14</f>
        <v>2436598.751943558</v>
      </c>
      <c r="AP43" s="54">
        <f>'WAO Scenario Ag'!BR14</f>
        <v>2416371.1625456568</v>
      </c>
      <c r="AQ43" s="54">
        <f>'WAO Scenario Ag'!BS14</f>
        <v>2396476.6494958596</v>
      </c>
      <c r="AR43" s="54">
        <f>'WAO Scenario Ag'!BT14</f>
        <v>2376907.0531031038</v>
      </c>
      <c r="AS43" s="54">
        <f>'WAO Scenario Ag'!BU14</f>
        <v>2357654.4780452056</v>
      </c>
      <c r="AT43" s="54">
        <f>'WAO Scenario Ag'!BV14</f>
        <v>2338711.2827481581</v>
      </c>
      <c r="AU43" s="54">
        <f>'WAO Scenario Ag'!BW14</f>
        <v>2320070.0692733484</v>
      </c>
      <c r="AV43" s="54">
        <f>'WAO Scenario Ag'!BX14</f>
        <v>2301723.6736845965</v>
      </c>
      <c r="AW43" s="54">
        <f>'WAO Scenario Ag'!BY14</f>
        <v>2283665.1568686436</v>
      </c>
      <c r="AX43" s="54">
        <f>'WAO Scenario Ag'!BZ14</f>
        <v>2265887.795784404</v>
      </c>
      <c r="AY43" s="54">
        <f>'WAO Scenario Ag'!CA14</f>
        <v>2248385.0751177748</v>
      </c>
      <c r="AZ43" s="54">
        <f>'WAO Scenario Ag'!CB14</f>
        <v>2231150.6793202613</v>
      </c>
      <c r="BA43" s="54">
        <f>'WAO Scenario Ag'!CC14</f>
        <v>2214178.4850109671</v>
      </c>
      <c r="BB43" s="54">
        <f>'WAO Scenario Ag'!CD14</f>
        <v>2197462.5537227481</v>
      </c>
      <c r="BC43" s="54">
        <f>'WAO Scenario Ag'!CE14</f>
        <v>2180997.1249744887</v>
      </c>
      <c r="BD43" s="54">
        <f>'WAO Scenario Ag'!CF14</f>
        <v>2164776.6096525108</v>
      </c>
      <c r="BE43" s="54">
        <f>'WAO Scenario Ag'!CG14</f>
        <v>2148795.5836851476</v>
      </c>
      <c r="BF43" s="54">
        <f>'WAO Scenario Ag'!CH14</f>
        <v>2133048.7819954366</v>
      </c>
      <c r="BG43" s="54">
        <f>'WAO Scenario Ag'!CI14</f>
        <v>2117531.0927177821</v>
      </c>
      <c r="BH43" s="54">
        <f>'WAO Scenario Ag'!CJ14</f>
        <v>2102237.5516652218</v>
      </c>
      <c r="BI43" s="54">
        <f>'WAO Scenario Ag'!CK14</f>
        <v>2087163.3370347449</v>
      </c>
      <c r="BJ43" s="54">
        <f>'WAO Scenario Ag'!CL14</f>
        <v>2072303.7643387644</v>
      </c>
      <c r="BK43" s="54">
        <f>'WAO Scenario Ag'!CM14</f>
        <v>2057654.2815515902</v>
      </c>
      <c r="BM43" s="104"/>
      <c r="BN43" s="57" t="s">
        <v>106</v>
      </c>
      <c r="BO43" s="65">
        <f t="shared" ref="BO43:BO45" si="30">D43/1000000</f>
        <v>0</v>
      </c>
      <c r="BP43" s="65">
        <f>M43/1000000</f>
        <v>0</v>
      </c>
      <c r="BQ43" s="77">
        <f>W43/1000000</f>
        <v>1.9473104713917853</v>
      </c>
      <c r="BR43" s="77">
        <f>AG43/1000000</f>
        <v>2.6114860130005422</v>
      </c>
      <c r="BS43" s="77">
        <f>AQ43/1000000</f>
        <v>2.3964766494958596</v>
      </c>
      <c r="BT43" s="77">
        <f>BA43/1000000</f>
        <v>2.2141784850109669</v>
      </c>
      <c r="BU43" s="77">
        <f>BK43/1000000</f>
        <v>2.0576542815515904</v>
      </c>
    </row>
    <row r="44" spans="1:75" x14ac:dyDescent="0.25">
      <c r="A44" s="54" t="s">
        <v>71</v>
      </c>
      <c r="B44" s="54" t="s">
        <v>105</v>
      </c>
      <c r="C44" s="54" t="s">
        <v>108</v>
      </c>
      <c r="D44" s="54">
        <f>SUM('WAO Scenario Ag'!AF15:AF19)</f>
        <v>639160.18152283935</v>
      </c>
      <c r="E44" s="54">
        <f>SUM('WAO Scenario Ag'!AG15:AG19)</f>
        <v>1260334.4766563233</v>
      </c>
      <c r="F44" s="54">
        <f>SUM('WAO Scenario Ag'!AH15:AH19)</f>
        <v>1864320.3504968507</v>
      </c>
      <c r="G44" s="54">
        <f>SUM('WAO Scenario Ag'!AI15:AI19)</f>
        <v>2451866.8720739367</v>
      </c>
      <c r="H44" s="54">
        <f>SUM('WAO Scenario Ag'!AJ15:AJ19)</f>
        <v>3023678.4294577935</v>
      </c>
      <c r="I44" s="54">
        <f>SUM('WAO Scenario Ag'!AK15:AK19)</f>
        <v>3580418.101937185</v>
      </c>
      <c r="J44" s="54">
        <f>SUM('WAO Scenario Ag'!AL15:AL19)</f>
        <v>4122710.7260433994</v>
      </c>
      <c r="K44" s="54">
        <f>SUM('WAO Scenario Ag'!AM15:AM19)</f>
        <v>4651145.68772492</v>
      </c>
      <c r="L44" s="54">
        <f>SUM('WAO Scenario Ag'!AN15:AN19)</f>
        <v>5166279.4691113401</v>
      </c>
      <c r="M44" s="54">
        <f>SUM('WAO Scenario Ag'!AO15:AO19)</f>
        <v>5668637.9749544468</v>
      </c>
      <c r="N44" s="54">
        <f>SUM('WAO Scenario Ag'!AP15:AP19)</f>
        <v>5980546.2373877177</v>
      </c>
      <c r="O44" s="54">
        <f>SUM('WAO Scenario Ag'!AQ15:AQ19)</f>
        <v>6638800.9409040771</v>
      </c>
      <c r="P44" s="54">
        <f>SUM('WAO Scenario Ag'!AR15:AR19)</f>
        <v>7484130.7807543855</v>
      </c>
      <c r="Q44" s="54">
        <f>SUM('WAO Scenario Ag'!AS15:AS19)</f>
        <v>7034455.9229356954</v>
      </c>
      <c r="R44" s="54">
        <f>SUM('WAO Scenario Ag'!AT15:AT19)</f>
        <v>7903645.5993537521</v>
      </c>
      <c r="S44" s="54">
        <f>SUM('WAO Scenario Ag'!AU15:AU19)</f>
        <v>9197553.4458393417</v>
      </c>
      <c r="T44" s="54">
        <f>SUM('WAO Scenario Ag'!AV15:AV19)</f>
        <v>11066979.968464991</v>
      </c>
      <c r="U44" s="54">
        <f>SUM('WAO Scenario Ag'!AW15:AW19)</f>
        <v>14573348.882268846</v>
      </c>
      <c r="V44" s="54">
        <f>SUM('WAO Scenario Ag'!AX15:AX19)</f>
        <v>16480635.482583547</v>
      </c>
      <c r="W44" s="54">
        <f>SUM('WAO Scenario Ag'!AY15:AY19)</f>
        <v>18357374.759719029</v>
      </c>
      <c r="X44" s="54">
        <f>SUM('WAO Scenario Ag'!AZ15:AZ19)</f>
        <v>20204308.984758273</v>
      </c>
      <c r="Y44" s="54">
        <f>SUM('WAO Scenario Ag'!BA15:BA19)</f>
        <v>22022156.215674914</v>
      </c>
      <c r="Z44" s="54">
        <f>SUM('WAO Scenario Ag'!BB15:BB19)</f>
        <v>23811611.293651588</v>
      </c>
      <c r="AA44" s="54">
        <f>SUM('WAO Scenario Ag'!BC15:BC19)</f>
        <v>25573346.789631065</v>
      </c>
      <c r="AB44" s="54">
        <f>SUM('WAO Scenario Ag'!BD15:BD19)</f>
        <v>27308013.904040743</v>
      </c>
      <c r="AC44" s="54">
        <f>SUM('WAO Scenario Ag'!BE15:BE19)</f>
        <v>29016243.322429951</v>
      </c>
      <c r="AD44" s="54">
        <f>SUM('WAO Scenario Ag'!BF15:BF19)</f>
        <v>30698646.029573184</v>
      </c>
      <c r="AE44" s="54">
        <f>SUM('WAO Scenario Ag'!BG15:BG19)</f>
        <v>32355814.084421281</v>
      </c>
      <c r="AF44" s="54">
        <f>SUM('WAO Scenario Ag'!BH15:BH19)</f>
        <v>33988318.638258822</v>
      </c>
      <c r="AG44" s="54">
        <f>SUM('WAO Scenario Ag'!BI15:BI19)</f>
        <v>33736168.163949437</v>
      </c>
      <c r="AH44" s="54">
        <f>SUM('WAO Scenario Ag'!BJ15:BJ19)</f>
        <v>33487803.494097676</v>
      </c>
      <c r="AI44" s="54">
        <f>SUM('WAO Scenario Ag'!BK15:BK19)</f>
        <v>33243138.864732359</v>
      </c>
      <c r="AJ44" s="54">
        <f>SUM('WAO Scenario Ag'!BL15:BL19)</f>
        <v>33002091.122473001</v>
      </c>
      <c r="AK44" s="54">
        <f>SUM('WAO Scenario Ag'!BM15:BM19)</f>
        <v>32764579.624238435</v>
      </c>
      <c r="AL44" s="54">
        <f>SUM('WAO Scenario Ag'!BN15:BN19)</f>
        <v>32530526.141632184</v>
      </c>
      <c r="AM44" s="54">
        <f>SUM('WAO Scenario Ag'!BO15:BO19)</f>
        <v>32299854.76974697</v>
      </c>
      <c r="AN44" s="54">
        <f>SUM('WAO Scenario Ag'!BP15:BP19)</f>
        <v>32072491.840146884</v>
      </c>
      <c r="AO44" s="54">
        <f>SUM('WAO Scenario Ag'!BQ15:BQ19)</f>
        <v>31848365.837801337</v>
      </c>
      <c r="AP44" s="54">
        <f>SUM('WAO Scenario Ag'!BR15:BR19)</f>
        <v>31627407.321758781</v>
      </c>
      <c r="AQ44" s="54">
        <f>SUM('WAO Scenario Ag'!BS15:BS19)</f>
        <v>31409548.849361558</v>
      </c>
      <c r="AR44" s="54">
        <f>SUM('WAO Scenario Ag'!BT15:BT19)</f>
        <v>31194724.90381537</v>
      </c>
      <c r="AS44" s="54">
        <f>SUM('WAO Scenario Ag'!BU15:BU19)</f>
        <v>30982871.824938159</v>
      </c>
      <c r="AT44" s="54">
        <f>SUM('WAO Scenario Ag'!BV15:BV19)</f>
        <v>30773927.742923949</v>
      </c>
      <c r="AU44" s="54">
        <f>SUM('WAO Scenario Ag'!BW15:BW19)</f>
        <v>30567832.51496686</v>
      </c>
      <c r="AV44" s="54">
        <f>SUM('WAO Scenario Ag'!BX15:BX19)</f>
        <v>30364527.664599743</v>
      </c>
      <c r="AW44" s="54">
        <f>SUM('WAO Scenario Ag'!BY15:BY19)</f>
        <v>30163956.323610522</v>
      </c>
      <c r="AX44" s="54">
        <f>SUM('WAO Scenario Ag'!BZ15:BZ19)</f>
        <v>29966063.176407252</v>
      </c>
      <c r="AY44" s="54">
        <f>SUM('WAO Scenario Ag'!CA15:CA19)</f>
        <v>29770794.406710178</v>
      </c>
      <c r="AZ44" s="54">
        <f>SUM('WAO Scenario Ag'!CB15:CB19)</f>
        <v>29578097.64645654</v>
      </c>
      <c r="BA44" s="54">
        <f>SUM('WAO Scenario Ag'!CC15:CC19)</f>
        <v>29387921.926809732</v>
      </c>
      <c r="BB44" s="54">
        <f>SUM('WAO Scenario Ag'!CD15:CD19)</f>
        <v>29200217.631171055</v>
      </c>
      <c r="BC44" s="54">
        <f>SUM('WAO Scenario Ag'!CE15:CE19)</f>
        <v>29014936.450097706</v>
      </c>
      <c r="BD44" s="54">
        <f>SUM('WAO Scenario Ag'!CF15:CF19)</f>
        <v>28832031.338036075</v>
      </c>
      <c r="BE44" s="54">
        <f>SUM('WAO Scenario Ag'!CG15:CG19)</f>
        <v>28651456.471784424</v>
      </c>
      <c r="BF44" s="54">
        <f>SUM('WAO Scenario Ag'!CH15:CH19)</f>
        <v>28473167.210603755</v>
      </c>
      <c r="BG44" s="54">
        <f>SUM('WAO Scenario Ag'!CI15:CI19)</f>
        <v>28297120.057899848</v>
      </c>
      <c r="BH44" s="54">
        <f>SUM('WAO Scenario Ag'!CJ15:CJ19)</f>
        <v>28123272.624404017</v>
      </c>
      <c r="BI44" s="54">
        <f>SUM('WAO Scenario Ag'!CK15:CK19)</f>
        <v>27951583.592783477</v>
      </c>
      <c r="BJ44" s="54">
        <f>SUM('WAO Scenario Ag'!CL15:CL19)</f>
        <v>27782012.683616344</v>
      </c>
      <c r="BK44" s="54">
        <f>SUM('WAO Scenario Ag'!CM15:CM19)</f>
        <v>27614520.622669324</v>
      </c>
      <c r="BM44" s="104" t="s">
        <v>71</v>
      </c>
      <c r="BN44" s="57" t="s">
        <v>105</v>
      </c>
      <c r="BO44" s="82">
        <f t="shared" si="30"/>
        <v>0.63916018152283938</v>
      </c>
      <c r="BP44" s="77">
        <f>M44/1000000</f>
        <v>5.6686379749544464</v>
      </c>
      <c r="BQ44" s="65">
        <f>W44/1000000</f>
        <v>18.357374759719029</v>
      </c>
      <c r="BR44" s="65">
        <f>AG44/1000000</f>
        <v>33.736168163949436</v>
      </c>
      <c r="BS44" s="65">
        <f>AQ44/1000000</f>
        <v>31.409548849361556</v>
      </c>
      <c r="BT44" s="65">
        <f>BA44/1000000</f>
        <v>29.387921926809732</v>
      </c>
      <c r="BU44" s="65">
        <f>BK44/1000000</f>
        <v>27.614520622669325</v>
      </c>
    </row>
    <row r="45" spans="1:75" x14ac:dyDescent="0.25">
      <c r="A45" s="54" t="s">
        <v>71</v>
      </c>
      <c r="B45" s="54" t="s">
        <v>106</v>
      </c>
      <c r="C45" s="54" t="s">
        <v>108</v>
      </c>
      <c r="D45" s="54">
        <f>'WAO Scenario Ag'!AF20</f>
        <v>138599.56472198345</v>
      </c>
      <c r="E45" s="54">
        <f>'WAO Scenario Ag'!AG20</f>
        <v>273457.71379753767</v>
      </c>
      <c r="F45" s="54">
        <f>'WAO Scenario Ag'!AH20</f>
        <v>404723.92573324346</v>
      </c>
      <c r="G45" s="54">
        <f>'WAO Scenario Ag'!AI20</f>
        <v>532539.82098634238</v>
      </c>
      <c r="H45" s="54">
        <f>'WAO Scenario Ag'!AJ20</f>
        <v>657039.67163612996</v>
      </c>
      <c r="I45" s="54">
        <f>'WAO Scenario Ag'!AK20</f>
        <v>778350.87189472397</v>
      </c>
      <c r="J45" s="54">
        <f>'WAO Scenario Ag'!AL20</f>
        <v>896594.37292321946</v>
      </c>
      <c r="K45" s="54">
        <f>'WAO Scenario Ag'!AM20</f>
        <v>1011885.0850730242</v>
      </c>
      <c r="L45" s="54">
        <f>'WAO Scenario Ag'!AN20</f>
        <v>1124332.2503643718</v>
      </c>
      <c r="M45" s="54">
        <f>'WAO Scenario Ag'!AO20</f>
        <v>1234039.7877399891</v>
      </c>
      <c r="N45" s="54">
        <f>'WAO Scenario Ag'!AP20</f>
        <v>1527995.2742244024</v>
      </c>
      <c r="O45" s="54">
        <f>'WAO Scenario Ag'!AQ20</f>
        <v>1967130.5156948098</v>
      </c>
      <c r="P45" s="54">
        <f>'WAO Scenario Ag'!AR20</f>
        <v>2598021.0199561203</v>
      </c>
      <c r="Q45" s="54">
        <f>'WAO Scenario Ag'!AS20</f>
        <v>3251413.8990502795</v>
      </c>
      <c r="R45" s="54">
        <f>'WAO Scenario Ag'!AT20</f>
        <v>4998965.2574780276</v>
      </c>
      <c r="S45" s="54">
        <f>'WAO Scenario Ag'!AU20</f>
        <v>8192818.5498469528</v>
      </c>
      <c r="T45" s="54">
        <f>'WAO Scenario Ag'!AV20</f>
        <v>10999483.226062525</v>
      </c>
      <c r="U45" s="54">
        <f>'WAO Scenario Ag'!AW20</f>
        <v>16417552.904479241</v>
      </c>
      <c r="V45" s="54">
        <f>'WAO Scenario Ag'!AX20</f>
        <v>19071444.584975265</v>
      </c>
      <c r="W45" s="54">
        <f>'WAO Scenario Ag'!AY20</f>
        <v>21673021.79211675</v>
      </c>
      <c r="X45" s="54">
        <f>'WAO Scenario Ag'!AZ20</f>
        <v>24223816.291296955</v>
      </c>
      <c r="Y45" s="54">
        <f>'WAO Scenario Ag'!BA20</f>
        <v>26725300.625887387</v>
      </c>
      <c r="Z45" s="54">
        <f>'WAO Scenario Ag'!BB20</f>
        <v>29178890.951934762</v>
      </c>
      <c r="AA45" s="54">
        <f>'WAO Scenario Ag'!BC20</f>
        <v>31585949.711580537</v>
      </c>
      <c r="AB45" s="54">
        <f>'WAO Scenario Ag'!BD20</f>
        <v>33947788.155807592</v>
      </c>
      <c r="AC45" s="54">
        <f>'WAO Scenario Ag'!BE20</f>
        <v>36265668.726328865</v>
      </c>
      <c r="AD45" s="54">
        <f>'WAO Scenario Ag'!BF20</f>
        <v>38540807.305709042</v>
      </c>
      <c r="AE45" s="54">
        <f>'WAO Scenario Ag'!BG20</f>
        <v>40774375.344146028</v>
      </c>
      <c r="AF45" s="54">
        <f>'WAO Scenario Ag'!BH20</f>
        <v>42967496.11918278</v>
      </c>
      <c r="AG45" s="54">
        <f>'WAO Scenario Ag'!BI20</f>
        <v>42581996.264889657</v>
      </c>
      <c r="AH45" s="54">
        <f>'WAO Scenario Ag'!BJ20</f>
        <v>42203352.229177132</v>
      </c>
      <c r="AI45" s="54">
        <f>'WAO Scenario Ag'!BK20</f>
        <v>41831382.735779516</v>
      </c>
      <c r="AJ45" s="54">
        <f>'WAO Scenario Ag'!BL20</f>
        <v>41465912.84348508</v>
      </c>
      <c r="AK45" s="54">
        <f>'WAO Scenario Ag'!BM20</f>
        <v>41106773.671794437</v>
      </c>
      <c r="AL45" s="54">
        <f>'WAO Scenario Ag'!BN20</f>
        <v>40753802.140712865</v>
      </c>
      <c r="AM45" s="54">
        <f>'WAO Scenario Ag'!BO20</f>
        <v>40406840.723834582</v>
      </c>
      <c r="AN45" s="54">
        <f>'WAO Scenario Ag'!BP20</f>
        <v>40065737.213933289</v>
      </c>
      <c r="AO45" s="54">
        <f>'WAO Scenario Ag'!BQ20</f>
        <v>39730344.500326388</v>
      </c>
      <c r="AP45" s="54">
        <f>'WAO Scenario Ag'!BR20</f>
        <v>39400520.3573284</v>
      </c>
      <c r="AQ45" s="54">
        <f>'WAO Scenario Ag'!BS20</f>
        <v>39076127.243154719</v>
      </c>
      <c r="AR45" s="54">
        <f>'WAO Scenario Ag'!BT20</f>
        <v>38757032.108678281</v>
      </c>
      <c r="AS45" s="54">
        <f>'WAO Scenario Ag'!BU20</f>
        <v>38443106.215480417</v>
      </c>
      <c r="AT45" s="54">
        <f>'WAO Scenario Ag'!BV20</f>
        <v>38134224.962673269</v>
      </c>
      <c r="AU45" s="54">
        <f>'WAO Scenario Ag'!BW20</f>
        <v>37830267.722004265</v>
      </c>
      <c r="AV45" s="54">
        <f>'WAO Scenario Ag'!BX20</f>
        <v>37531117.680784315</v>
      </c>
      <c r="AW45" s="54">
        <f>'WAO Scenario Ag'!BY20</f>
        <v>37236661.692209892</v>
      </c>
      <c r="AX45" s="54">
        <f>'WAO Scenario Ag'!BZ20</f>
        <v>36946790.132676281</v>
      </c>
      <c r="AY45" s="54">
        <f>'WAO Scenario Ag'!CA20</f>
        <v>36661396.765703775</v>
      </c>
      <c r="AZ45" s="54">
        <f>'WAO Scenario Ag'!CB20</f>
        <v>36380378.612122275</v>
      </c>
      <c r="BA45" s="54">
        <f>'WAO Scenario Ag'!CC20</f>
        <v>36103635.826180644</v>
      </c>
      <c r="BB45" s="54">
        <f>'WAO Scenario Ag'!CD20</f>
        <v>35831071.577268109</v>
      </c>
      <c r="BC45" s="54">
        <f>'WAO Scenario Ag'!CE20</f>
        <v>35562591.936953053</v>
      </c>
      <c r="BD45" s="54">
        <f>'WAO Scenario Ag'!CF20</f>
        <v>35298105.771062598</v>
      </c>
      <c r="BE45" s="54">
        <f>'WAO Scenario Ag'!CG20</f>
        <v>35037524.63654238</v>
      </c>
      <c r="BF45" s="54">
        <f>'WAO Scenario Ag'!CH20</f>
        <v>34780762.682851195</v>
      </c>
      <c r="BG45" s="54">
        <f>'WAO Scenario Ag'!CI20</f>
        <v>34527736.557659894</v>
      </c>
      <c r="BH45" s="54">
        <f>'WAO Scenario Ag'!CJ20</f>
        <v>34278365.316636555</v>
      </c>
      <c r="BI45" s="54">
        <f>'WAO Scenario Ag'!CK20</f>
        <v>34032570.337113149</v>
      </c>
      <c r="BJ45" s="54">
        <f>'WAO Scenario Ag'!CL20</f>
        <v>33790275.235439949</v>
      </c>
      <c r="BK45" s="54">
        <f>'WAO Scenario Ag'!CM20</f>
        <v>33551405.787845522</v>
      </c>
      <c r="BM45" s="105"/>
      <c r="BN45" s="58" t="s">
        <v>106</v>
      </c>
      <c r="BO45" s="81">
        <f t="shared" si="30"/>
        <v>0.13859956472198345</v>
      </c>
      <c r="BP45" s="78">
        <f>M45/1000000</f>
        <v>1.2340397877399891</v>
      </c>
      <c r="BQ45" s="66">
        <f>W45/1000000</f>
        <v>21.673021792116749</v>
      </c>
      <c r="BR45" s="66">
        <f>AG45/1000000</f>
        <v>42.581996264889661</v>
      </c>
      <c r="BS45" s="66">
        <f>AQ45/1000000</f>
        <v>39.076127243154723</v>
      </c>
      <c r="BT45" s="66">
        <f>BA45/1000000</f>
        <v>36.103635826180643</v>
      </c>
      <c r="BU45" s="66">
        <f>BK45/1000000</f>
        <v>33.551405787845525</v>
      </c>
      <c r="BV45" s="99">
        <f>SUM(BU42:BU45)</f>
        <v>83.18694540259969</v>
      </c>
      <c r="BW45" s="99"/>
    </row>
    <row r="46" spans="1:75" x14ac:dyDescent="0.25">
      <c r="BN46" s="54" t="s">
        <v>110</v>
      </c>
    </row>
    <row r="47" spans="1:75" x14ac:dyDescent="0.25">
      <c r="A47" s="54" t="s">
        <v>38</v>
      </c>
      <c r="B47" s="54" t="s">
        <v>105</v>
      </c>
      <c r="C47" s="54" t="s">
        <v>109</v>
      </c>
      <c r="D47" s="54">
        <f>D52*$D$65</f>
        <v>20945863829.462044</v>
      </c>
      <c r="E47" s="54">
        <f t="shared" ref="E47:BK47" si="31">E52*$D$65</f>
        <v>41891727658.924088</v>
      </c>
      <c r="F47" s="54">
        <f t="shared" si="31"/>
        <v>62837591488.386124</v>
      </c>
      <c r="G47" s="54">
        <f t="shared" si="31"/>
        <v>83783455317.848175</v>
      </c>
      <c r="H47" s="54">
        <f t="shared" si="31"/>
        <v>104729319147.31021</v>
      </c>
      <c r="I47" s="54">
        <f t="shared" si="31"/>
        <v>125675182976.77226</v>
      </c>
      <c r="J47" s="54">
        <f t="shared" si="31"/>
        <v>146621046806.23428</v>
      </c>
      <c r="K47" s="54">
        <f t="shared" si="31"/>
        <v>167566910635.69635</v>
      </c>
      <c r="L47" s="54">
        <f t="shared" si="31"/>
        <v>188512774465.15839</v>
      </c>
      <c r="M47" s="54">
        <f t="shared" si="31"/>
        <v>209458638294.62042</v>
      </c>
      <c r="N47" s="54">
        <f t="shared" si="31"/>
        <v>228531004354.98901</v>
      </c>
      <c r="O47" s="54">
        <f t="shared" si="31"/>
        <v>277075236804.16864</v>
      </c>
      <c r="P47" s="54">
        <f t="shared" si="31"/>
        <v>363069578260.54443</v>
      </c>
      <c r="Q47" s="54">
        <f t="shared" si="31"/>
        <v>439537659874.07227</v>
      </c>
      <c r="R47" s="54">
        <f t="shared" si="31"/>
        <v>505467316536.44946</v>
      </c>
      <c r="S47" s="54">
        <f t="shared" si="31"/>
        <v>632333281993.57776</v>
      </c>
      <c r="T47" s="54">
        <f t="shared" si="31"/>
        <v>844221116548.12439</v>
      </c>
      <c r="U47" s="54">
        <f t="shared" si="31"/>
        <v>1193169600000.0002</v>
      </c>
      <c r="V47" s="54">
        <f t="shared" si="31"/>
        <v>1295865975600.0002</v>
      </c>
      <c r="W47" s="54">
        <f t="shared" si="31"/>
        <v>1398562351200.0002</v>
      </c>
      <c r="X47" s="54">
        <f t="shared" si="31"/>
        <v>1501258726800.0002</v>
      </c>
      <c r="Y47" s="54">
        <f t="shared" si="31"/>
        <v>1603955102400.0002</v>
      </c>
      <c r="Z47" s="54">
        <f t="shared" si="31"/>
        <v>1706651478000.0002</v>
      </c>
      <c r="AA47" s="54">
        <f t="shared" si="31"/>
        <v>1809347853599.9998</v>
      </c>
      <c r="AB47" s="54">
        <f t="shared" si="31"/>
        <v>1912044229199.9998</v>
      </c>
      <c r="AC47" s="54">
        <f t="shared" si="31"/>
        <v>2014740604799.9998</v>
      </c>
      <c r="AD47" s="54">
        <f t="shared" si="31"/>
        <v>2117436980399.9998</v>
      </c>
      <c r="AE47" s="54">
        <f t="shared" si="31"/>
        <v>2220133356000</v>
      </c>
      <c r="AF47" s="54">
        <f t="shared" si="31"/>
        <v>2322829800000</v>
      </c>
      <c r="AG47" s="54">
        <f t="shared" si="31"/>
        <v>2322829800000</v>
      </c>
      <c r="AH47" s="54">
        <f t="shared" si="31"/>
        <v>2322829800000</v>
      </c>
      <c r="AI47" s="54">
        <f t="shared" si="31"/>
        <v>2322829800000</v>
      </c>
      <c r="AJ47" s="54">
        <f t="shared" si="31"/>
        <v>2322829800000</v>
      </c>
      <c r="AK47" s="54">
        <f t="shared" si="31"/>
        <v>2322829800000</v>
      </c>
      <c r="AL47" s="54">
        <f t="shared" si="31"/>
        <v>2322829800000</v>
      </c>
      <c r="AM47" s="54">
        <f t="shared" si="31"/>
        <v>2322829800000</v>
      </c>
      <c r="AN47" s="54">
        <f t="shared" si="31"/>
        <v>2322829800000</v>
      </c>
      <c r="AO47" s="54">
        <f t="shared" si="31"/>
        <v>2322829800000</v>
      </c>
      <c r="AP47" s="54">
        <f t="shared" si="31"/>
        <v>2322829800000</v>
      </c>
      <c r="AQ47" s="54">
        <f t="shared" si="31"/>
        <v>2322829800000</v>
      </c>
      <c r="AR47" s="54">
        <f t="shared" si="31"/>
        <v>2322829800000</v>
      </c>
      <c r="AS47" s="54">
        <f t="shared" si="31"/>
        <v>2322829800000</v>
      </c>
      <c r="AT47" s="54">
        <f t="shared" si="31"/>
        <v>2322829800000</v>
      </c>
      <c r="AU47" s="54">
        <f t="shared" si="31"/>
        <v>2322829800000</v>
      </c>
      <c r="AV47" s="54">
        <f t="shared" si="31"/>
        <v>2322829800000</v>
      </c>
      <c r="AW47" s="54">
        <f t="shared" si="31"/>
        <v>2322829800000</v>
      </c>
      <c r="AX47" s="54">
        <f t="shared" si="31"/>
        <v>2322829800000</v>
      </c>
      <c r="AY47" s="54">
        <f t="shared" si="31"/>
        <v>2322829800000</v>
      </c>
      <c r="AZ47" s="54">
        <f t="shared" si="31"/>
        <v>2322829800000</v>
      </c>
      <c r="BA47" s="54">
        <f t="shared" si="31"/>
        <v>2322829800000</v>
      </c>
      <c r="BB47" s="54">
        <f t="shared" si="31"/>
        <v>2322829800000</v>
      </c>
      <c r="BC47" s="54">
        <f t="shared" si="31"/>
        <v>2322829800000</v>
      </c>
      <c r="BD47" s="54">
        <f t="shared" si="31"/>
        <v>2322829800000</v>
      </c>
      <c r="BE47" s="54">
        <f t="shared" si="31"/>
        <v>2322829800000</v>
      </c>
      <c r="BF47" s="54">
        <f t="shared" si="31"/>
        <v>2322829800000</v>
      </c>
      <c r="BG47" s="54">
        <f t="shared" si="31"/>
        <v>2322829800000</v>
      </c>
      <c r="BH47" s="54">
        <f t="shared" si="31"/>
        <v>2322829800000</v>
      </c>
      <c r="BI47" s="54">
        <f t="shared" si="31"/>
        <v>2322829800000</v>
      </c>
      <c r="BJ47" s="54">
        <f t="shared" si="31"/>
        <v>2322829800000</v>
      </c>
      <c r="BK47" s="54">
        <f t="shared" si="31"/>
        <v>2322829800000</v>
      </c>
      <c r="BM47" s="61" t="s">
        <v>93</v>
      </c>
      <c r="BN47" s="61" t="s">
        <v>94</v>
      </c>
      <c r="BO47" s="61">
        <v>1991</v>
      </c>
      <c r="BP47" s="61">
        <v>2000</v>
      </c>
      <c r="BQ47" s="61">
        <v>2010</v>
      </c>
      <c r="BR47" s="61">
        <v>2020</v>
      </c>
      <c r="BS47" s="61">
        <v>2030</v>
      </c>
      <c r="BT47" s="61">
        <v>2040</v>
      </c>
      <c r="BU47" s="61">
        <v>2050</v>
      </c>
    </row>
    <row r="48" spans="1:75" x14ac:dyDescent="0.25">
      <c r="A48" s="54" t="s">
        <v>38</v>
      </c>
      <c r="B48" s="54" t="s">
        <v>106</v>
      </c>
      <c r="C48" s="54" t="s">
        <v>109</v>
      </c>
      <c r="D48" s="54">
        <f>D53*$D$66</f>
        <v>0</v>
      </c>
      <c r="E48" s="54">
        <f t="shared" ref="E48:BK48" si="32">E53*$D$66</f>
        <v>0</v>
      </c>
      <c r="F48" s="54">
        <f t="shared" si="32"/>
        <v>0</v>
      </c>
      <c r="G48" s="54">
        <f t="shared" si="32"/>
        <v>0</v>
      </c>
      <c r="H48" s="54">
        <f t="shared" si="32"/>
        <v>0</v>
      </c>
      <c r="I48" s="54">
        <f t="shared" si="32"/>
        <v>0</v>
      </c>
      <c r="J48" s="54">
        <f t="shared" si="32"/>
        <v>0</v>
      </c>
      <c r="K48" s="54">
        <f t="shared" si="32"/>
        <v>0</v>
      </c>
      <c r="L48" s="54">
        <f t="shared" si="32"/>
        <v>0</v>
      </c>
      <c r="M48" s="54">
        <f t="shared" si="32"/>
        <v>0</v>
      </c>
      <c r="N48" s="54">
        <f t="shared" si="32"/>
        <v>1209973112.2397101</v>
      </c>
      <c r="O48" s="54">
        <f t="shared" si="32"/>
        <v>1480539550.5759602</v>
      </c>
      <c r="P48" s="54">
        <f t="shared" si="32"/>
        <v>2006520706.7016301</v>
      </c>
      <c r="Q48" s="54">
        <f t="shared" si="32"/>
        <v>3939447342.1758003</v>
      </c>
      <c r="R48" s="54">
        <f t="shared" si="32"/>
        <v>12818355582.618181</v>
      </c>
      <c r="S48" s="54">
        <f t="shared" si="32"/>
        <v>35361951224.794533</v>
      </c>
      <c r="T48" s="54">
        <f t="shared" si="32"/>
        <v>69161110701.758881</v>
      </c>
      <c r="U48" s="54">
        <f t="shared" si="32"/>
        <v>86498700000</v>
      </c>
      <c r="V48" s="54">
        <f t="shared" si="32"/>
        <v>91581682900</v>
      </c>
      <c r="W48" s="54">
        <f t="shared" si="32"/>
        <v>96664665800.000015</v>
      </c>
      <c r="X48" s="54">
        <f t="shared" si="32"/>
        <v>101747648700.00003</v>
      </c>
      <c r="Y48" s="54">
        <f t="shared" si="32"/>
        <v>106830631600.00002</v>
      </c>
      <c r="Z48" s="54">
        <f t="shared" si="32"/>
        <v>111913614500.00002</v>
      </c>
      <c r="AA48" s="54">
        <f t="shared" si="32"/>
        <v>116996597400.00005</v>
      </c>
      <c r="AB48" s="54">
        <f t="shared" si="32"/>
        <v>122079580300.00003</v>
      </c>
      <c r="AC48" s="54">
        <f t="shared" si="32"/>
        <v>127162563200.00003</v>
      </c>
      <c r="AD48" s="54">
        <f t="shared" si="32"/>
        <v>132245546100.00006</v>
      </c>
      <c r="AE48" s="54">
        <f t="shared" si="32"/>
        <v>137328529000.00005</v>
      </c>
      <c r="AF48" s="54">
        <f t="shared" si="32"/>
        <v>142411400000</v>
      </c>
      <c r="AG48" s="54">
        <f t="shared" si="32"/>
        <v>142411400000</v>
      </c>
      <c r="AH48" s="54">
        <f t="shared" si="32"/>
        <v>142411400000</v>
      </c>
      <c r="AI48" s="54">
        <f t="shared" si="32"/>
        <v>142411400000</v>
      </c>
      <c r="AJ48" s="54">
        <f t="shared" si="32"/>
        <v>142411400000</v>
      </c>
      <c r="AK48" s="54">
        <f t="shared" si="32"/>
        <v>142411400000</v>
      </c>
      <c r="AL48" s="54">
        <f t="shared" si="32"/>
        <v>142411400000</v>
      </c>
      <c r="AM48" s="54">
        <f t="shared" si="32"/>
        <v>142411400000</v>
      </c>
      <c r="AN48" s="54">
        <f t="shared" si="32"/>
        <v>142411400000</v>
      </c>
      <c r="AO48" s="54">
        <f t="shared" si="32"/>
        <v>142411400000</v>
      </c>
      <c r="AP48" s="54">
        <f t="shared" si="32"/>
        <v>142411400000</v>
      </c>
      <c r="AQ48" s="54">
        <f t="shared" si="32"/>
        <v>142411400000</v>
      </c>
      <c r="AR48" s="54">
        <f t="shared" si="32"/>
        <v>142411400000</v>
      </c>
      <c r="AS48" s="54">
        <f t="shared" si="32"/>
        <v>142411400000</v>
      </c>
      <c r="AT48" s="54">
        <f t="shared" si="32"/>
        <v>142411400000</v>
      </c>
      <c r="AU48" s="54">
        <f t="shared" si="32"/>
        <v>142411400000</v>
      </c>
      <c r="AV48" s="54">
        <f t="shared" si="32"/>
        <v>142411400000</v>
      </c>
      <c r="AW48" s="54">
        <f t="shared" si="32"/>
        <v>142411400000</v>
      </c>
      <c r="AX48" s="54">
        <f t="shared" si="32"/>
        <v>142411400000</v>
      </c>
      <c r="AY48" s="54">
        <f t="shared" si="32"/>
        <v>142411400000</v>
      </c>
      <c r="AZ48" s="54">
        <f t="shared" si="32"/>
        <v>142411400000</v>
      </c>
      <c r="BA48" s="54">
        <f t="shared" si="32"/>
        <v>142411400000</v>
      </c>
      <c r="BB48" s="54">
        <f t="shared" si="32"/>
        <v>142411400000</v>
      </c>
      <c r="BC48" s="54">
        <f t="shared" si="32"/>
        <v>142411400000</v>
      </c>
      <c r="BD48" s="54">
        <f t="shared" si="32"/>
        <v>142411400000</v>
      </c>
      <c r="BE48" s="54">
        <f t="shared" si="32"/>
        <v>142411400000</v>
      </c>
      <c r="BF48" s="54">
        <f t="shared" si="32"/>
        <v>142411400000</v>
      </c>
      <c r="BG48" s="54">
        <f t="shared" si="32"/>
        <v>142411400000</v>
      </c>
      <c r="BH48" s="54">
        <f t="shared" si="32"/>
        <v>142411400000</v>
      </c>
      <c r="BI48" s="54">
        <f t="shared" si="32"/>
        <v>142411400000</v>
      </c>
      <c r="BJ48" s="54">
        <f t="shared" si="32"/>
        <v>142411400000</v>
      </c>
      <c r="BK48" s="54">
        <f t="shared" si="32"/>
        <v>142411400000</v>
      </c>
      <c r="BM48" s="103" t="s">
        <v>38</v>
      </c>
      <c r="BN48" s="59" t="s">
        <v>105</v>
      </c>
      <c r="BO48" s="70">
        <f>D47/1000000000000</f>
        <v>2.0945863829462043E-2</v>
      </c>
      <c r="BP48" s="70">
        <f>M47/1000000000000</f>
        <v>0.20945863829462041</v>
      </c>
      <c r="BQ48" s="71">
        <f>W47/1000000000000</f>
        <v>1.3985623512000003</v>
      </c>
      <c r="BR48" s="71">
        <f>AG47/1000000000000</f>
        <v>2.3228298000000001</v>
      </c>
      <c r="BS48" s="71">
        <f>AQ47/1000000000000</f>
        <v>2.3228298000000001</v>
      </c>
      <c r="BT48" s="71">
        <f>BA47/1000000000000</f>
        <v>2.3228298000000001</v>
      </c>
      <c r="BU48" s="71">
        <f>BK47/1000000000000</f>
        <v>2.3228298000000001</v>
      </c>
    </row>
    <row r="49" spans="1:75" x14ac:dyDescent="0.25">
      <c r="A49" s="54" t="s">
        <v>71</v>
      </c>
      <c r="B49" s="54" t="s">
        <v>105</v>
      </c>
      <c r="C49" s="54" t="s">
        <v>109</v>
      </c>
      <c r="D49" s="54">
        <f>D54*$D$65</f>
        <v>38467632636.660408</v>
      </c>
      <c r="E49" s="54">
        <f t="shared" ref="E49:BK49" si="33">E54*$D$65</f>
        <v>76935265273.320816</v>
      </c>
      <c r="F49" s="54">
        <f t="shared" si="33"/>
        <v>115402897909.9812</v>
      </c>
      <c r="G49" s="54">
        <f t="shared" si="33"/>
        <v>153870530546.64163</v>
      </c>
      <c r="H49" s="54">
        <f t="shared" si="33"/>
        <v>192338163183.30203</v>
      </c>
      <c r="I49" s="54">
        <f t="shared" si="33"/>
        <v>230805795819.9624</v>
      </c>
      <c r="J49" s="54">
        <f t="shared" si="33"/>
        <v>269273428456.62283</v>
      </c>
      <c r="K49" s="54">
        <f t="shared" si="33"/>
        <v>307741061093.28326</v>
      </c>
      <c r="L49" s="54">
        <f t="shared" si="33"/>
        <v>346208693729.94366</v>
      </c>
      <c r="M49" s="54">
        <f t="shared" si="33"/>
        <v>384676326366.60406</v>
      </c>
      <c r="N49" s="54">
        <f t="shared" si="33"/>
        <v>413014964761.60956</v>
      </c>
      <c r="O49" s="54">
        <f t="shared" si="33"/>
        <v>473042309596.35553</v>
      </c>
      <c r="P49" s="54">
        <f t="shared" si="33"/>
        <v>560404066267.67346</v>
      </c>
      <c r="Q49" s="54">
        <f t="shared" si="33"/>
        <v>574487053735.35046</v>
      </c>
      <c r="R49" s="54">
        <f t="shared" si="33"/>
        <v>655601171659.73401</v>
      </c>
      <c r="S49" s="54">
        <f t="shared" si="33"/>
        <v>788161062010.43115</v>
      </c>
      <c r="T49" s="54">
        <f t="shared" si="33"/>
        <v>990135632416.01428</v>
      </c>
      <c r="U49" s="54">
        <f t="shared" si="33"/>
        <v>1346419800000.0002</v>
      </c>
      <c r="V49" s="54">
        <f t="shared" si="33"/>
        <v>1506727648800.0002</v>
      </c>
      <c r="W49" s="54">
        <f t="shared" si="33"/>
        <v>1667035497600.0002</v>
      </c>
      <c r="X49" s="54">
        <f t="shared" si="33"/>
        <v>1827343346400.0002</v>
      </c>
      <c r="Y49" s="54">
        <f t="shared" si="33"/>
        <v>1987651195200.0002</v>
      </c>
      <c r="Z49" s="54">
        <f t="shared" si="33"/>
        <v>2147959044000.0005</v>
      </c>
      <c r="AA49" s="54">
        <f t="shared" si="33"/>
        <v>2308266892800.0005</v>
      </c>
      <c r="AB49" s="54">
        <f t="shared" si="33"/>
        <v>2468574741600.001</v>
      </c>
      <c r="AC49" s="54">
        <f t="shared" si="33"/>
        <v>2628882590400.001</v>
      </c>
      <c r="AD49" s="54">
        <f t="shared" si="33"/>
        <v>2789190439200.001</v>
      </c>
      <c r="AE49" s="54">
        <f t="shared" si="33"/>
        <v>2949498288000.001</v>
      </c>
      <c r="AF49" s="54">
        <f t="shared" si="33"/>
        <v>3109806000000</v>
      </c>
      <c r="AG49" s="54">
        <f t="shared" si="33"/>
        <v>3109806000000</v>
      </c>
      <c r="AH49" s="54">
        <f t="shared" si="33"/>
        <v>3109806000000</v>
      </c>
      <c r="AI49" s="54">
        <f t="shared" si="33"/>
        <v>3109806000000</v>
      </c>
      <c r="AJ49" s="54">
        <f t="shared" si="33"/>
        <v>3109806000000</v>
      </c>
      <c r="AK49" s="54">
        <f t="shared" si="33"/>
        <v>3109806000000</v>
      </c>
      <c r="AL49" s="54">
        <f t="shared" si="33"/>
        <v>3109806000000</v>
      </c>
      <c r="AM49" s="54">
        <f t="shared" si="33"/>
        <v>3109806000000</v>
      </c>
      <c r="AN49" s="54">
        <f t="shared" si="33"/>
        <v>3109806000000</v>
      </c>
      <c r="AO49" s="54">
        <f t="shared" si="33"/>
        <v>3109806000000</v>
      </c>
      <c r="AP49" s="54">
        <f t="shared" si="33"/>
        <v>3109806000000</v>
      </c>
      <c r="AQ49" s="54">
        <f t="shared" si="33"/>
        <v>3109806000000</v>
      </c>
      <c r="AR49" s="54">
        <f t="shared" si="33"/>
        <v>3109806000000</v>
      </c>
      <c r="AS49" s="54">
        <f t="shared" si="33"/>
        <v>3109806000000</v>
      </c>
      <c r="AT49" s="54">
        <f t="shared" si="33"/>
        <v>3109806000000</v>
      </c>
      <c r="AU49" s="54">
        <f t="shared" si="33"/>
        <v>3109806000000</v>
      </c>
      <c r="AV49" s="54">
        <f t="shared" si="33"/>
        <v>3109806000000</v>
      </c>
      <c r="AW49" s="54">
        <f t="shared" si="33"/>
        <v>3109806000000</v>
      </c>
      <c r="AX49" s="54">
        <f t="shared" si="33"/>
        <v>3109806000000</v>
      </c>
      <c r="AY49" s="54">
        <f t="shared" si="33"/>
        <v>3109806000000</v>
      </c>
      <c r="AZ49" s="54">
        <f t="shared" si="33"/>
        <v>3109806000000</v>
      </c>
      <c r="BA49" s="54">
        <f t="shared" si="33"/>
        <v>3109806000000</v>
      </c>
      <c r="BB49" s="54">
        <f t="shared" si="33"/>
        <v>3109806000000</v>
      </c>
      <c r="BC49" s="54">
        <f t="shared" si="33"/>
        <v>3109806000000</v>
      </c>
      <c r="BD49" s="54">
        <f t="shared" si="33"/>
        <v>3109806000000</v>
      </c>
      <c r="BE49" s="54">
        <f t="shared" si="33"/>
        <v>3109806000000</v>
      </c>
      <c r="BF49" s="54">
        <f t="shared" si="33"/>
        <v>3109806000000</v>
      </c>
      <c r="BG49" s="54">
        <f t="shared" si="33"/>
        <v>3109806000000</v>
      </c>
      <c r="BH49" s="54">
        <f t="shared" si="33"/>
        <v>3109806000000</v>
      </c>
      <c r="BI49" s="54">
        <f t="shared" si="33"/>
        <v>3109806000000</v>
      </c>
      <c r="BJ49" s="54">
        <f t="shared" si="33"/>
        <v>3109806000000</v>
      </c>
      <c r="BK49" s="54">
        <f t="shared" si="33"/>
        <v>3109806000000</v>
      </c>
      <c r="BM49" s="104"/>
      <c r="BN49" s="57" t="s">
        <v>106</v>
      </c>
      <c r="BO49" s="73">
        <f>D48/1000000000000</f>
        <v>0</v>
      </c>
      <c r="BP49" s="73">
        <f>M48/1000000000000</f>
        <v>0</v>
      </c>
      <c r="BQ49" s="73">
        <f>W48/1000000000000</f>
        <v>9.6664665800000021E-2</v>
      </c>
      <c r="BR49" s="73">
        <f>AG48/1000000000000</f>
        <v>0.14241139999999999</v>
      </c>
      <c r="BS49" s="73">
        <f>AQ48/1000000000000</f>
        <v>0.14241139999999999</v>
      </c>
      <c r="BT49" s="73">
        <f>BA48/1000000000000</f>
        <v>0.14241139999999999</v>
      </c>
      <c r="BU49" s="73">
        <f>BK48/1000000000000</f>
        <v>0.14241139999999999</v>
      </c>
    </row>
    <row r="50" spans="1:75" x14ac:dyDescent="0.25">
      <c r="A50" s="54" t="s">
        <v>71</v>
      </c>
      <c r="B50" s="54" t="s">
        <v>106</v>
      </c>
      <c r="C50" s="54" t="s">
        <v>109</v>
      </c>
      <c r="D50" s="54">
        <f>D55*$D$66</f>
        <v>3290087890.1688004</v>
      </c>
      <c r="E50" s="54">
        <f t="shared" ref="E50:BK50" si="34">E55*$D$66</f>
        <v>6580175780.3376007</v>
      </c>
      <c r="F50" s="54">
        <f t="shared" si="34"/>
        <v>9870263670.506403</v>
      </c>
      <c r="G50" s="54">
        <f t="shared" si="34"/>
        <v>13160351560.675201</v>
      </c>
      <c r="H50" s="54">
        <f t="shared" si="34"/>
        <v>16450439450.844002</v>
      </c>
      <c r="I50" s="54">
        <f t="shared" si="34"/>
        <v>19740527341.012802</v>
      </c>
      <c r="J50" s="54">
        <f t="shared" si="34"/>
        <v>23030615231.181599</v>
      </c>
      <c r="K50" s="54">
        <f t="shared" si="34"/>
        <v>26320703121.350399</v>
      </c>
      <c r="L50" s="54">
        <f t="shared" si="34"/>
        <v>29610791011.519199</v>
      </c>
      <c r="M50" s="54">
        <f t="shared" si="34"/>
        <v>32900878901.688004</v>
      </c>
      <c r="N50" s="54">
        <f t="shared" si="34"/>
        <v>41234325202.444504</v>
      </c>
      <c r="O50" s="54">
        <f t="shared" si="34"/>
        <v>53723671996.045807</v>
      </c>
      <c r="P50" s="54">
        <f t="shared" si="34"/>
        <v>71797510076.907303</v>
      </c>
      <c r="Q50" s="54">
        <f t="shared" si="34"/>
        <v>90910323280.980011</v>
      </c>
      <c r="R50" s="54">
        <f t="shared" si="34"/>
        <v>141395856143.01758</v>
      </c>
      <c r="S50" s="54">
        <f t="shared" si="34"/>
        <v>234394952327.95343</v>
      </c>
      <c r="T50" s="54">
        <f t="shared" si="34"/>
        <v>317922058639.61383</v>
      </c>
      <c r="U50" s="54">
        <f t="shared" si="34"/>
        <v>479342300000</v>
      </c>
      <c r="V50" s="54">
        <f t="shared" si="34"/>
        <v>562426371500</v>
      </c>
      <c r="W50" s="54">
        <f t="shared" si="34"/>
        <v>645510443000</v>
      </c>
      <c r="X50" s="54">
        <f t="shared" si="34"/>
        <v>728594514499.99988</v>
      </c>
      <c r="Y50" s="54">
        <f t="shared" si="34"/>
        <v>811678586000</v>
      </c>
      <c r="Z50" s="54">
        <f t="shared" si="34"/>
        <v>894762657500</v>
      </c>
      <c r="AA50" s="54">
        <f t="shared" si="34"/>
        <v>977846729000.00024</v>
      </c>
      <c r="AB50" s="54">
        <f t="shared" si="34"/>
        <v>1060930800500.0002</v>
      </c>
      <c r="AC50" s="54">
        <f t="shared" si="34"/>
        <v>1144014872000.0002</v>
      </c>
      <c r="AD50" s="54">
        <f t="shared" si="34"/>
        <v>1227098943500.0002</v>
      </c>
      <c r="AE50" s="54">
        <f t="shared" si="34"/>
        <v>1310183015000.0002</v>
      </c>
      <c r="AF50" s="54">
        <f t="shared" si="34"/>
        <v>1393266900000.0002</v>
      </c>
      <c r="AG50" s="54">
        <f t="shared" si="34"/>
        <v>1393266900000.0002</v>
      </c>
      <c r="AH50" s="54">
        <f t="shared" si="34"/>
        <v>1393266900000.0002</v>
      </c>
      <c r="AI50" s="54">
        <f t="shared" si="34"/>
        <v>1393266900000.0002</v>
      </c>
      <c r="AJ50" s="54">
        <f t="shared" si="34"/>
        <v>1393266900000.0002</v>
      </c>
      <c r="AK50" s="54">
        <f t="shared" si="34"/>
        <v>1393266900000.0002</v>
      </c>
      <c r="AL50" s="54">
        <f t="shared" si="34"/>
        <v>1393266900000.0002</v>
      </c>
      <c r="AM50" s="54">
        <f t="shared" si="34"/>
        <v>1393266900000.0002</v>
      </c>
      <c r="AN50" s="54">
        <f t="shared" si="34"/>
        <v>1393266900000.0002</v>
      </c>
      <c r="AO50" s="54">
        <f t="shared" si="34"/>
        <v>1393266900000.0002</v>
      </c>
      <c r="AP50" s="54">
        <f t="shared" si="34"/>
        <v>1393266900000.0002</v>
      </c>
      <c r="AQ50" s="54">
        <f t="shared" si="34"/>
        <v>1393266900000.0002</v>
      </c>
      <c r="AR50" s="54">
        <f t="shared" si="34"/>
        <v>1393266900000.0002</v>
      </c>
      <c r="AS50" s="54">
        <f t="shared" si="34"/>
        <v>1393266900000.0002</v>
      </c>
      <c r="AT50" s="54">
        <f t="shared" si="34"/>
        <v>1393266900000.0002</v>
      </c>
      <c r="AU50" s="54">
        <f t="shared" si="34"/>
        <v>1393266900000.0002</v>
      </c>
      <c r="AV50" s="54">
        <f t="shared" si="34"/>
        <v>1393266900000.0002</v>
      </c>
      <c r="AW50" s="54">
        <f t="shared" si="34"/>
        <v>1393266900000.0002</v>
      </c>
      <c r="AX50" s="54">
        <f t="shared" si="34"/>
        <v>1393266900000.0002</v>
      </c>
      <c r="AY50" s="54">
        <f t="shared" si="34"/>
        <v>1393266900000.0002</v>
      </c>
      <c r="AZ50" s="54">
        <f t="shared" si="34"/>
        <v>1393266900000.0002</v>
      </c>
      <c r="BA50" s="54">
        <f t="shared" si="34"/>
        <v>1393266900000.0002</v>
      </c>
      <c r="BB50" s="54">
        <f t="shared" si="34"/>
        <v>1393266900000.0002</v>
      </c>
      <c r="BC50" s="54">
        <f t="shared" si="34"/>
        <v>1393266900000.0002</v>
      </c>
      <c r="BD50" s="54">
        <f t="shared" si="34"/>
        <v>1393266900000.0002</v>
      </c>
      <c r="BE50" s="54">
        <f t="shared" si="34"/>
        <v>1393266900000.0002</v>
      </c>
      <c r="BF50" s="54">
        <f t="shared" si="34"/>
        <v>1393266900000.0002</v>
      </c>
      <c r="BG50" s="54">
        <f t="shared" si="34"/>
        <v>1393266900000.0002</v>
      </c>
      <c r="BH50" s="54">
        <f t="shared" si="34"/>
        <v>1393266900000.0002</v>
      </c>
      <c r="BI50" s="54">
        <f t="shared" si="34"/>
        <v>1393266900000.0002</v>
      </c>
      <c r="BJ50" s="54">
        <f t="shared" si="34"/>
        <v>1393266900000.0002</v>
      </c>
      <c r="BK50" s="54">
        <f t="shared" si="34"/>
        <v>1393266900000.0002</v>
      </c>
      <c r="BM50" s="104" t="s">
        <v>71</v>
      </c>
      <c r="BN50" s="57" t="s">
        <v>105</v>
      </c>
      <c r="BO50" s="73">
        <f>D49/1000000000000</f>
        <v>3.8467632636660407E-2</v>
      </c>
      <c r="BP50" s="73">
        <f>M49/1000000000000</f>
        <v>0.38467632636660404</v>
      </c>
      <c r="BQ50" s="74">
        <f>W49/1000000000000</f>
        <v>1.6670354976000001</v>
      </c>
      <c r="BR50" s="74">
        <f>AG49/1000000000000</f>
        <v>3.1098059999999998</v>
      </c>
      <c r="BS50" s="74">
        <f>AQ49/1000000000000</f>
        <v>3.1098059999999998</v>
      </c>
      <c r="BT50" s="74">
        <f>BA49/1000000000000</f>
        <v>3.1098059999999998</v>
      </c>
      <c r="BU50" s="74">
        <f>BK49/1000000000000</f>
        <v>3.1098059999999998</v>
      </c>
    </row>
    <row r="51" spans="1:75" x14ac:dyDescent="0.25">
      <c r="BM51" s="105"/>
      <c r="BN51" s="58" t="s">
        <v>106</v>
      </c>
      <c r="BO51" s="75">
        <f>D50/1000000000000</f>
        <v>3.2900878901688003E-3</v>
      </c>
      <c r="BP51" s="75">
        <f>M50/1000000000000</f>
        <v>3.2900878901688003E-2</v>
      </c>
      <c r="BQ51" s="75">
        <f>W50/1000000000000</f>
        <v>0.64551044300000004</v>
      </c>
      <c r="BR51" s="76">
        <f>AG50/1000000000000</f>
        <v>1.3932669000000002</v>
      </c>
      <c r="BS51" s="76">
        <f>AQ50/1000000000000</f>
        <v>1.3932669000000002</v>
      </c>
      <c r="BT51" s="76">
        <f>BA50/1000000000000</f>
        <v>1.3932669000000002</v>
      </c>
      <c r="BU51" s="76">
        <f>BK50/1000000000000</f>
        <v>1.3932669000000002</v>
      </c>
      <c r="BV51" s="99">
        <f>SUM(BU48:BU51)</f>
        <v>6.9683141000000006</v>
      </c>
      <c r="BW51" s="99"/>
    </row>
    <row r="52" spans="1:75" x14ac:dyDescent="0.25">
      <c r="A52" s="54" t="s">
        <v>38</v>
      </c>
      <c r="B52" s="54" t="s">
        <v>105</v>
      </c>
      <c r="C52" s="54" t="s">
        <v>114</v>
      </c>
      <c r="D52" s="54">
        <f>'Sce 3 Table'!D52</f>
        <v>161792820</v>
      </c>
      <c r="E52" s="54">
        <f>'Sce 3 Table'!E52</f>
        <v>323585640</v>
      </c>
      <c r="F52" s="54">
        <f>'Sce 3 Table'!F52</f>
        <v>485378460</v>
      </c>
      <c r="G52" s="54">
        <f>'Sce 3 Table'!G52</f>
        <v>647171280</v>
      </c>
      <c r="H52" s="54">
        <f>'Sce 3 Table'!H52</f>
        <v>808964100</v>
      </c>
      <c r="I52" s="54">
        <f>'Sce 3 Table'!I52</f>
        <v>970756920.00000012</v>
      </c>
      <c r="J52" s="54">
        <f>'Sce 3 Table'!J52</f>
        <v>1132549740</v>
      </c>
      <c r="K52" s="54">
        <f>'Sce 3 Table'!K52</f>
        <v>1294342560</v>
      </c>
      <c r="L52" s="54">
        <f>'Sce 3 Table'!L52</f>
        <v>1456135380</v>
      </c>
      <c r="M52" s="54">
        <f>'Sce 3 Table'!M52</f>
        <v>1617928200</v>
      </c>
      <c r="N52" s="54">
        <f>'Sce 3 Table'!N52</f>
        <v>1765249500</v>
      </c>
      <c r="O52" s="54">
        <f>'Sce 3 Table'!O52</f>
        <v>2140221300</v>
      </c>
      <c r="P52" s="54">
        <f>'Sce 3 Table'!P52</f>
        <v>2804470200</v>
      </c>
      <c r="Q52" s="54">
        <f>'Sce 3 Table'!Q52</f>
        <v>3395135100</v>
      </c>
      <c r="R52" s="54">
        <f>'Sce 3 Table'!R52</f>
        <v>3904397700</v>
      </c>
      <c r="S52" s="54">
        <f>'Sce 3 Table'!S52</f>
        <v>4884352620</v>
      </c>
      <c r="T52" s="54">
        <f>'Sce 3 Table'!T52</f>
        <v>6521044740</v>
      </c>
      <c r="U52" s="54">
        <f>U57*1000000/$D$64</f>
        <v>9216438906.2215195</v>
      </c>
      <c r="V52" s="54">
        <f t="shared" ref="V52:BK52" si="35">V57*1000000/$D$64</f>
        <v>10009699873.989872</v>
      </c>
      <c r="W52" s="54">
        <f t="shared" si="35"/>
        <v>10802960841.758224</v>
      </c>
      <c r="X52" s="54">
        <f t="shared" si="35"/>
        <v>11596221809.526577</v>
      </c>
      <c r="Y52" s="54">
        <f t="shared" si="35"/>
        <v>12389482777.29493</v>
      </c>
      <c r="Z52" s="54">
        <f t="shared" si="35"/>
        <v>13182743745.063282</v>
      </c>
      <c r="AA52" s="54">
        <f t="shared" si="35"/>
        <v>13976004712.831633</v>
      </c>
      <c r="AB52" s="54">
        <f t="shared" si="35"/>
        <v>14769265680.599985</v>
      </c>
      <c r="AC52" s="54">
        <f t="shared" si="35"/>
        <v>15562526648.368338</v>
      </c>
      <c r="AD52" s="54">
        <f t="shared" si="35"/>
        <v>16355787616.13669</v>
      </c>
      <c r="AE52" s="54">
        <f t="shared" si="35"/>
        <v>17149048583.905043</v>
      </c>
      <c r="AF52" s="54">
        <f t="shared" si="35"/>
        <v>17942310080.01775</v>
      </c>
      <c r="AG52" s="54">
        <f t="shared" si="35"/>
        <v>17942310080.01775</v>
      </c>
      <c r="AH52" s="54">
        <f t="shared" si="35"/>
        <v>17942310080.01775</v>
      </c>
      <c r="AI52" s="54">
        <f t="shared" si="35"/>
        <v>17942310080.01775</v>
      </c>
      <c r="AJ52" s="54">
        <f t="shared" si="35"/>
        <v>17942310080.01775</v>
      </c>
      <c r="AK52" s="54">
        <f t="shared" si="35"/>
        <v>17942310080.01775</v>
      </c>
      <c r="AL52" s="54">
        <f t="shared" si="35"/>
        <v>17942310080.01775</v>
      </c>
      <c r="AM52" s="54">
        <f t="shared" si="35"/>
        <v>17942310080.01775</v>
      </c>
      <c r="AN52" s="54">
        <f t="shared" si="35"/>
        <v>17942310080.01775</v>
      </c>
      <c r="AO52" s="54">
        <f t="shared" si="35"/>
        <v>17942310080.01775</v>
      </c>
      <c r="AP52" s="54">
        <f t="shared" si="35"/>
        <v>17942310080.01775</v>
      </c>
      <c r="AQ52" s="54">
        <f t="shared" si="35"/>
        <v>17942310080.01775</v>
      </c>
      <c r="AR52" s="54">
        <f t="shared" si="35"/>
        <v>17942310080.01775</v>
      </c>
      <c r="AS52" s="54">
        <f t="shared" si="35"/>
        <v>17942310080.01775</v>
      </c>
      <c r="AT52" s="54">
        <f t="shared" si="35"/>
        <v>17942310080.01775</v>
      </c>
      <c r="AU52" s="54">
        <f t="shared" si="35"/>
        <v>17942310080.01775</v>
      </c>
      <c r="AV52" s="54">
        <f t="shared" si="35"/>
        <v>17942310080.01775</v>
      </c>
      <c r="AW52" s="54">
        <f t="shared" si="35"/>
        <v>17942310080.01775</v>
      </c>
      <c r="AX52" s="54">
        <f t="shared" si="35"/>
        <v>17942310080.01775</v>
      </c>
      <c r="AY52" s="54">
        <f t="shared" si="35"/>
        <v>17942310080.01775</v>
      </c>
      <c r="AZ52" s="54">
        <f t="shared" si="35"/>
        <v>17942310080.01775</v>
      </c>
      <c r="BA52" s="54">
        <f t="shared" si="35"/>
        <v>17942310080.01775</v>
      </c>
      <c r="BB52" s="54">
        <f t="shared" si="35"/>
        <v>17942310080.01775</v>
      </c>
      <c r="BC52" s="54">
        <f t="shared" si="35"/>
        <v>17942310080.01775</v>
      </c>
      <c r="BD52" s="54">
        <f t="shared" si="35"/>
        <v>17942310080.01775</v>
      </c>
      <c r="BE52" s="54">
        <f t="shared" si="35"/>
        <v>17942310080.01775</v>
      </c>
      <c r="BF52" s="54">
        <f t="shared" si="35"/>
        <v>17942310080.01775</v>
      </c>
      <c r="BG52" s="54">
        <f t="shared" si="35"/>
        <v>17942310080.01775</v>
      </c>
      <c r="BH52" s="54">
        <f t="shared" si="35"/>
        <v>17942310080.01775</v>
      </c>
      <c r="BI52" s="54">
        <f t="shared" si="35"/>
        <v>17942310080.01775</v>
      </c>
      <c r="BJ52" s="54">
        <f t="shared" si="35"/>
        <v>17942310080.01775</v>
      </c>
      <c r="BK52" s="54">
        <f t="shared" si="35"/>
        <v>17942310080.01775</v>
      </c>
      <c r="BM52" s="69" t="s">
        <v>120</v>
      </c>
    </row>
    <row r="53" spans="1:75" x14ac:dyDescent="0.25">
      <c r="A53" s="54" t="s">
        <v>38</v>
      </c>
      <c r="B53" s="54" t="s">
        <v>106</v>
      </c>
      <c r="C53" s="54" t="s">
        <v>114</v>
      </c>
      <c r="D53" s="54">
        <f>'Sce 3 Table'!D53</f>
        <v>0</v>
      </c>
      <c r="E53" s="54">
        <f>'Sce 3 Table'!E53</f>
        <v>0</v>
      </c>
      <c r="F53" s="54">
        <f>'Sce 3 Table'!F53</f>
        <v>0</v>
      </c>
      <c r="G53" s="54">
        <f>'Sce 3 Table'!G53</f>
        <v>0</v>
      </c>
      <c r="H53" s="54">
        <f>'Sce 3 Table'!H53</f>
        <v>0</v>
      </c>
      <c r="I53" s="54">
        <f>'Sce 3 Table'!I53</f>
        <v>0</v>
      </c>
      <c r="J53" s="54">
        <f>'Sce 3 Table'!J53</f>
        <v>0</v>
      </c>
      <c r="K53" s="54">
        <f>'Sce 3 Table'!K53</f>
        <v>0</v>
      </c>
      <c r="L53" s="54">
        <f>'Sce 3 Table'!L53</f>
        <v>0</v>
      </c>
      <c r="M53" s="54">
        <f>'Sce 3 Table'!M53</f>
        <v>0</v>
      </c>
      <c r="N53" s="54">
        <f>'Sce 3 Table'!N53</f>
        <v>8569470</v>
      </c>
      <c r="O53" s="54">
        <f>'Sce 3 Table'!O53</f>
        <v>10485720</v>
      </c>
      <c r="P53" s="54">
        <f>'Sce 3 Table'!P53</f>
        <v>14210910</v>
      </c>
      <c r="Q53" s="54">
        <f>'Sce 3 Table'!Q53</f>
        <v>27900600</v>
      </c>
      <c r="R53" s="54">
        <f>'Sce 3 Table'!R53</f>
        <v>90784260</v>
      </c>
      <c r="S53" s="54">
        <f>'Sce 3 Table'!S53</f>
        <v>250446210</v>
      </c>
      <c r="T53" s="54">
        <f>'Sce 3 Table'!T53</f>
        <v>489824160</v>
      </c>
      <c r="U53" s="54">
        <f t="shared" ref="U53:BK53" si="36">U58*1000000/$D$64</f>
        <v>612615278.13367641</v>
      </c>
      <c r="V53" s="54">
        <f t="shared" si="36"/>
        <v>648614813.1906451</v>
      </c>
      <c r="W53" s="54">
        <f t="shared" si="36"/>
        <v>684614348.24761391</v>
      </c>
      <c r="X53" s="54">
        <f t="shared" si="36"/>
        <v>720613883.30458272</v>
      </c>
      <c r="Y53" s="54">
        <f t="shared" si="36"/>
        <v>756613418.3615514</v>
      </c>
      <c r="Z53" s="54">
        <f t="shared" si="36"/>
        <v>792612953.41852009</v>
      </c>
      <c r="AA53" s="54">
        <f t="shared" si="36"/>
        <v>828612488.47548902</v>
      </c>
      <c r="AB53" s="54">
        <f t="shared" si="36"/>
        <v>864612023.53245771</v>
      </c>
      <c r="AC53" s="54">
        <f t="shared" si="36"/>
        <v>900611558.5894264</v>
      </c>
      <c r="AD53" s="54">
        <f t="shared" si="36"/>
        <v>936611093.64639533</v>
      </c>
      <c r="AE53" s="54">
        <f t="shared" si="36"/>
        <v>972610628.70336401</v>
      </c>
      <c r="AF53" s="54">
        <f t="shared" si="36"/>
        <v>1008609371.2438018</v>
      </c>
      <c r="AG53" s="54">
        <f t="shared" si="36"/>
        <v>1008609371.2438018</v>
      </c>
      <c r="AH53" s="54">
        <f t="shared" si="36"/>
        <v>1008609371.2438018</v>
      </c>
      <c r="AI53" s="54">
        <f t="shared" si="36"/>
        <v>1008609371.2438018</v>
      </c>
      <c r="AJ53" s="54">
        <f t="shared" si="36"/>
        <v>1008609371.2438018</v>
      </c>
      <c r="AK53" s="54">
        <f t="shared" si="36"/>
        <v>1008609371.2438018</v>
      </c>
      <c r="AL53" s="54">
        <f t="shared" si="36"/>
        <v>1008609371.2438018</v>
      </c>
      <c r="AM53" s="54">
        <f t="shared" si="36"/>
        <v>1008609371.2438018</v>
      </c>
      <c r="AN53" s="54">
        <f t="shared" si="36"/>
        <v>1008609371.2438018</v>
      </c>
      <c r="AO53" s="54">
        <f t="shared" si="36"/>
        <v>1008609371.2438018</v>
      </c>
      <c r="AP53" s="54">
        <f t="shared" si="36"/>
        <v>1008609371.2438018</v>
      </c>
      <c r="AQ53" s="54">
        <f t="shared" si="36"/>
        <v>1008609371.2438018</v>
      </c>
      <c r="AR53" s="54">
        <f t="shared" si="36"/>
        <v>1008609371.2438018</v>
      </c>
      <c r="AS53" s="54">
        <f t="shared" si="36"/>
        <v>1008609371.2438018</v>
      </c>
      <c r="AT53" s="54">
        <f t="shared" si="36"/>
        <v>1008609371.2438018</v>
      </c>
      <c r="AU53" s="54">
        <f t="shared" si="36"/>
        <v>1008609371.2438018</v>
      </c>
      <c r="AV53" s="54">
        <f t="shared" si="36"/>
        <v>1008609371.2438018</v>
      </c>
      <c r="AW53" s="54">
        <f t="shared" si="36"/>
        <v>1008609371.2438018</v>
      </c>
      <c r="AX53" s="54">
        <f t="shared" si="36"/>
        <v>1008609371.2438018</v>
      </c>
      <c r="AY53" s="54">
        <f t="shared" si="36"/>
        <v>1008609371.2438018</v>
      </c>
      <c r="AZ53" s="54">
        <f t="shared" si="36"/>
        <v>1008609371.2438018</v>
      </c>
      <c r="BA53" s="54">
        <f t="shared" si="36"/>
        <v>1008609371.2438018</v>
      </c>
      <c r="BB53" s="54">
        <f t="shared" si="36"/>
        <v>1008609371.2438018</v>
      </c>
      <c r="BC53" s="54">
        <f t="shared" si="36"/>
        <v>1008609371.2438018</v>
      </c>
      <c r="BD53" s="54">
        <f t="shared" si="36"/>
        <v>1008609371.2438018</v>
      </c>
      <c r="BE53" s="54">
        <f t="shared" si="36"/>
        <v>1008609371.2438018</v>
      </c>
      <c r="BF53" s="54">
        <f t="shared" si="36"/>
        <v>1008609371.2438018</v>
      </c>
      <c r="BG53" s="54">
        <f t="shared" si="36"/>
        <v>1008609371.2438018</v>
      </c>
      <c r="BH53" s="54">
        <f t="shared" si="36"/>
        <v>1008609371.2438018</v>
      </c>
      <c r="BI53" s="54">
        <f t="shared" si="36"/>
        <v>1008609371.2438018</v>
      </c>
      <c r="BJ53" s="54">
        <f t="shared" si="36"/>
        <v>1008609371.2438018</v>
      </c>
      <c r="BK53" s="54">
        <f t="shared" si="36"/>
        <v>1008609371.2438018</v>
      </c>
    </row>
    <row r="54" spans="1:75" x14ac:dyDescent="0.25">
      <c r="A54" s="54" t="s">
        <v>71</v>
      </c>
      <c r="B54" s="54" t="s">
        <v>105</v>
      </c>
      <c r="C54" s="54" t="s">
        <v>114</v>
      </c>
      <c r="D54" s="54">
        <f>'Sce 3 Table'!D54</f>
        <v>297136791</v>
      </c>
      <c r="E54" s="54">
        <f>'Sce 3 Table'!E54</f>
        <v>594273582</v>
      </c>
      <c r="F54" s="54">
        <f>'Sce 3 Table'!F54</f>
        <v>891410372.99999988</v>
      </c>
      <c r="G54" s="54">
        <f>'Sce 3 Table'!G54</f>
        <v>1188547164</v>
      </c>
      <c r="H54" s="54">
        <f>'Sce 3 Table'!H54</f>
        <v>1485683955</v>
      </c>
      <c r="I54" s="54">
        <f>'Sce 3 Table'!I54</f>
        <v>1782820745.9999998</v>
      </c>
      <c r="J54" s="54">
        <f>'Sce 3 Table'!J54</f>
        <v>2079957537</v>
      </c>
      <c r="K54" s="54">
        <f>'Sce 3 Table'!K54</f>
        <v>2377094328</v>
      </c>
      <c r="L54" s="54">
        <f>'Sce 3 Table'!L54</f>
        <v>2674231119</v>
      </c>
      <c r="M54" s="54">
        <f>'Sce 3 Table'!M54</f>
        <v>2971367910</v>
      </c>
      <c r="N54" s="54">
        <f>'Sce 3 Table'!N54</f>
        <v>3190264979.9999995</v>
      </c>
      <c r="O54" s="54">
        <f>'Sce 3 Table'!O54</f>
        <v>3653936159.9999995</v>
      </c>
      <c r="P54" s="54">
        <f>'Sce 3 Table'!P54</f>
        <v>4328747430</v>
      </c>
      <c r="Q54" s="54">
        <f>'Sce 3 Table'!Q54</f>
        <v>4437529110</v>
      </c>
      <c r="R54" s="54">
        <f>'Sce 3 Table'!R54</f>
        <v>5064081540</v>
      </c>
      <c r="S54" s="54">
        <f>'Sce 3 Table'!S54</f>
        <v>6088018230</v>
      </c>
      <c r="T54" s="54">
        <f>'Sce 3 Table'!T54</f>
        <v>7648137000.000001</v>
      </c>
      <c r="U54" s="54">
        <f t="shared" ref="U54:BK54" si="37">U59*1000000/$D$64</f>
        <v>10400194430.722168</v>
      </c>
      <c r="V54" s="54">
        <f t="shared" si="37"/>
        <v>11638465582.327938</v>
      </c>
      <c r="W54" s="54">
        <f t="shared" si="37"/>
        <v>12876736733.933708</v>
      </c>
      <c r="X54" s="54">
        <f t="shared" si="37"/>
        <v>14115007885.53948</v>
      </c>
      <c r="Y54" s="54">
        <f t="shared" si="37"/>
        <v>15353279037.14525</v>
      </c>
      <c r="Z54" s="54">
        <f t="shared" si="37"/>
        <v>16591550188.751022</v>
      </c>
      <c r="AA54" s="54">
        <f t="shared" si="37"/>
        <v>17829821340.356792</v>
      </c>
      <c r="AB54" s="54">
        <f t="shared" si="37"/>
        <v>19068092491.962566</v>
      </c>
      <c r="AC54" s="54">
        <f t="shared" si="37"/>
        <v>20306363643.568336</v>
      </c>
      <c r="AD54" s="54">
        <f t="shared" si="37"/>
        <v>21544634795.174107</v>
      </c>
      <c r="AE54" s="54">
        <f t="shared" si="37"/>
        <v>22782905946.779877</v>
      </c>
      <c r="AF54" s="54">
        <f t="shared" si="37"/>
        <v>24021176041.696934</v>
      </c>
      <c r="AG54" s="54">
        <f t="shared" si="37"/>
        <v>24021176041.696934</v>
      </c>
      <c r="AH54" s="54">
        <f t="shared" si="37"/>
        <v>24021176041.696934</v>
      </c>
      <c r="AI54" s="54">
        <f t="shared" si="37"/>
        <v>24021176041.696934</v>
      </c>
      <c r="AJ54" s="54">
        <f t="shared" si="37"/>
        <v>24021176041.696934</v>
      </c>
      <c r="AK54" s="54">
        <f t="shared" si="37"/>
        <v>24021176041.696934</v>
      </c>
      <c r="AL54" s="54">
        <f t="shared" si="37"/>
        <v>24021176041.696934</v>
      </c>
      <c r="AM54" s="54">
        <f t="shared" si="37"/>
        <v>24021176041.696934</v>
      </c>
      <c r="AN54" s="54">
        <f t="shared" si="37"/>
        <v>24021176041.696934</v>
      </c>
      <c r="AO54" s="54">
        <f t="shared" si="37"/>
        <v>24021176041.696934</v>
      </c>
      <c r="AP54" s="54">
        <f t="shared" si="37"/>
        <v>24021176041.696934</v>
      </c>
      <c r="AQ54" s="54">
        <f t="shared" si="37"/>
        <v>24021176041.696934</v>
      </c>
      <c r="AR54" s="54">
        <f t="shared" si="37"/>
        <v>24021176041.696934</v>
      </c>
      <c r="AS54" s="54">
        <f t="shared" si="37"/>
        <v>24021176041.696934</v>
      </c>
      <c r="AT54" s="54">
        <f t="shared" si="37"/>
        <v>24021176041.696934</v>
      </c>
      <c r="AU54" s="54">
        <f t="shared" si="37"/>
        <v>24021176041.696934</v>
      </c>
      <c r="AV54" s="54">
        <f t="shared" si="37"/>
        <v>24021176041.696934</v>
      </c>
      <c r="AW54" s="54">
        <f t="shared" si="37"/>
        <v>24021176041.696934</v>
      </c>
      <c r="AX54" s="54">
        <f t="shared" si="37"/>
        <v>24021176041.696934</v>
      </c>
      <c r="AY54" s="54">
        <f t="shared" si="37"/>
        <v>24021176041.696934</v>
      </c>
      <c r="AZ54" s="54">
        <f t="shared" si="37"/>
        <v>24021176041.696934</v>
      </c>
      <c r="BA54" s="54">
        <f t="shared" si="37"/>
        <v>24021176041.696934</v>
      </c>
      <c r="BB54" s="54">
        <f t="shared" si="37"/>
        <v>24021176041.696934</v>
      </c>
      <c r="BC54" s="54">
        <f t="shared" si="37"/>
        <v>24021176041.696934</v>
      </c>
      <c r="BD54" s="54">
        <f t="shared" si="37"/>
        <v>24021176041.696934</v>
      </c>
      <c r="BE54" s="54">
        <f t="shared" si="37"/>
        <v>24021176041.696934</v>
      </c>
      <c r="BF54" s="54">
        <f t="shared" si="37"/>
        <v>24021176041.696934</v>
      </c>
      <c r="BG54" s="54">
        <f t="shared" si="37"/>
        <v>24021176041.696934</v>
      </c>
      <c r="BH54" s="54">
        <f t="shared" si="37"/>
        <v>24021176041.696934</v>
      </c>
      <c r="BI54" s="54">
        <f t="shared" si="37"/>
        <v>24021176041.696934</v>
      </c>
      <c r="BJ54" s="54">
        <f t="shared" si="37"/>
        <v>24021176041.696934</v>
      </c>
      <c r="BK54" s="54">
        <f t="shared" si="37"/>
        <v>24021176041.696934</v>
      </c>
    </row>
    <row r="55" spans="1:75" x14ac:dyDescent="0.25">
      <c r="A55" s="54" t="s">
        <v>71</v>
      </c>
      <c r="B55" s="54" t="s">
        <v>106</v>
      </c>
      <c r="C55" s="54" t="s">
        <v>114</v>
      </c>
      <c r="D55" s="54">
        <f>'Sce 3 Table'!D55</f>
        <v>23301600</v>
      </c>
      <c r="E55" s="54">
        <f>'Sce 3 Table'!E55</f>
        <v>46603200</v>
      </c>
      <c r="F55" s="54">
        <f>'Sce 3 Table'!F55</f>
        <v>69904800.000000015</v>
      </c>
      <c r="G55" s="54">
        <f>'Sce 3 Table'!G55</f>
        <v>93206400</v>
      </c>
      <c r="H55" s="54">
        <f>'Sce 3 Table'!H55</f>
        <v>116508000</v>
      </c>
      <c r="I55" s="54">
        <f>'Sce 3 Table'!I55</f>
        <v>139809600</v>
      </c>
      <c r="J55" s="54">
        <f>'Sce 3 Table'!J55</f>
        <v>163111199.99999997</v>
      </c>
      <c r="K55" s="54">
        <f>'Sce 3 Table'!K55</f>
        <v>186412799.99999997</v>
      </c>
      <c r="L55" s="54">
        <f>'Sce 3 Table'!L55</f>
        <v>209714399.99999997</v>
      </c>
      <c r="M55" s="54">
        <f>'Sce 3 Table'!M55</f>
        <v>233016000</v>
      </c>
      <c r="N55" s="54">
        <f>'Sce 3 Table'!N55</f>
        <v>292036500</v>
      </c>
      <c r="O55" s="54">
        <f>'Sce 3 Table'!O55</f>
        <v>380490600</v>
      </c>
      <c r="P55" s="54">
        <f>'Sce 3 Table'!P55</f>
        <v>508496100</v>
      </c>
      <c r="Q55" s="54">
        <f>'Sce 3 Table'!Q55</f>
        <v>643860000</v>
      </c>
      <c r="R55" s="54">
        <f>'Sce 3 Table'!R55</f>
        <v>1001416920</v>
      </c>
      <c r="S55" s="54">
        <f>'Sce 3 Table'!S55</f>
        <v>1660070370</v>
      </c>
      <c r="T55" s="54">
        <f>'Sce 3 Table'!T55</f>
        <v>2251639740</v>
      </c>
      <c r="U55" s="54">
        <f t="shared" ref="U55:BK55" si="38">U60*1000000/$D$64</f>
        <v>3394876644.8020158</v>
      </c>
      <c r="V55" s="54">
        <f t="shared" si="38"/>
        <v>3983308281.0052276</v>
      </c>
      <c r="W55" s="54">
        <f t="shared" si="38"/>
        <v>4571739917.2084398</v>
      </c>
      <c r="X55" s="54">
        <f t="shared" si="38"/>
        <v>5160171553.4116507</v>
      </c>
      <c r="Y55" s="54">
        <f t="shared" si="38"/>
        <v>5748603189.6148634</v>
      </c>
      <c r="Z55" s="54">
        <f t="shared" si="38"/>
        <v>6337034825.8180752</v>
      </c>
      <c r="AA55" s="54">
        <f t="shared" si="38"/>
        <v>6925466462.0212879</v>
      </c>
      <c r="AB55" s="54">
        <f t="shared" si="38"/>
        <v>7513898098.2244997</v>
      </c>
      <c r="AC55" s="54">
        <f t="shared" si="38"/>
        <v>8102329734.4277124</v>
      </c>
      <c r="AD55" s="54">
        <f t="shared" si="38"/>
        <v>8690761370.6309242</v>
      </c>
      <c r="AE55" s="54">
        <f t="shared" si="38"/>
        <v>9279193006.8341351</v>
      </c>
      <c r="AF55" s="54">
        <f t="shared" si="38"/>
        <v>9867623322.1764622</v>
      </c>
      <c r="AG55" s="54">
        <f t="shared" si="38"/>
        <v>9867623322.1764622</v>
      </c>
      <c r="AH55" s="54">
        <f t="shared" si="38"/>
        <v>9867623322.1764622</v>
      </c>
      <c r="AI55" s="54">
        <f t="shared" si="38"/>
        <v>9867623322.1764622</v>
      </c>
      <c r="AJ55" s="54">
        <f t="shared" si="38"/>
        <v>9867623322.1764622</v>
      </c>
      <c r="AK55" s="54">
        <f t="shared" si="38"/>
        <v>9867623322.1764622</v>
      </c>
      <c r="AL55" s="54">
        <f t="shared" si="38"/>
        <v>9867623322.1764622</v>
      </c>
      <c r="AM55" s="54">
        <f t="shared" si="38"/>
        <v>9867623322.1764622</v>
      </c>
      <c r="AN55" s="54">
        <f t="shared" si="38"/>
        <v>9867623322.1764622</v>
      </c>
      <c r="AO55" s="54">
        <f t="shared" si="38"/>
        <v>9867623322.1764622</v>
      </c>
      <c r="AP55" s="54">
        <f t="shared" si="38"/>
        <v>9867623322.1764622</v>
      </c>
      <c r="AQ55" s="54">
        <f t="shared" si="38"/>
        <v>9867623322.1764622</v>
      </c>
      <c r="AR55" s="54">
        <f t="shared" si="38"/>
        <v>9867623322.1764622</v>
      </c>
      <c r="AS55" s="54">
        <f t="shared" si="38"/>
        <v>9867623322.1764622</v>
      </c>
      <c r="AT55" s="54">
        <f t="shared" si="38"/>
        <v>9867623322.1764622</v>
      </c>
      <c r="AU55" s="54">
        <f t="shared" si="38"/>
        <v>9867623322.1764622</v>
      </c>
      <c r="AV55" s="54">
        <f t="shared" si="38"/>
        <v>9867623322.1764622</v>
      </c>
      <c r="AW55" s="54">
        <f t="shared" si="38"/>
        <v>9867623322.1764622</v>
      </c>
      <c r="AX55" s="54">
        <f t="shared" si="38"/>
        <v>9867623322.1764622</v>
      </c>
      <c r="AY55" s="54">
        <f t="shared" si="38"/>
        <v>9867623322.1764622</v>
      </c>
      <c r="AZ55" s="54">
        <f t="shared" si="38"/>
        <v>9867623322.1764622</v>
      </c>
      <c r="BA55" s="54">
        <f t="shared" si="38"/>
        <v>9867623322.1764622</v>
      </c>
      <c r="BB55" s="54">
        <f t="shared" si="38"/>
        <v>9867623322.1764622</v>
      </c>
      <c r="BC55" s="54">
        <f t="shared" si="38"/>
        <v>9867623322.1764622</v>
      </c>
      <c r="BD55" s="54">
        <f t="shared" si="38"/>
        <v>9867623322.1764622</v>
      </c>
      <c r="BE55" s="54">
        <f t="shared" si="38"/>
        <v>9867623322.1764622</v>
      </c>
      <c r="BF55" s="54">
        <f t="shared" si="38"/>
        <v>9867623322.1764622</v>
      </c>
      <c r="BG55" s="54">
        <f t="shared" si="38"/>
        <v>9867623322.1764622</v>
      </c>
      <c r="BH55" s="54">
        <f t="shared" si="38"/>
        <v>9867623322.1764622</v>
      </c>
      <c r="BI55" s="54">
        <f t="shared" si="38"/>
        <v>9867623322.1764622</v>
      </c>
      <c r="BJ55" s="54">
        <f t="shared" si="38"/>
        <v>9867623322.1764622</v>
      </c>
      <c r="BK55" s="54">
        <f t="shared" si="38"/>
        <v>9867623322.1764622</v>
      </c>
    </row>
    <row r="57" spans="1:75" x14ac:dyDescent="0.25">
      <c r="A57" s="54" t="s">
        <v>38</v>
      </c>
      <c r="B57" s="54" t="s">
        <v>105</v>
      </c>
      <c r="C57" s="54" t="s">
        <v>133</v>
      </c>
      <c r="U57" s="54">
        <v>34888</v>
      </c>
      <c r="V57" s="54">
        <v>37890.817999999999</v>
      </c>
      <c r="W57" s="54">
        <v>40893.635999999999</v>
      </c>
      <c r="X57" s="54">
        <v>43896.453999999998</v>
      </c>
      <c r="Y57" s="54">
        <v>46899.271999999997</v>
      </c>
      <c r="Z57" s="54">
        <v>49902.09</v>
      </c>
      <c r="AA57" s="54">
        <v>52904.907999999996</v>
      </c>
      <c r="AB57" s="54">
        <v>55907.725999999995</v>
      </c>
      <c r="AC57" s="54">
        <v>58910.543999999994</v>
      </c>
      <c r="AD57" s="54">
        <v>61913.361999999994</v>
      </c>
      <c r="AE57" s="54">
        <v>64916.179999999993</v>
      </c>
      <c r="AF57" s="54">
        <v>67919</v>
      </c>
      <c r="AG57" s="54">
        <v>67919</v>
      </c>
      <c r="AH57" s="54">
        <v>67919</v>
      </c>
      <c r="AI57" s="54">
        <v>67919</v>
      </c>
      <c r="AJ57" s="54">
        <v>67919</v>
      </c>
      <c r="AK57" s="54">
        <v>67919</v>
      </c>
      <c r="AL57" s="54">
        <v>67919</v>
      </c>
      <c r="AM57" s="54">
        <v>67919</v>
      </c>
      <c r="AN57" s="54">
        <v>67919</v>
      </c>
      <c r="AO57" s="54">
        <v>67919</v>
      </c>
      <c r="AP57" s="54">
        <v>67919</v>
      </c>
      <c r="AQ57" s="54">
        <v>67919</v>
      </c>
      <c r="AR57" s="54">
        <v>67919</v>
      </c>
      <c r="AS57" s="54">
        <v>67919</v>
      </c>
      <c r="AT57" s="54">
        <v>67919</v>
      </c>
      <c r="AU57" s="54">
        <v>67919</v>
      </c>
      <c r="AV57" s="54">
        <v>67919</v>
      </c>
      <c r="AW57" s="54">
        <v>67919</v>
      </c>
      <c r="AX57" s="54">
        <v>67919</v>
      </c>
      <c r="AY57" s="54">
        <v>67919</v>
      </c>
      <c r="AZ57" s="54">
        <v>67919</v>
      </c>
      <c r="BA57" s="54">
        <v>67919</v>
      </c>
      <c r="BB57" s="54">
        <v>67919</v>
      </c>
      <c r="BC57" s="54">
        <v>67919</v>
      </c>
      <c r="BD57" s="54">
        <v>67919</v>
      </c>
      <c r="BE57" s="54">
        <v>67919</v>
      </c>
      <c r="BF57" s="54">
        <v>67919</v>
      </c>
      <c r="BG57" s="54">
        <v>67919</v>
      </c>
      <c r="BH57" s="54">
        <v>67919</v>
      </c>
      <c r="BI57" s="54">
        <v>67919</v>
      </c>
      <c r="BJ57" s="54">
        <v>67919</v>
      </c>
      <c r="BK57" s="54">
        <v>67919</v>
      </c>
    </row>
    <row r="58" spans="1:75" x14ac:dyDescent="0.25">
      <c r="A58" s="54" t="s">
        <v>38</v>
      </c>
      <c r="B58" s="54" t="s">
        <v>106</v>
      </c>
      <c r="C58" s="54" t="s">
        <v>133</v>
      </c>
      <c r="U58" s="54">
        <v>2319</v>
      </c>
      <c r="V58" s="54">
        <v>2455.2730000000001</v>
      </c>
      <c r="W58" s="54">
        <v>2591.5460000000003</v>
      </c>
      <c r="X58" s="54">
        <v>2727.8190000000004</v>
      </c>
      <c r="Y58" s="54">
        <v>2864.0920000000006</v>
      </c>
      <c r="Z58" s="54">
        <v>3000.3650000000007</v>
      </c>
      <c r="AA58" s="54">
        <v>3136.6380000000008</v>
      </c>
      <c r="AB58" s="54">
        <v>3272.911000000001</v>
      </c>
      <c r="AC58" s="54">
        <v>3409.1840000000011</v>
      </c>
      <c r="AD58" s="54">
        <v>3545.4570000000012</v>
      </c>
      <c r="AE58" s="54">
        <v>3681.7300000000014</v>
      </c>
      <c r="AF58" s="54">
        <v>3818</v>
      </c>
      <c r="AG58" s="54">
        <v>3818</v>
      </c>
      <c r="AH58" s="54">
        <v>3818</v>
      </c>
      <c r="AI58" s="54">
        <v>3818</v>
      </c>
      <c r="AJ58" s="54">
        <v>3818</v>
      </c>
      <c r="AK58" s="54">
        <v>3818</v>
      </c>
      <c r="AL58" s="54">
        <v>3818</v>
      </c>
      <c r="AM58" s="54">
        <v>3818</v>
      </c>
      <c r="AN58" s="54">
        <v>3818</v>
      </c>
      <c r="AO58" s="54">
        <v>3818</v>
      </c>
      <c r="AP58" s="54">
        <v>3818</v>
      </c>
      <c r="AQ58" s="54">
        <v>3818</v>
      </c>
      <c r="AR58" s="54">
        <v>3818</v>
      </c>
      <c r="AS58" s="54">
        <v>3818</v>
      </c>
      <c r="AT58" s="54">
        <v>3818</v>
      </c>
      <c r="AU58" s="54">
        <v>3818</v>
      </c>
      <c r="AV58" s="54">
        <v>3818</v>
      </c>
      <c r="AW58" s="54">
        <v>3818</v>
      </c>
      <c r="AX58" s="54">
        <v>3818</v>
      </c>
      <c r="AY58" s="54">
        <v>3818</v>
      </c>
      <c r="AZ58" s="54">
        <v>3818</v>
      </c>
      <c r="BA58" s="54">
        <v>3818</v>
      </c>
      <c r="BB58" s="54">
        <v>3818</v>
      </c>
      <c r="BC58" s="54">
        <v>3818</v>
      </c>
      <c r="BD58" s="54">
        <v>3818</v>
      </c>
      <c r="BE58" s="54">
        <v>3818</v>
      </c>
      <c r="BF58" s="54">
        <v>3818</v>
      </c>
      <c r="BG58" s="54">
        <v>3818</v>
      </c>
      <c r="BH58" s="54">
        <v>3818</v>
      </c>
      <c r="BI58" s="54">
        <v>3818</v>
      </c>
      <c r="BJ58" s="54">
        <v>3818</v>
      </c>
      <c r="BK58" s="54">
        <v>3818</v>
      </c>
    </row>
    <row r="59" spans="1:75" x14ac:dyDescent="0.25">
      <c r="A59" s="54" t="s">
        <v>71</v>
      </c>
      <c r="B59" s="54" t="s">
        <v>105</v>
      </c>
      <c r="C59" s="54" t="s">
        <v>133</v>
      </c>
      <c r="U59" s="54">
        <v>39369</v>
      </c>
      <c r="V59" s="54">
        <v>44056.364000000001</v>
      </c>
      <c r="W59" s="54">
        <v>48743.728000000003</v>
      </c>
      <c r="X59" s="54">
        <v>53431.092000000004</v>
      </c>
      <c r="Y59" s="54">
        <v>58118.456000000006</v>
      </c>
      <c r="Z59" s="54">
        <v>62805.820000000007</v>
      </c>
      <c r="AA59" s="54">
        <v>67493.184000000008</v>
      </c>
      <c r="AB59" s="54">
        <v>72180.54800000001</v>
      </c>
      <c r="AC59" s="54">
        <v>76867.912000000011</v>
      </c>
      <c r="AD59" s="54">
        <v>81555.276000000013</v>
      </c>
      <c r="AE59" s="54">
        <v>86242.640000000014</v>
      </c>
      <c r="AF59" s="54">
        <v>90930</v>
      </c>
      <c r="AG59" s="54">
        <v>90930</v>
      </c>
      <c r="AH59" s="54">
        <v>90930</v>
      </c>
      <c r="AI59" s="54">
        <v>90930</v>
      </c>
      <c r="AJ59" s="54">
        <v>90930</v>
      </c>
      <c r="AK59" s="54">
        <v>90930</v>
      </c>
      <c r="AL59" s="54">
        <v>90930</v>
      </c>
      <c r="AM59" s="54">
        <v>90930</v>
      </c>
      <c r="AN59" s="54">
        <v>90930</v>
      </c>
      <c r="AO59" s="54">
        <v>90930</v>
      </c>
      <c r="AP59" s="54">
        <v>90930</v>
      </c>
      <c r="AQ59" s="54">
        <v>90930</v>
      </c>
      <c r="AR59" s="54">
        <v>90930</v>
      </c>
      <c r="AS59" s="54">
        <v>90930</v>
      </c>
      <c r="AT59" s="54">
        <v>90930</v>
      </c>
      <c r="AU59" s="54">
        <v>90930</v>
      </c>
      <c r="AV59" s="54">
        <v>90930</v>
      </c>
      <c r="AW59" s="54">
        <v>90930</v>
      </c>
      <c r="AX59" s="54">
        <v>90930</v>
      </c>
      <c r="AY59" s="54">
        <v>90930</v>
      </c>
      <c r="AZ59" s="54">
        <v>90930</v>
      </c>
      <c r="BA59" s="54">
        <v>90930</v>
      </c>
      <c r="BB59" s="54">
        <v>90930</v>
      </c>
      <c r="BC59" s="54">
        <v>90930</v>
      </c>
      <c r="BD59" s="54">
        <v>90930</v>
      </c>
      <c r="BE59" s="54">
        <v>90930</v>
      </c>
      <c r="BF59" s="54">
        <v>90930</v>
      </c>
      <c r="BG59" s="54">
        <v>90930</v>
      </c>
      <c r="BH59" s="54">
        <v>90930</v>
      </c>
      <c r="BI59" s="54">
        <v>90930</v>
      </c>
      <c r="BJ59" s="54">
        <v>90930</v>
      </c>
      <c r="BK59" s="54">
        <v>90930</v>
      </c>
    </row>
    <row r="60" spans="1:75" x14ac:dyDescent="0.25">
      <c r="A60" s="54" t="s">
        <v>71</v>
      </c>
      <c r="B60" s="54" t="s">
        <v>106</v>
      </c>
      <c r="C60" s="54" t="s">
        <v>133</v>
      </c>
      <c r="U60" s="54">
        <v>12851</v>
      </c>
      <c r="V60" s="54">
        <v>15078.455</v>
      </c>
      <c r="W60" s="54">
        <v>17305.91</v>
      </c>
      <c r="X60" s="54">
        <v>19533.364999999998</v>
      </c>
      <c r="Y60" s="54">
        <v>21760.82</v>
      </c>
      <c r="Z60" s="54">
        <v>23988.275000000001</v>
      </c>
      <c r="AA60" s="54">
        <v>26215.730000000003</v>
      </c>
      <c r="AB60" s="54">
        <v>28443.185000000005</v>
      </c>
      <c r="AC60" s="54">
        <v>30670.640000000007</v>
      </c>
      <c r="AD60" s="54">
        <v>32898.095000000008</v>
      </c>
      <c r="AE60" s="54">
        <v>35125.55000000001</v>
      </c>
      <c r="AF60" s="54">
        <v>37353</v>
      </c>
      <c r="AG60" s="54">
        <v>37353</v>
      </c>
      <c r="AH60" s="54">
        <v>37353</v>
      </c>
      <c r="AI60" s="54">
        <v>37353</v>
      </c>
      <c r="AJ60" s="54">
        <v>37353</v>
      </c>
      <c r="AK60" s="54">
        <v>37353</v>
      </c>
      <c r="AL60" s="54">
        <v>37353</v>
      </c>
      <c r="AM60" s="54">
        <v>37353</v>
      </c>
      <c r="AN60" s="54">
        <v>37353</v>
      </c>
      <c r="AO60" s="54">
        <v>37353</v>
      </c>
      <c r="AP60" s="54">
        <v>37353</v>
      </c>
      <c r="AQ60" s="54">
        <v>37353</v>
      </c>
      <c r="AR60" s="54">
        <v>37353</v>
      </c>
      <c r="AS60" s="54">
        <v>37353</v>
      </c>
      <c r="AT60" s="54">
        <v>37353</v>
      </c>
      <c r="AU60" s="54">
        <v>37353</v>
      </c>
      <c r="AV60" s="54">
        <v>37353</v>
      </c>
      <c r="AW60" s="54">
        <v>37353</v>
      </c>
      <c r="AX60" s="54">
        <v>37353</v>
      </c>
      <c r="AY60" s="54">
        <v>37353</v>
      </c>
      <c r="AZ60" s="54">
        <v>37353</v>
      </c>
      <c r="BA60" s="54">
        <v>37353</v>
      </c>
      <c r="BB60" s="54">
        <v>37353</v>
      </c>
      <c r="BC60" s="54">
        <v>37353</v>
      </c>
      <c r="BD60" s="54">
        <v>37353</v>
      </c>
      <c r="BE60" s="54">
        <v>37353</v>
      </c>
      <c r="BF60" s="54">
        <v>37353</v>
      </c>
      <c r="BG60" s="54">
        <v>37353</v>
      </c>
      <c r="BH60" s="54">
        <v>37353</v>
      </c>
      <c r="BI60" s="54">
        <v>37353</v>
      </c>
      <c r="BJ60" s="54">
        <v>37353</v>
      </c>
      <c r="BK60" s="54">
        <v>37353</v>
      </c>
    </row>
    <row r="62" spans="1:75" x14ac:dyDescent="0.25">
      <c r="D62" s="54">
        <v>34.200000000000003</v>
      </c>
      <c r="E62" s="54" t="s">
        <v>115</v>
      </c>
      <c r="F62" s="54" t="s">
        <v>116</v>
      </c>
    </row>
    <row r="63" spans="1:75" x14ac:dyDescent="0.25">
      <c r="D63" s="54">
        <v>37.299999999999997</v>
      </c>
      <c r="E63" s="54" t="s">
        <v>115</v>
      </c>
      <c r="F63" s="54" t="s">
        <v>117</v>
      </c>
    </row>
    <row r="64" spans="1:75" x14ac:dyDescent="0.25">
      <c r="D64" s="54">
        <v>3.7854100000000002</v>
      </c>
      <c r="E64" s="54" t="s">
        <v>118</v>
      </c>
    </row>
    <row r="65" spans="4:6" x14ac:dyDescent="0.25">
      <c r="D65" s="54">
        <f>D62*D64</f>
        <v>129.46102200000001</v>
      </c>
      <c r="E65" s="54" t="s">
        <v>119</v>
      </c>
      <c r="F65" s="54" t="s">
        <v>116</v>
      </c>
    </row>
    <row r="66" spans="4:6" x14ac:dyDescent="0.25">
      <c r="D66" s="54">
        <f>D63*D64</f>
        <v>141.19579300000001</v>
      </c>
      <c r="E66" s="54" t="s">
        <v>119</v>
      </c>
      <c r="F66" s="54" t="s">
        <v>117</v>
      </c>
    </row>
    <row r="67" spans="4:6" x14ac:dyDescent="0.25">
      <c r="D67" s="54">
        <v>24</v>
      </c>
      <c r="E67" s="54" t="s">
        <v>115</v>
      </c>
      <c r="F67" s="54" t="s">
        <v>105</v>
      </c>
    </row>
    <row r="68" spans="4:6" x14ac:dyDescent="0.25">
      <c r="D68" s="54">
        <v>33</v>
      </c>
      <c r="E68" s="54" t="s">
        <v>115</v>
      </c>
      <c r="F68" s="54" t="s">
        <v>132</v>
      </c>
    </row>
    <row r="69" spans="4:6" x14ac:dyDescent="0.25">
      <c r="D69" s="54">
        <f>D64*D67</f>
        <v>90.84984</v>
      </c>
      <c r="E69" s="54" t="s">
        <v>119</v>
      </c>
      <c r="F69" s="54" t="s">
        <v>105</v>
      </c>
    </row>
    <row r="70" spans="4:6" x14ac:dyDescent="0.25">
      <c r="D70" s="54">
        <f>D64*D68</f>
        <v>124.91853</v>
      </c>
      <c r="E70" s="54" t="s">
        <v>119</v>
      </c>
      <c r="F70" s="54" t="s">
        <v>132</v>
      </c>
    </row>
  </sheetData>
  <mergeCells count="8">
    <mergeCell ref="BM44:BM45"/>
    <mergeCell ref="BM48:BM49"/>
    <mergeCell ref="BM50:BM51"/>
    <mergeCell ref="BM2:BM12"/>
    <mergeCell ref="BM13:BM23"/>
    <mergeCell ref="BM26:BM32"/>
    <mergeCell ref="BM33:BM39"/>
    <mergeCell ref="BM42:BM4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66"/>
  <sheetViews>
    <sheetView topLeftCell="AX1" workbookViewId="0">
      <selection activeCell="BM41" sqref="BM41:BU45"/>
    </sheetView>
  </sheetViews>
  <sheetFormatPr defaultRowHeight="15" x14ac:dyDescent="0.25"/>
  <cols>
    <col min="1" max="1" width="8.42578125" style="54" bestFit="1" customWidth="1"/>
    <col min="2" max="2" width="26.140625" style="54" bestFit="1" customWidth="1"/>
    <col min="3" max="3" width="15.7109375" style="54" bestFit="1" customWidth="1"/>
    <col min="4" max="4" width="12" style="54" bestFit="1" customWidth="1"/>
    <col min="5" max="63" width="9.140625" style="54"/>
    <col min="64" max="64" width="10" style="54" bestFit="1" customWidth="1"/>
    <col min="65" max="65" width="8.42578125" style="54" bestFit="1" customWidth="1"/>
    <col min="66" max="66" width="26.140625" style="54" bestFit="1" customWidth="1"/>
    <col min="67" max="73" width="5" style="54" bestFit="1" customWidth="1"/>
    <col min="74" max="16384" width="9.140625" style="54"/>
  </cols>
  <sheetData>
    <row r="1" spans="1:73" x14ac:dyDescent="0.25">
      <c r="A1" s="54" t="s">
        <v>93</v>
      </c>
      <c r="B1" s="54" t="s">
        <v>94</v>
      </c>
      <c r="C1" s="54" t="s">
        <v>73</v>
      </c>
      <c r="D1" s="54">
        <v>1991</v>
      </c>
      <c r="E1" s="54">
        <v>1992</v>
      </c>
      <c r="F1" s="54">
        <v>1993</v>
      </c>
      <c r="G1" s="54">
        <v>1994</v>
      </c>
      <c r="H1" s="54">
        <v>1995</v>
      </c>
      <c r="I1" s="54">
        <v>1996</v>
      </c>
      <c r="J1" s="54">
        <v>1997</v>
      </c>
      <c r="K1" s="54">
        <v>1998</v>
      </c>
      <c r="L1" s="54">
        <v>1999</v>
      </c>
      <c r="M1" s="54">
        <v>2000</v>
      </c>
      <c r="N1" s="54">
        <v>2001</v>
      </c>
      <c r="O1" s="54">
        <v>2002</v>
      </c>
      <c r="P1" s="54">
        <v>2003</v>
      </c>
      <c r="Q1" s="54">
        <v>2004</v>
      </c>
      <c r="R1" s="54">
        <v>2005</v>
      </c>
      <c r="S1" s="54">
        <v>2006</v>
      </c>
      <c r="T1" s="54">
        <v>2007</v>
      </c>
      <c r="U1" s="54">
        <v>2008</v>
      </c>
      <c r="V1" s="54">
        <v>2009</v>
      </c>
      <c r="W1" s="54">
        <v>2010</v>
      </c>
      <c r="X1" s="54">
        <v>2011</v>
      </c>
      <c r="Y1" s="54">
        <v>2012</v>
      </c>
      <c r="Z1" s="54">
        <v>2013</v>
      </c>
      <c r="AA1" s="54">
        <v>2014</v>
      </c>
      <c r="AB1" s="54">
        <v>2015</v>
      </c>
      <c r="AC1" s="54">
        <v>2016</v>
      </c>
      <c r="AD1" s="54">
        <v>2017</v>
      </c>
      <c r="AE1" s="54">
        <v>2018</v>
      </c>
      <c r="AF1" s="54">
        <v>2019</v>
      </c>
      <c r="AG1" s="54">
        <v>2020</v>
      </c>
      <c r="AH1" s="54">
        <v>2021</v>
      </c>
      <c r="AI1" s="54">
        <v>2022</v>
      </c>
      <c r="AJ1" s="54">
        <v>2023</v>
      </c>
      <c r="AK1" s="54">
        <v>2024</v>
      </c>
      <c r="AL1" s="54">
        <v>2025</v>
      </c>
      <c r="AM1" s="54">
        <v>2026</v>
      </c>
      <c r="AN1" s="54">
        <v>2027</v>
      </c>
      <c r="AO1" s="54">
        <v>2028</v>
      </c>
      <c r="AP1" s="54">
        <v>2029</v>
      </c>
      <c r="AQ1" s="54">
        <v>2030</v>
      </c>
      <c r="AR1" s="54">
        <v>2031</v>
      </c>
      <c r="AS1" s="54">
        <v>2032</v>
      </c>
      <c r="AT1" s="54">
        <v>2033</v>
      </c>
      <c r="AU1" s="54">
        <v>2034</v>
      </c>
      <c r="AV1" s="54">
        <v>2035</v>
      </c>
      <c r="AW1" s="54">
        <v>2036</v>
      </c>
      <c r="AX1" s="54">
        <v>2037</v>
      </c>
      <c r="AY1" s="54">
        <v>2038</v>
      </c>
      <c r="AZ1" s="54">
        <v>2039</v>
      </c>
      <c r="BA1" s="54">
        <v>2040</v>
      </c>
      <c r="BB1" s="54">
        <v>2041</v>
      </c>
      <c r="BC1" s="54">
        <v>2042</v>
      </c>
      <c r="BD1" s="54">
        <v>2043</v>
      </c>
      <c r="BE1" s="54">
        <v>2044</v>
      </c>
      <c r="BF1" s="54">
        <v>2045</v>
      </c>
      <c r="BG1" s="54">
        <v>2046</v>
      </c>
      <c r="BH1" s="54">
        <v>2047</v>
      </c>
      <c r="BI1" s="54">
        <v>2048</v>
      </c>
      <c r="BJ1" s="54">
        <v>2049</v>
      </c>
      <c r="BK1" s="54">
        <v>2050</v>
      </c>
      <c r="BM1" s="60" t="s">
        <v>93</v>
      </c>
      <c r="BN1" s="60" t="s">
        <v>94</v>
      </c>
      <c r="BO1" s="60">
        <v>1991</v>
      </c>
      <c r="BP1" s="60">
        <v>2000</v>
      </c>
      <c r="BQ1" s="60">
        <v>2010</v>
      </c>
      <c r="BR1" s="60">
        <v>2020</v>
      </c>
      <c r="BS1" s="60">
        <v>2030</v>
      </c>
      <c r="BT1" s="60">
        <v>2040</v>
      </c>
      <c r="BU1" s="60">
        <v>2050</v>
      </c>
    </row>
    <row r="2" spans="1:73" x14ac:dyDescent="0.25">
      <c r="A2" s="54" t="s">
        <v>71</v>
      </c>
      <c r="B2" s="54" t="s">
        <v>96</v>
      </c>
      <c r="C2" s="54" t="s">
        <v>92</v>
      </c>
      <c r="D2" s="55">
        <f>'LUC-2012-08-10-Run3'!AF2</f>
        <v>1.0508415631190336E-5</v>
      </c>
      <c r="E2" s="55">
        <f>'LUC-2012-08-10-Run3'!AG2</f>
        <v>1.0527618537027347E-5</v>
      </c>
      <c r="F2" s="55">
        <f>'LUC-2012-08-10-Run3'!AH2</f>
        <v>1.0524144816427411E-5</v>
      </c>
      <c r="G2" s="55">
        <f>'LUC-2012-08-10-Run3'!AI2</f>
        <v>1.0522462802637258E-5</v>
      </c>
      <c r="H2" s="55">
        <f>'LUC-2012-08-10-Run3'!AJ2</f>
        <v>1.05226809524005E-5</v>
      </c>
      <c r="I2" s="55">
        <f>'LUC-2012-08-10-Run3'!AK2</f>
        <v>1.0524797835739828E-5</v>
      </c>
      <c r="J2" s="55">
        <f>'LUC-2012-08-10-Run3'!AL2</f>
        <v>1.0528848568531622E-5</v>
      </c>
      <c r="K2" s="55">
        <f>'LUC-2012-08-10-Run3'!AM2</f>
        <v>1.0535257891350468E-5</v>
      </c>
      <c r="L2" s="55">
        <f>'LUC-2012-08-10-Run3'!AN2</f>
        <v>1.0544407835154982E-5</v>
      </c>
      <c r="M2" s="55">
        <f>'LUC-2012-08-10-Run3'!AO2</f>
        <v>1.0556611219831291E-5</v>
      </c>
      <c r="N2" s="55">
        <f>'LUC-2012-08-10-Run3'!AP2</f>
        <v>1.0571844928448045E-5</v>
      </c>
      <c r="O2" s="55">
        <f>'LUC-2012-08-10-Run3'!AQ2</f>
        <v>1.0589980349233616E-5</v>
      </c>
      <c r="P2" s="55">
        <f>'LUC-2012-08-10-Run3'!AR2</f>
        <v>1.0610719107102551E-5</v>
      </c>
      <c r="Q2" s="55">
        <f>'LUC-2012-08-10-Run3'!AS2</f>
        <v>1.0633798162037924E-5</v>
      </c>
      <c r="R2" s="55">
        <f>'LUC-2012-08-10-Run3'!AT2</f>
        <v>1.0658934712118934E-5</v>
      </c>
      <c r="S2" s="55">
        <f>'LUC-2012-08-10-Run3'!AU2</f>
        <v>1.0686103454816139E-5</v>
      </c>
      <c r="T2" s="55">
        <f>'LUC-2012-08-10-Run3'!AV2</f>
        <v>1.0706788216627059E-5</v>
      </c>
      <c r="U2" s="55">
        <f>'LUC-2012-08-10-Run3'!AW2</f>
        <v>1.0728456082251589E-5</v>
      </c>
      <c r="V2" s="55">
        <f>'LUC-2012-08-10-Run3'!AX2</f>
        <v>1.0751065831749288E-5</v>
      </c>
      <c r="W2" s="55">
        <f>'LUC-2012-08-10-Run3'!AY2</f>
        <v>1.0774563840598372E-5</v>
      </c>
      <c r="X2" s="55">
        <f>'LUC-2012-08-10-Run3'!AZ2</f>
        <v>1.0798960435799681E-5</v>
      </c>
      <c r="Y2" s="55">
        <f>'LUC-2012-08-10-Run3'!BA2</f>
        <v>1.0824295861764934E-5</v>
      </c>
      <c r="Z2" s="55">
        <f>'LUC-2012-08-10-Run3'!BB2</f>
        <v>1.0850592739258354E-5</v>
      </c>
      <c r="AA2" s="55">
        <f>'LUC-2012-08-10-Run3'!BC2</f>
        <v>1.087794097409725E-5</v>
      </c>
      <c r="AB2" s="55">
        <f>'LUC-2012-08-10-Run3'!BD2</f>
        <v>1.0906365789103285E-5</v>
      </c>
      <c r="AC2" s="55">
        <f>'LUC-2012-08-10-Run3'!BE2</f>
        <v>1.0935892652571851E-5</v>
      </c>
      <c r="AD2" s="55">
        <f>'LUC-2012-08-10-Run3'!BF2</f>
        <v>1.0966502632073501E-5</v>
      </c>
      <c r="AE2" s="55">
        <f>'LUC-2012-08-10-Run3'!BG2</f>
        <v>1.0998165758669703E-5</v>
      </c>
      <c r="AF2" s="55">
        <f>'LUC-2012-08-10-Run3'!BH2</f>
        <v>1.1030890589946637E-5</v>
      </c>
      <c r="AG2" s="55">
        <f>'LUC-2012-08-10-Run3'!BI2</f>
        <v>1.1064614208349465E-5</v>
      </c>
      <c r="AH2" s="55">
        <f>'LUC-2012-08-10-Run3'!BJ2</f>
        <v>1.1099352516874274E-5</v>
      </c>
      <c r="AI2" s="55">
        <f>'LUC-2012-08-10-Run3'!BK2</f>
        <v>1.1135071273339653E-5</v>
      </c>
      <c r="AJ2" s="55">
        <f>'LUC-2012-08-10-Run3'!BL2</f>
        <v>1.1171768757387381E-5</v>
      </c>
      <c r="AK2" s="55">
        <f>'LUC-2012-08-10-Run3'!BM2</f>
        <v>1.1209435882853366E-5</v>
      </c>
      <c r="AL2" s="55">
        <f>'LUC-2012-08-10-Run3'!BN2</f>
        <v>1.1248082102841903E-5</v>
      </c>
      <c r="AM2" s="55">
        <f>'LUC-2012-08-10-Run3'!BO2</f>
        <v>1.1287650747779458E-5</v>
      </c>
      <c r="AN2" s="55">
        <f>'LUC-2012-08-10-Run3'!BP2</f>
        <v>1.1328155361841512E-5</v>
      </c>
      <c r="AO2" s="55">
        <f>'LUC-2012-08-10-Run3'!BQ2</f>
        <v>1.1369577202897563E-5</v>
      </c>
      <c r="AP2" s="55">
        <f>'LUC-2012-08-10-Run3'!BR2</f>
        <v>1.14119698203685E-5</v>
      </c>
      <c r="AQ2" s="55">
        <f>'LUC-2012-08-10-Run3'!BS2</f>
        <v>1.1455315468409502E-5</v>
      </c>
      <c r="AR2" s="55">
        <f>'LUC-2012-08-10-Run3'!BT2</f>
        <v>1.149961791242872E-5</v>
      </c>
      <c r="AS2" s="55">
        <f>'LUC-2012-08-10-Run3'!BU2</f>
        <v>1.1544883091286491E-5</v>
      </c>
      <c r="AT2" s="55">
        <f>'LUC-2012-08-10-Run3'!BV2</f>
        <v>1.1591014547387159E-5</v>
      </c>
      <c r="AU2" s="55">
        <f>'LUC-2012-08-10-Run3'!BW2</f>
        <v>1.1637937189213889E-5</v>
      </c>
      <c r="AV2" s="55">
        <f>'LUC-2012-08-10-Run3'!BX2</f>
        <v>1.1685595032168294E-5</v>
      </c>
      <c r="AW2" s="55">
        <f>'LUC-2012-08-10-Run3'!BY2</f>
        <v>1.1733977016655489E-5</v>
      </c>
      <c r="AX2" s="55">
        <f>'LUC-2012-08-10-Run3'!BZ2</f>
        <v>1.1783073058060966E-5</v>
      </c>
      <c r="AY2" s="55">
        <f>'LUC-2012-08-10-Run3'!CA2</f>
        <v>1.1832927264751691E-5</v>
      </c>
      <c r="AZ2" s="55">
        <f>'LUC-2012-08-10-Run3'!CB2</f>
        <v>1.1883595175689448E-5</v>
      </c>
      <c r="BA2" s="55">
        <f>'LUC-2012-08-10-Run3'!CC2</f>
        <v>1.1935118009080345E-5</v>
      </c>
      <c r="BB2" s="55">
        <f>'LUC-2012-08-10-Run3'!CD2</f>
        <v>1.1987488987436226E-5</v>
      </c>
      <c r="BC2" s="55">
        <f>'LUC-2012-08-10-Run3'!CE2</f>
        <v>1.204072754074284E-5</v>
      </c>
      <c r="BD2" s="55">
        <f>'LUC-2012-08-10-Run3'!CF2</f>
        <v>1.2094807145257598E-5</v>
      </c>
      <c r="BE2" s="55">
        <f>'LUC-2012-08-10-Run3'!CG2</f>
        <v>1.2149716763064159E-5</v>
      </c>
      <c r="BF2" s="55">
        <f>'LUC-2012-08-10-Run3'!CH2</f>
        <v>1.2205477055080803E-5</v>
      </c>
      <c r="BG2" s="55">
        <f>'LUC-2012-08-10-Run3'!CI2</f>
        <v>1.2262068474249293E-5</v>
      </c>
      <c r="BH2" s="55">
        <f>'LUC-2012-08-10-Run3'!CJ2</f>
        <v>1.2319520822137554E-5</v>
      </c>
      <c r="BI2" s="55">
        <f>'LUC-2012-08-10-Run3'!CK2</f>
        <v>1.237786806722634E-5</v>
      </c>
      <c r="BJ2" s="55">
        <f>'LUC-2012-08-10-Run3'!CL2</f>
        <v>1.2437151013296541E-5</v>
      </c>
      <c r="BK2" s="55">
        <f>'LUC-2012-08-10-Run3'!CM2</f>
        <v>1.2497422526767769E-5</v>
      </c>
      <c r="BM2" s="106" t="s">
        <v>71</v>
      </c>
      <c r="BN2" s="54" t="s">
        <v>96</v>
      </c>
      <c r="BO2" s="68">
        <f>D2*1000000</f>
        <v>10.508415631190337</v>
      </c>
      <c r="BP2" s="68">
        <f t="shared" ref="BP2:BP12" si="0">M2*1000000</f>
        <v>10.556611219831291</v>
      </c>
      <c r="BQ2" s="68">
        <f t="shared" ref="BQ2:BQ12" si="1">W2*1000000</f>
        <v>10.774563840598372</v>
      </c>
      <c r="BR2" s="68">
        <f t="shared" ref="BR2:BR12" si="2">AG2*1000000</f>
        <v>11.064614208349465</v>
      </c>
      <c r="BS2" s="68">
        <f t="shared" ref="BS2:BS12" si="3">AQ2*1000000</f>
        <v>11.455315468409502</v>
      </c>
      <c r="BT2" s="68">
        <f t="shared" ref="BT2:BT12" si="4">BA2*1000000</f>
        <v>11.935118009080345</v>
      </c>
      <c r="BU2" s="68">
        <f t="shared" ref="BU2:BU12" si="5">BK2*1000000</f>
        <v>12.497422526767769</v>
      </c>
    </row>
    <row r="3" spans="1:73" x14ac:dyDescent="0.25">
      <c r="A3" s="54" t="s">
        <v>71</v>
      </c>
      <c r="B3" s="54" t="s">
        <v>97</v>
      </c>
      <c r="C3" s="54" t="s">
        <v>92</v>
      </c>
      <c r="D3" s="55">
        <f>'LUC-2012-08-10-Run3'!AF3</f>
        <v>7.0000430409191978E-5</v>
      </c>
      <c r="E3" s="55">
        <f>'LUC-2012-08-10-Run3'!AG3</f>
        <v>7.0630961246729871E-5</v>
      </c>
      <c r="F3" s="55">
        <f>'LUC-2012-08-10-Run3'!AH3</f>
        <v>7.1066274150239037E-5</v>
      </c>
      <c r="G3" s="55">
        <f>'LUC-2012-08-10-Run3'!AI3</f>
        <v>7.150778011594632E-5</v>
      </c>
      <c r="H3" s="55">
        <f>'LUC-2012-08-10-Run3'!AJ3</f>
        <v>7.1952944698856812E-5</v>
      </c>
      <c r="I3" s="55">
        <f>'LUC-2012-08-10-Run3'!AK3</f>
        <v>7.2400861735737981E-5</v>
      </c>
      <c r="J3" s="55">
        <f>'LUC-2012-08-10-Run3'!AL3</f>
        <v>7.285284622485931E-5</v>
      </c>
      <c r="K3" s="55">
        <f>'LUC-2012-08-10-Run3'!AM3</f>
        <v>7.3313273932656012E-5</v>
      </c>
      <c r="L3" s="55">
        <f>'LUC-2012-08-10-Run3'!AN3</f>
        <v>7.3787111123243884E-5</v>
      </c>
      <c r="M3" s="55">
        <f>'LUC-2012-08-10-Run3'!AO3</f>
        <v>7.4277957562576602E-5</v>
      </c>
      <c r="N3" s="55">
        <f>'LUC-2012-08-10-Run3'!AP3</f>
        <v>7.478586235260993E-5</v>
      </c>
      <c r="O3" s="55">
        <f>'LUC-2012-08-10-Run3'!AQ3</f>
        <v>7.5308758342790844E-5</v>
      </c>
      <c r="P3" s="55">
        <f>'LUC-2012-08-10-Run3'!AR3</f>
        <v>7.5842609785929511E-5</v>
      </c>
      <c r="Q3" s="55">
        <f>'LUC-2012-08-10-Run3'!AS3</f>
        <v>7.6383079700261544E-5</v>
      </c>
      <c r="R3" s="55">
        <f>'LUC-2012-08-10-Run3'!AT3</f>
        <v>7.6926134271035562E-5</v>
      </c>
      <c r="S3" s="55">
        <f>'LUC-2012-08-10-Run3'!AU3</f>
        <v>7.74708096795645E-5</v>
      </c>
      <c r="T3" s="55">
        <f>'LUC-2012-08-10-Run3'!AV3</f>
        <v>7.7835708482740454E-5</v>
      </c>
      <c r="U3" s="55">
        <f>'LUC-2012-08-10-Run3'!AW3</f>
        <v>7.8201471463656532E-5</v>
      </c>
      <c r="V3" s="55">
        <f>'LUC-2012-08-10-Run3'!AX3</f>
        <v>7.8567368679820893E-5</v>
      </c>
      <c r="W3" s="55">
        <f>'LUC-2012-08-10-Run3'!AY3</f>
        <v>7.8932911450597094E-5</v>
      </c>
      <c r="X3" s="55">
        <f>'LUC-2012-08-10-Run3'!AZ3</f>
        <v>7.9297852098800776E-5</v>
      </c>
      <c r="Y3" s="55">
        <f>'LUC-2012-08-10-Run3'!BA3</f>
        <v>7.9662257933066125E-5</v>
      </c>
      <c r="Z3" s="55">
        <f>'LUC-2012-08-10-Run3'!BB3</f>
        <v>8.0026718781396811E-5</v>
      </c>
      <c r="AA3" s="55">
        <f>'LUC-2012-08-10-Run3'!BC3</f>
        <v>8.0392479033655488E-5</v>
      </c>
      <c r="AB3" s="55">
        <f>'LUC-2012-08-10-Run3'!BD3</f>
        <v>8.0760241330582992E-5</v>
      </c>
      <c r="AC3" s="55">
        <f>'LUC-2012-08-10-Run3'!BE3</f>
        <v>8.1130206649503354E-5</v>
      </c>
      <c r="AD3" s="55">
        <f>'LUC-2012-08-10-Run3'!BF3</f>
        <v>8.1502220208843951E-5</v>
      </c>
      <c r="AE3" s="55">
        <f>'LUC-2012-08-10-Run3'!BG3</f>
        <v>8.1876586623157236E-5</v>
      </c>
      <c r="AF3" s="55">
        <f>'LUC-2012-08-10-Run3'!BH3</f>
        <v>8.2253773652320511E-5</v>
      </c>
      <c r="AG3" s="55">
        <f>'LUC-2012-08-10-Run3'!BI3</f>
        <v>8.2633805686775901E-5</v>
      </c>
      <c r="AH3" s="55">
        <f>'LUC-2012-08-10-Run3'!BJ3</f>
        <v>8.3016912391095407E-5</v>
      </c>
      <c r="AI3" s="55">
        <f>'LUC-2012-08-10-Run3'!BK3</f>
        <v>8.3402934492782065E-5</v>
      </c>
      <c r="AJ3" s="55">
        <f>'LUC-2012-08-10-Run3'!BL3</f>
        <v>8.379154793872499E-5</v>
      </c>
      <c r="AK3" s="55">
        <f>'LUC-2012-08-10-Run3'!BM3</f>
        <v>8.4182322844702172E-5</v>
      </c>
      <c r="AL3" s="55">
        <f>'LUC-2012-08-10-Run3'!BN3</f>
        <v>8.4575119602724896E-5</v>
      </c>
      <c r="AM3" s="55">
        <f>'LUC-2012-08-10-Run3'!BO3</f>
        <v>8.4969477988109616E-5</v>
      </c>
      <c r="AN3" s="55">
        <f>'LUC-2012-08-10-Run3'!BP3</f>
        <v>8.5365604263626746E-5</v>
      </c>
      <c r="AO3" s="55">
        <f>'LUC-2012-08-10-Run3'!BQ3</f>
        <v>8.5763088438758648E-5</v>
      </c>
      <c r="AP3" s="55">
        <f>'LUC-2012-08-10-Run3'!BR3</f>
        <v>8.6162014741530959E-5</v>
      </c>
      <c r="AQ3" s="55">
        <f>'LUC-2012-08-10-Run3'!BS3</f>
        <v>8.6562046837841089E-5</v>
      </c>
      <c r="AR3" s="55">
        <f>'LUC-2012-08-10-Run3'!BT3</f>
        <v>8.6909831975358727E-5</v>
      </c>
      <c r="AS3" s="55">
        <f>'LUC-2012-08-10-Run3'!BU3</f>
        <v>8.7260257869877498E-5</v>
      </c>
      <c r="AT3" s="55">
        <f>'LUC-2012-08-10-Run3'!BV3</f>
        <v>8.7612980013969039E-5</v>
      </c>
      <c r="AU3" s="55">
        <f>'LUC-2012-08-10-Run3'!BW3</f>
        <v>8.7968210364206207E-5</v>
      </c>
      <c r="AV3" s="55">
        <f>'LUC-2012-08-10-Run3'!BX3</f>
        <v>8.8325924179781699E-5</v>
      </c>
      <c r="AW3" s="55">
        <f>'LUC-2012-08-10-Run3'!BY3</f>
        <v>8.8686259003845197E-5</v>
      </c>
      <c r="AX3" s="55">
        <f>'LUC-2012-08-10-Run3'!BZ3</f>
        <v>8.9048882229405665E-5</v>
      </c>
      <c r="AY3" s="55">
        <f>'LUC-2012-08-10-Run3'!CA3</f>
        <v>8.9414053805702252E-5</v>
      </c>
      <c r="AZ3" s="55">
        <f>'LUC-2012-08-10-Run3'!CB3</f>
        <v>8.9781752363607951E-5</v>
      </c>
      <c r="BA3" s="55">
        <f>'LUC-2012-08-10-Run3'!CC3</f>
        <v>9.0152000277690048E-5</v>
      </c>
      <c r="BB3" s="55">
        <f>'LUC-2012-08-10-Run3'!CD3</f>
        <v>9.0524660714826535E-5</v>
      </c>
      <c r="BC3" s="55">
        <f>'LUC-2012-08-10-Run3'!CE3</f>
        <v>9.0899780625042673E-5</v>
      </c>
      <c r="BD3" s="55">
        <f>'LUC-2012-08-10-Run3'!CF3</f>
        <v>9.1277330608923702E-5</v>
      </c>
      <c r="BE3" s="55">
        <f>'LUC-2012-08-10-Run3'!CG3</f>
        <v>9.1657233421723404E-5</v>
      </c>
      <c r="BF3" s="55">
        <f>'LUC-2012-08-10-Run3'!CH3</f>
        <v>9.2039602584603042E-5</v>
      </c>
      <c r="BG3" s="55">
        <f>'LUC-2012-08-10-Run3'!CI3</f>
        <v>9.242432100084031E-5</v>
      </c>
      <c r="BH3" s="55">
        <f>'LUC-2012-08-10-Run3'!CJ3</f>
        <v>9.2811362732216811E-5</v>
      </c>
      <c r="BI3" s="55">
        <f>'LUC-2012-08-10-Run3'!CK3</f>
        <v>9.3200498186654245E-5</v>
      </c>
      <c r="BJ3" s="55">
        <f>'LUC-2012-08-10-Run3'!CL3</f>
        <v>9.3591909887886761E-5</v>
      </c>
      <c r="BK3" s="55">
        <f>'LUC-2012-08-10-Run3'!CM3</f>
        <v>9.3985309441606062E-5</v>
      </c>
      <c r="BM3" s="107"/>
      <c r="BN3" s="54" t="s">
        <v>97</v>
      </c>
      <c r="BO3" s="68">
        <f t="shared" ref="BO3:BO12" si="6">D3*1000000</f>
        <v>70.000430409191978</v>
      </c>
      <c r="BP3" s="68">
        <f t="shared" si="0"/>
        <v>74.277957562576603</v>
      </c>
      <c r="BQ3" s="68">
        <f t="shared" si="1"/>
        <v>78.932911450597089</v>
      </c>
      <c r="BR3" s="68">
        <f t="shared" si="2"/>
        <v>82.633805686775901</v>
      </c>
      <c r="BS3" s="68">
        <f t="shared" si="3"/>
        <v>86.562046837841095</v>
      </c>
      <c r="BT3" s="68">
        <f t="shared" si="4"/>
        <v>90.15200027769005</v>
      </c>
      <c r="BU3" s="68">
        <f t="shared" si="5"/>
        <v>93.985309441606063</v>
      </c>
    </row>
    <row r="4" spans="1:73" x14ac:dyDescent="0.25">
      <c r="A4" s="54" t="s">
        <v>71</v>
      </c>
      <c r="B4" s="54" t="s">
        <v>95</v>
      </c>
      <c r="C4" s="54" t="s">
        <v>92</v>
      </c>
      <c r="D4" s="55">
        <f>'LUC-2012-08-10-Run3'!AF4</f>
        <v>1.3228986578653787E-5</v>
      </c>
      <c r="E4" s="55">
        <f>'LUC-2012-08-10-Run3'!AG4</f>
        <v>1.3351004035312167E-5</v>
      </c>
      <c r="F4" s="55">
        <f>'LUC-2012-08-10-Run3'!AH4</f>
        <v>1.3448210690384045E-5</v>
      </c>
      <c r="G4" s="55">
        <f>'LUC-2012-08-10-Run3'!AI4</f>
        <v>1.3548882358160103E-5</v>
      </c>
      <c r="H4" s="55">
        <f>'LUC-2012-08-10-Run3'!AJ4</f>
        <v>1.365327018224468E-5</v>
      </c>
      <c r="I4" s="55">
        <f>'LUC-2012-08-10-Run3'!AK4</f>
        <v>1.3761500883312822E-5</v>
      </c>
      <c r="J4" s="55">
        <f>'LUC-2012-08-10-Run3'!AL4</f>
        <v>1.387370090955609E-5</v>
      </c>
      <c r="K4" s="55">
        <f>'LUC-2012-08-10-Run3'!AM4</f>
        <v>1.3990474699641369E-5</v>
      </c>
      <c r="L4" s="55">
        <f>'LUC-2012-08-10-Run3'!AN4</f>
        <v>1.4112378817260886E-5</v>
      </c>
      <c r="M4" s="55">
        <f>'LUC-2012-08-10-Run3'!AO4</f>
        <v>1.4239928335395459E-5</v>
      </c>
      <c r="N4" s="55">
        <f>'LUC-2012-08-10-Run3'!AP4</f>
        <v>1.4373258842965937E-5</v>
      </c>
      <c r="O4" s="55">
        <f>'LUC-2012-08-10-Run3'!AQ4</f>
        <v>1.4512396972370334E-5</v>
      </c>
      <c r="P4" s="55">
        <f>'LUC-2012-08-10-Run3'!AR4</f>
        <v>1.4657165111117269E-5</v>
      </c>
      <c r="Q4" s="55">
        <f>'LUC-2012-08-10-Run3'!AS4</f>
        <v>1.4807426681632889E-5</v>
      </c>
      <c r="R4" s="55">
        <f>'LUC-2012-08-10-Run3'!AT4</f>
        <v>1.4962997035753534E-5</v>
      </c>
      <c r="S4" s="55">
        <f>'LUC-2012-08-10-Run3'!AU4</f>
        <v>1.5124019551113483E-5</v>
      </c>
      <c r="T4" s="55">
        <f>'LUC-2012-08-10-Run3'!AV4</f>
        <v>1.5129679469184749E-5</v>
      </c>
      <c r="U4" s="55">
        <f>'LUC-2012-08-10-Run3'!AW4</f>
        <v>1.5136668183505505E-5</v>
      </c>
      <c r="V4" s="55">
        <f>'LUC-2012-08-10-Run3'!AX4</f>
        <v>1.5144948109290246E-5</v>
      </c>
      <c r="W4" s="55">
        <f>'LUC-2012-08-10-Run3'!AY4</f>
        <v>1.5154462024834499E-5</v>
      </c>
      <c r="X4" s="55">
        <f>'LUC-2012-08-10-Run3'!AZ4</f>
        <v>1.5165243320731007E-5</v>
      </c>
      <c r="Y4" s="55">
        <f>'LUC-2012-08-10-Run3'!BA4</f>
        <v>1.5177362977126023E-5</v>
      </c>
      <c r="Z4" s="55">
        <f>'LUC-2012-08-10-Run3'!BB4</f>
        <v>1.5190865046527137E-5</v>
      </c>
      <c r="AA4" s="55">
        <f>'LUC-2012-08-10-Run3'!BC4</f>
        <v>1.5205885679193845E-5</v>
      </c>
      <c r="AB4" s="55">
        <f>'LUC-2012-08-10-Run3'!BD4</f>
        <v>1.5222476092568192E-5</v>
      </c>
      <c r="AC4" s="55">
        <f>'LUC-2012-08-10-Run3'!BE4</f>
        <v>1.5240690367872361E-5</v>
      </c>
      <c r="AD4" s="55">
        <f>'LUC-2012-08-10-Run3'!BF4</f>
        <v>1.5260525310550297E-5</v>
      </c>
      <c r="AE4" s="55">
        <f>'LUC-2012-08-10-Run3'!BG4</f>
        <v>1.5281970137911179E-5</v>
      </c>
      <c r="AF4" s="55">
        <f>'LUC-2012-08-10-Run3'!BH4</f>
        <v>1.5305072604409572E-5</v>
      </c>
      <c r="AG4" s="55">
        <f>'LUC-2012-08-10-Run3'!BI4</f>
        <v>1.5329779965360515E-5</v>
      </c>
      <c r="AH4" s="55">
        <f>'LUC-2012-08-10-Run3'!BJ4</f>
        <v>1.5356153846789519E-5</v>
      </c>
      <c r="AI4" s="55">
        <f>'LUC-2012-08-10-Run3'!BK4</f>
        <v>1.5384179273723803E-5</v>
      </c>
      <c r="AJ4" s="55">
        <f>'LUC-2012-08-10-Run3'!BL4</f>
        <v>1.5413889957734609E-5</v>
      </c>
      <c r="AK4" s="55">
        <f>'LUC-2012-08-10-Run3'!BM4</f>
        <v>1.5445306992464522E-5</v>
      </c>
      <c r="AL4" s="55">
        <f>'LUC-2012-08-10-Run3'!BN4</f>
        <v>1.5478482896908194E-5</v>
      </c>
      <c r="AM4" s="55">
        <f>'LUC-2012-08-10-Run3'!BO4</f>
        <v>1.5513378357914852E-5</v>
      </c>
      <c r="AN4" s="55">
        <f>'LUC-2012-08-10-Run3'!BP4</f>
        <v>1.555004767317005E-5</v>
      </c>
      <c r="AO4" s="55">
        <f>'LUC-2012-08-10-Run3'!BQ4</f>
        <v>1.5588500151053576E-5</v>
      </c>
      <c r="AP4" s="55">
        <f>'LUC-2012-08-10-Run3'!BR4</f>
        <v>1.5628829986834069E-5</v>
      </c>
      <c r="AQ4" s="55">
        <f>'LUC-2012-08-10-Run3'!BS4</f>
        <v>1.567104412217074E-5</v>
      </c>
      <c r="AR4" s="55">
        <f>'LUC-2012-08-10-Run3'!BT4</f>
        <v>1.5715175740897283E-5</v>
      </c>
      <c r="AS4" s="55">
        <f>'LUC-2012-08-10-Run3'!BU4</f>
        <v>1.576127411843068E-5</v>
      </c>
      <c r="AT4" s="55">
        <f>'LUC-2012-08-10-Run3'!BV4</f>
        <v>1.5809239413469278E-5</v>
      </c>
      <c r="AU4" s="55">
        <f>'LUC-2012-08-10-Run3'!BW4</f>
        <v>1.5859003238648446E-5</v>
      </c>
      <c r="AV4" s="55">
        <f>'LUC-2012-08-10-Run3'!BX4</f>
        <v>1.5910525374817119E-5</v>
      </c>
      <c r="AW4" s="55">
        <f>'LUC-2012-08-10-Run3'!BY4</f>
        <v>1.5963826475578374E-5</v>
      </c>
      <c r="AX4" s="55">
        <f>'LUC-2012-08-10-Run3'!BZ4</f>
        <v>1.6018932390953672E-5</v>
      </c>
      <c r="AY4" s="55">
        <f>'LUC-2012-08-10-Run3'!CA4</f>
        <v>1.6075946092514357E-5</v>
      </c>
      <c r="AZ4" s="55">
        <f>'LUC-2012-08-10-Run3'!CB4</f>
        <v>1.6134996204646558E-5</v>
      </c>
      <c r="BA4" s="55">
        <f>'LUC-2012-08-10-Run3'!CC4</f>
        <v>1.619617700250283E-5</v>
      </c>
      <c r="BB4" s="55">
        <f>'LUC-2012-08-10-Run3'!CD4</f>
        <v>1.6259530794417312E-5</v>
      </c>
      <c r="BC4" s="55">
        <f>'LUC-2012-08-10-Run3'!CE4</f>
        <v>1.6325137705062302E-5</v>
      </c>
      <c r="BD4" s="55">
        <f>'LUC-2012-08-10-Run3'!CF4</f>
        <v>1.6393003462244631E-5</v>
      </c>
      <c r="BE4" s="55">
        <f>'LUC-2012-08-10-Run3'!CG4</f>
        <v>1.646317079761857E-5</v>
      </c>
      <c r="BF4" s="55">
        <f>'LUC-2012-08-10-Run3'!CH4</f>
        <v>1.6535713142124513E-5</v>
      </c>
      <c r="BG4" s="55">
        <f>'LUC-2012-08-10-Run3'!CI4</f>
        <v>1.6610675973681363E-5</v>
      </c>
      <c r="BH4" s="55">
        <f>'LUC-2012-08-10-Run3'!CJ4</f>
        <v>1.6688154385214631E-5</v>
      </c>
      <c r="BI4" s="55">
        <f>'LUC-2012-08-10-Run3'!CK4</f>
        <v>1.6768272358873779E-5</v>
      </c>
      <c r="BJ4" s="55">
        <f>'LUC-2012-08-10-Run3'!CL4</f>
        <v>1.6851146193557374E-5</v>
      </c>
      <c r="BK4" s="55">
        <f>'LUC-2012-08-10-Run3'!CM4</f>
        <v>1.6936941244662474E-5</v>
      </c>
      <c r="BM4" s="107"/>
      <c r="BN4" s="54" t="s">
        <v>95</v>
      </c>
      <c r="BO4" s="68">
        <f t="shared" si="6"/>
        <v>13.228986578653787</v>
      </c>
      <c r="BP4" s="68">
        <f t="shared" si="0"/>
        <v>14.23992833539546</v>
      </c>
      <c r="BQ4" s="68">
        <f t="shared" si="1"/>
        <v>15.154462024834499</v>
      </c>
      <c r="BR4" s="68">
        <f t="shared" si="2"/>
        <v>15.329779965360515</v>
      </c>
      <c r="BS4" s="68">
        <f t="shared" si="3"/>
        <v>15.671044122170739</v>
      </c>
      <c r="BT4" s="68">
        <f t="shared" si="4"/>
        <v>16.196177002502829</v>
      </c>
      <c r="BU4" s="68">
        <f t="shared" si="5"/>
        <v>16.936941244662474</v>
      </c>
    </row>
    <row r="5" spans="1:73" x14ac:dyDescent="0.25">
      <c r="A5" s="54" t="s">
        <v>71</v>
      </c>
      <c r="B5" s="54" t="s">
        <v>98</v>
      </c>
      <c r="C5" s="54" t="s">
        <v>92</v>
      </c>
      <c r="D5" s="55">
        <f>'LUC-2012-08-10-Run3'!AF5</f>
        <v>7.0121002027183778E-6</v>
      </c>
      <c r="E5" s="55">
        <f>'LUC-2012-08-10-Run3'!AG5</f>
        <v>7.2210894119728063E-6</v>
      </c>
      <c r="F5" s="55">
        <f>'LUC-2012-08-10-Run3'!AH5</f>
        <v>7.4202145751621905E-6</v>
      </c>
      <c r="G5" s="55">
        <f>'LUC-2012-08-10-Run3'!AI5</f>
        <v>7.6288203120131999E-6</v>
      </c>
      <c r="H5" s="55">
        <f>'LUC-2012-08-10-Run3'!AJ5</f>
        <v>7.8474396653895003E-6</v>
      </c>
      <c r="I5" s="55">
        <f>'LUC-2012-08-10-Run3'!AK5</f>
        <v>8.0765895476182639E-6</v>
      </c>
      <c r="J5" s="55">
        <f>'LUC-2012-08-10-Run3'!AL5</f>
        <v>8.3168765465417997E-6</v>
      </c>
      <c r="K5" s="55">
        <f>'LUC-2012-08-10-Run3'!AM5</f>
        <v>8.569263350893212E-6</v>
      </c>
      <c r="L5" s="55">
        <f>'LUC-2012-08-10-Run3'!AN5</f>
        <v>8.8347261253526665E-6</v>
      </c>
      <c r="M5" s="55">
        <f>'LUC-2012-08-10-Run3'!AO5</f>
        <v>9.11421427809247E-6</v>
      </c>
      <c r="N5" s="55">
        <f>'LUC-2012-08-10-Run3'!AP5</f>
        <v>9.4084016592827995E-6</v>
      </c>
      <c r="O5" s="55">
        <f>'LUC-2012-08-10-Run3'!AQ5</f>
        <v>9.7178946223932155E-6</v>
      </c>
      <c r="P5" s="55">
        <f>'LUC-2012-08-10-Run3'!AR5</f>
        <v>1.0043173749519153E-5</v>
      </c>
      <c r="Q5" s="55">
        <f>'LUC-2012-08-10-Run3'!AS5</f>
        <v>1.0384788452865011E-5</v>
      </c>
      <c r="R5" s="55">
        <f>'LUC-2012-08-10-Run3'!AT5</f>
        <v>1.0743308883754397E-5</v>
      </c>
      <c r="S5" s="55">
        <f>'LUC-2012-08-10-Run3'!AU5</f>
        <v>1.1119589377810111E-5</v>
      </c>
      <c r="T5" s="55">
        <f>'LUC-2012-08-10-Run3'!AV5</f>
        <v>1.1213796586475904E-5</v>
      </c>
      <c r="U5" s="55">
        <f>'LUC-2012-08-10-Run3'!AW5</f>
        <v>1.1310063229022583E-5</v>
      </c>
      <c r="V5" s="55">
        <f>'LUC-2012-08-10-Run3'!AX5</f>
        <v>1.1408394646721938E-5</v>
      </c>
      <c r="W5" s="55">
        <f>'LUC-2012-08-10-Run3'!AY5</f>
        <v>1.1508780806381498E-5</v>
      </c>
      <c r="X5" s="55">
        <f>'LUC-2012-08-10-Run3'!AZ5</f>
        <v>1.1611279737027922E-5</v>
      </c>
      <c r="Y5" s="55">
        <f>'LUC-2012-08-10-Run3'!BA5</f>
        <v>1.1715979237498833E-5</v>
      </c>
      <c r="Z5" s="55">
        <f>'LUC-2012-08-10-Run3'!BB5</f>
        <v>1.1822947929307411E-5</v>
      </c>
      <c r="AA5" s="55">
        <f>'LUC-2012-08-10-Run3'!BC5</f>
        <v>1.1932326332599029E-5</v>
      </c>
      <c r="AB5" s="55">
        <f>'LUC-2012-08-10-Run3'!BD5</f>
        <v>1.2044191881680218E-5</v>
      </c>
      <c r="AC5" s="55">
        <f>'LUC-2012-08-10-Run3'!BE5</f>
        <v>1.2158625474257043E-5</v>
      </c>
      <c r="AD5" s="55">
        <f>'LUC-2012-08-10-Run3'!BF5</f>
        <v>1.2275663650896177E-5</v>
      </c>
      <c r="AE5" s="55">
        <f>'LUC-2012-08-10-Run3'!BG5</f>
        <v>1.2395333374645749E-5</v>
      </c>
      <c r="AF5" s="55">
        <f>'LUC-2012-08-10-Run3'!BH5</f>
        <v>1.2517706778337661E-5</v>
      </c>
      <c r="AG5" s="55">
        <f>'LUC-2012-08-10-Run3'!BI5</f>
        <v>1.2642778251082926E-5</v>
      </c>
      <c r="AH5" s="55">
        <f>'LUC-2012-08-10-Run3'!BJ5</f>
        <v>1.2770631328073203E-5</v>
      </c>
      <c r="AI5" s="55">
        <f>'LUC-2012-08-10-Run3'!BK5</f>
        <v>1.2901293894719471E-5</v>
      </c>
      <c r="AJ5" s="55">
        <f>'LUC-2012-08-10-Run3'!BL5</f>
        <v>1.3034830919942682E-5</v>
      </c>
      <c r="AK5" s="55">
        <f>'LUC-2012-08-10-Run3'!BM5</f>
        <v>1.3171300126526274E-5</v>
      </c>
      <c r="AL5" s="55">
        <f>'LUC-2012-08-10-Run3'!BN5</f>
        <v>1.3310782826788613E-5</v>
      </c>
      <c r="AM5" s="55">
        <f>'LUC-2012-08-10-Run3'!BO5</f>
        <v>1.3453288136796965E-5</v>
      </c>
      <c r="AN5" s="55">
        <f>'LUC-2012-08-10-Run3'!BP5</f>
        <v>1.3598902811408791E-5</v>
      </c>
      <c r="AO5" s="55">
        <f>'LUC-2012-08-10-Run3'!BQ5</f>
        <v>1.3747680101340874E-5</v>
      </c>
      <c r="AP5" s="55">
        <f>'LUC-2012-08-10-Run3'!BR5</f>
        <v>1.3899750761434954E-5</v>
      </c>
      <c r="AQ5" s="55">
        <f>'LUC-2012-08-10-Run3'!BS5</f>
        <v>1.4055169790404232E-5</v>
      </c>
      <c r="AR5" s="55">
        <f>'LUC-2012-08-10-Run3'!BT5</f>
        <v>1.4214018533221651E-5</v>
      </c>
      <c r="AS5" s="55">
        <f>'LUC-2012-08-10-Run3'!BU5</f>
        <v>1.4376384341841042E-5</v>
      </c>
      <c r="AT5" s="55">
        <f>'LUC-2012-08-10-Run3'!BV5</f>
        <v>1.454223838780701E-5</v>
      </c>
      <c r="AU5" s="55">
        <f>'LUC-2012-08-10-Run3'!BW5</f>
        <v>1.4711573778200049E-5</v>
      </c>
      <c r="AV5" s="55">
        <f>'LUC-2012-08-10-Run3'!BX5</f>
        <v>1.4884409820544955E-5</v>
      </c>
      <c r="AW5" s="55">
        <f>'LUC-2012-08-10-Run3'!BY5</f>
        <v>1.5060817919501827E-5</v>
      </c>
      <c r="AX5" s="55">
        <f>'LUC-2012-08-10-Run3'!BZ5</f>
        <v>1.5240874558207107E-5</v>
      </c>
      <c r="AY5" s="55">
        <f>'LUC-2012-08-10-Run3'!CA5</f>
        <v>1.5424723193414205E-5</v>
      </c>
      <c r="AZ5" s="55">
        <f>'LUC-2012-08-10-Run3'!CB5</f>
        <v>1.5612527123797715E-5</v>
      </c>
      <c r="BA5" s="55">
        <f>'LUC-2012-08-10-Run3'!CC5</f>
        <v>1.5804430627085273E-5</v>
      </c>
      <c r="BB5" s="55">
        <f>'LUC-2012-08-10-Run3'!CD5</f>
        <v>1.6000527546420064E-5</v>
      </c>
      <c r="BC5" s="55">
        <f>'LUC-2012-08-10-Run3'!CE5</f>
        <v>1.6200948175775143E-5</v>
      </c>
      <c r="BD5" s="55">
        <f>'LUC-2012-08-10-Run3'!CF5</f>
        <v>1.6405763465364506E-5</v>
      </c>
      <c r="BE5" s="55">
        <f>'LUC-2012-08-10-Run3'!CG5</f>
        <v>1.6615072156938698E-5</v>
      </c>
      <c r="BF5" s="55">
        <f>'LUC-2012-08-10-Run3'!CH5</f>
        <v>1.6829007697501241E-5</v>
      </c>
      <c r="BG5" s="55">
        <f>'LUC-2012-08-10-Run3'!CI5</f>
        <v>1.7047670489944911E-5</v>
      </c>
      <c r="BH5" s="55">
        <f>'LUC-2012-08-10-Run3'!CJ5</f>
        <v>1.7271213764054107E-5</v>
      </c>
      <c r="BI5" s="55">
        <f>'LUC-2012-08-10-Run3'!CK5</f>
        <v>1.7499810138009306E-5</v>
      </c>
      <c r="BJ5" s="55">
        <f>'LUC-2012-08-10-Run3'!CL5</f>
        <v>1.7733635779794166E-5</v>
      </c>
      <c r="BK5" s="55">
        <f>'LUC-2012-08-10-Run3'!CM5</f>
        <v>1.7972898028142205E-5</v>
      </c>
      <c r="BM5" s="107"/>
      <c r="BN5" s="54" t="s">
        <v>98</v>
      </c>
      <c r="BO5" s="86">
        <f t="shared" si="6"/>
        <v>7.0121002027183774</v>
      </c>
      <c r="BP5" s="86">
        <f t="shared" si="0"/>
        <v>9.1142142780924704</v>
      </c>
      <c r="BQ5" s="68">
        <f t="shared" si="1"/>
        <v>11.508780806381498</v>
      </c>
      <c r="BR5" s="68">
        <f t="shared" si="2"/>
        <v>12.642778251082925</v>
      </c>
      <c r="BS5" s="68">
        <f t="shared" si="3"/>
        <v>14.055169790404232</v>
      </c>
      <c r="BT5" s="68">
        <f t="shared" si="4"/>
        <v>15.804430627085273</v>
      </c>
      <c r="BU5" s="68">
        <f t="shared" si="5"/>
        <v>17.972898028142204</v>
      </c>
    </row>
    <row r="6" spans="1:73" x14ac:dyDescent="0.25">
      <c r="A6" s="54" t="s">
        <v>71</v>
      </c>
      <c r="B6" s="54" t="s">
        <v>99</v>
      </c>
      <c r="C6" s="54" t="s">
        <v>92</v>
      </c>
      <c r="D6" s="55">
        <f>'LUC-2012-08-10-Run3'!AF7</f>
        <v>3.6843336955314182E-5</v>
      </c>
      <c r="E6" s="55">
        <f>'LUC-2012-08-10-Run3'!AG7</f>
        <v>3.6790336088918271E-5</v>
      </c>
      <c r="F6" s="55">
        <f>'LUC-2012-08-10-Run3'!AH7</f>
        <v>3.6735360620641035E-5</v>
      </c>
      <c r="G6" s="55">
        <f>'LUC-2012-08-10-Run3'!AI7</f>
        <v>3.667954216924579E-5</v>
      </c>
      <c r="H6" s="55">
        <f>'LUC-2012-08-10-Run3'!AJ7</f>
        <v>3.6623172446285202E-5</v>
      </c>
      <c r="I6" s="55">
        <f>'LUC-2012-08-10-Run3'!AK7</f>
        <v>3.6566333390967918E-5</v>
      </c>
      <c r="J6" s="55">
        <f>'LUC-2012-08-10-Run3'!AL7</f>
        <v>3.6509049093726465E-5</v>
      </c>
      <c r="K6" s="55">
        <f>'LUC-2012-08-10-Run3'!AM7</f>
        <v>3.6451465927738483E-5</v>
      </c>
      <c r="L6" s="55">
        <f>'LUC-2012-08-10-Run3'!AN7</f>
        <v>3.6393772236650164E-5</v>
      </c>
      <c r="M6" s="55">
        <f>'LUC-2012-08-10-Run3'!AO7</f>
        <v>3.6336058437465606E-5</v>
      </c>
      <c r="N6" s="55">
        <f>'LUC-2012-08-10-Run3'!AP7</f>
        <v>3.6278480991528786E-5</v>
      </c>
      <c r="O6" s="55">
        <f>'LUC-2012-08-10-Run3'!AQ7</f>
        <v>3.6221086104825362E-5</v>
      </c>
      <c r="P6" s="55">
        <f>'LUC-2012-08-10-Run3'!AR7</f>
        <v>3.6163908142653389E-5</v>
      </c>
      <c r="Q6" s="55">
        <f>'LUC-2012-08-10-Run3'!AS7</f>
        <v>3.6106967137093158E-5</v>
      </c>
      <c r="R6" s="55">
        <f>'LUC-2012-08-10-Run3'!AT7</f>
        <v>3.6050252332744931E-5</v>
      </c>
      <c r="S6" s="55">
        <f>'LUC-2012-08-10-Run3'!AU7</f>
        <v>3.5993815782955002E-5</v>
      </c>
      <c r="T6" s="55">
        <f>'LUC-2012-08-10-Run3'!AV7</f>
        <v>3.6240761422145941E-5</v>
      </c>
      <c r="U6" s="55">
        <f>'LUC-2012-08-10-Run3'!AW7</f>
        <v>3.6488319224976524E-5</v>
      </c>
      <c r="V6" s="55">
        <f>'LUC-2012-08-10-Run3'!AX7</f>
        <v>3.6736401572061515E-5</v>
      </c>
      <c r="W6" s="55">
        <f>'LUC-2012-08-10-Run3'!AY7</f>
        <v>3.6984942058821465E-5</v>
      </c>
      <c r="X6" s="55">
        <f>'LUC-2012-08-10-Run3'!AZ7</f>
        <v>3.7233916194726742E-5</v>
      </c>
      <c r="Y6" s="55">
        <f>'LUC-2012-08-10-Run3'!BA7</f>
        <v>3.7483340931640341E-5</v>
      </c>
      <c r="Z6" s="55">
        <f>'LUC-2012-08-10-Run3'!BB7</f>
        <v>3.7733264583550239E-5</v>
      </c>
      <c r="AA6" s="55">
        <f>'LUC-2012-08-10-Run3'!BC7</f>
        <v>3.7983771721610727E-5</v>
      </c>
      <c r="AB6" s="55">
        <f>'LUC-2012-08-10-Run3'!BD7</f>
        <v>3.8234915476011561E-5</v>
      </c>
      <c r="AC6" s="55">
        <f>'LUC-2012-08-10-Run3'!BE7</f>
        <v>3.8486709306004642E-5</v>
      </c>
      <c r="AD6" s="55">
        <f>'LUC-2012-08-10-Run3'!BF7</f>
        <v>3.8739112982091046E-5</v>
      </c>
      <c r="AE6" s="55">
        <f>'LUC-2012-08-10-Run3'!BG7</f>
        <v>3.8992095716647596E-5</v>
      </c>
      <c r="AF6" s="55">
        <f>'LUC-2012-08-10-Run3'!BH7</f>
        <v>3.924562373175183E-5</v>
      </c>
      <c r="AG6" s="55">
        <f>'LUC-2012-08-10-Run3'!BI7</f>
        <v>3.9499678545098855E-5</v>
      </c>
      <c r="AH6" s="55">
        <f>'LUC-2012-08-10-Run3'!BJ7</f>
        <v>3.9754240321908044E-5</v>
      </c>
      <c r="AI6" s="55">
        <f>'LUC-2012-08-10-Run3'!BK7</f>
        <v>4.000932417248637E-5</v>
      </c>
      <c r="AJ6" s="55">
        <f>'LUC-2012-08-10-Run3'!BL7</f>
        <v>4.026490274229546E-5</v>
      </c>
      <c r="AK6" s="55">
        <f>'LUC-2012-08-10-Run3'!BM7</f>
        <v>4.0520979757742613E-5</v>
      </c>
      <c r="AL6" s="55">
        <f>'LUC-2012-08-10-Run3'!BN7</f>
        <v>4.077753345059938E-5</v>
      </c>
      <c r="AM6" s="55">
        <f>'LUC-2012-08-10-Run3'!BO7</f>
        <v>4.103455970645964E-5</v>
      </c>
      <c r="AN6" s="55">
        <f>'LUC-2012-08-10-Run3'!BP7</f>
        <v>4.1292070796830004E-5</v>
      </c>
      <c r="AO6" s="55">
        <f>'LUC-2012-08-10-Run3'!BQ7</f>
        <v>4.1550084585070373E-5</v>
      </c>
      <c r="AP6" s="55">
        <f>'LUC-2012-08-10-Run3'!BR7</f>
        <v>4.1808652143139597E-5</v>
      </c>
      <c r="AQ6" s="55">
        <f>'LUC-2012-08-10-Run3'!BS7</f>
        <v>4.2067777718082665E-5</v>
      </c>
      <c r="AR6" s="55">
        <f>'LUC-2012-08-10-Run3'!BT7</f>
        <v>4.205732655042336E-5</v>
      </c>
      <c r="AS6" s="55">
        <f>'LUC-2012-08-10-Run3'!BU7</f>
        <v>4.20475698536695E-5</v>
      </c>
      <c r="AT6" s="55">
        <f>'LUC-2012-08-10-Run3'!BV7</f>
        <v>4.2038515839406725E-5</v>
      </c>
      <c r="AU6" s="55">
        <f>'LUC-2012-08-10-Run3'!BW7</f>
        <v>4.2030165165065959E-5</v>
      </c>
      <c r="AV6" s="55">
        <f>'LUC-2012-08-10-Run3'!BX7</f>
        <v>4.2022517883421977E-5</v>
      </c>
      <c r="AW6" s="55">
        <f>'LUC-2012-08-10-Run3'!BY7</f>
        <v>4.2015578646874784E-5</v>
      </c>
      <c r="AX6" s="55">
        <f>'LUC-2012-08-10-Run3'!BZ7</f>
        <v>4.2009349904398449E-5</v>
      </c>
      <c r="AY6" s="55">
        <f>'LUC-2012-08-10-Run3'!CA7</f>
        <v>4.2003839410619271E-5</v>
      </c>
      <c r="AZ6" s="55">
        <f>'LUC-2012-08-10-Run3'!CB7</f>
        <v>4.1999035700128213E-5</v>
      </c>
      <c r="BA6" s="55">
        <f>'LUC-2012-08-10-Run3'!CC7</f>
        <v>4.1994954482370675E-5</v>
      </c>
      <c r="BB6" s="55">
        <f>'LUC-2012-08-10-Run3'!CD7</f>
        <v>4.1991583571040976E-5</v>
      </c>
      <c r="BC6" s="55">
        <f>'LUC-2012-08-10-Run3'!CE7</f>
        <v>4.198892315455593E-5</v>
      </c>
      <c r="BD6" s="55">
        <f>'LUC-2012-08-10-Run3'!CF7</f>
        <v>4.1986974316149639E-5</v>
      </c>
      <c r="BE6" s="55">
        <f>'LUC-2012-08-10-Run3'!CG7</f>
        <v>4.1985724723765034E-5</v>
      </c>
      <c r="BF6" s="55">
        <f>'LUC-2012-08-10-Run3'!CH7</f>
        <v>4.1985181176711097E-5</v>
      </c>
      <c r="BG6" s="55">
        <f>'LUC-2012-08-10-Run3'!CI7</f>
        <v>4.1985334042555348E-5</v>
      </c>
      <c r="BH6" s="55">
        <f>'LUC-2012-08-10-Run3'!CJ7</f>
        <v>4.1986179969974803E-5</v>
      </c>
      <c r="BI6" s="55">
        <f>'LUC-2012-08-10-Run3'!CK7</f>
        <v>4.1987715798084247E-5</v>
      </c>
      <c r="BJ6" s="55">
        <f>'LUC-2012-08-10-Run3'!CL7</f>
        <v>4.1989957362986156E-5</v>
      </c>
      <c r="BK6" s="55">
        <f>'LUC-2012-08-10-Run3'!CM7</f>
        <v>4.1992888143846221E-5</v>
      </c>
      <c r="BM6" s="107"/>
      <c r="BN6" s="54" t="s">
        <v>99</v>
      </c>
      <c r="BO6" s="68">
        <f t="shared" si="6"/>
        <v>36.843336955314179</v>
      </c>
      <c r="BP6" s="68">
        <f t="shared" si="0"/>
        <v>36.33605843746561</v>
      </c>
      <c r="BQ6" s="68">
        <f t="shared" si="1"/>
        <v>36.984942058821467</v>
      </c>
      <c r="BR6" s="68">
        <f t="shared" si="2"/>
        <v>39.499678545098853</v>
      </c>
      <c r="BS6" s="68">
        <f t="shared" si="3"/>
        <v>42.067777718082667</v>
      </c>
      <c r="BT6" s="68">
        <f t="shared" si="4"/>
        <v>41.994954482370673</v>
      </c>
      <c r="BU6" s="68">
        <f t="shared" si="5"/>
        <v>41.992888143846223</v>
      </c>
    </row>
    <row r="7" spans="1:73" x14ac:dyDescent="0.25">
      <c r="A7" s="54" t="s">
        <v>71</v>
      </c>
      <c r="B7" s="54" t="s">
        <v>100</v>
      </c>
      <c r="C7" s="54" t="s">
        <v>92</v>
      </c>
      <c r="D7" s="55">
        <f>'LUC-2012-08-10-Run3'!AF8</f>
        <v>5.2769166477933858E-5</v>
      </c>
      <c r="E7" s="55">
        <f>'LUC-2012-08-10-Run3'!AG8</f>
        <v>5.2693255559611984E-5</v>
      </c>
      <c r="F7" s="55">
        <f>'LUC-2012-08-10-Run3'!AH8</f>
        <v>5.2614516501821335E-5</v>
      </c>
      <c r="G7" s="55">
        <f>'LUC-2012-08-10-Run3'!AI8</f>
        <v>5.25345700746617E-5</v>
      </c>
      <c r="H7" s="55">
        <f>'LUC-2012-08-10-Run3'!AJ8</f>
        <v>5.2453834084356881E-5</v>
      </c>
      <c r="I7" s="55">
        <f>'LUC-2012-08-10-Run3'!AK8</f>
        <v>5.2372425888999203E-5</v>
      </c>
      <c r="J7" s="55">
        <f>'LUC-2012-08-10-Run3'!AL8</f>
        <v>5.2290379992305006E-5</v>
      </c>
      <c r="K7" s="55">
        <f>'LUC-2012-08-10-Run3'!AM8</f>
        <v>5.2207906038438337E-5</v>
      </c>
      <c r="L7" s="55">
        <f>'LUC-2012-08-10-Run3'!AN8</f>
        <v>5.2125273784105413E-5</v>
      </c>
      <c r="M7" s="55">
        <f>'LUC-2012-08-10-Run3'!AO8</f>
        <v>5.204261272978946E-5</v>
      </c>
      <c r="N7" s="55">
        <f>'LUC-2012-08-10-Run3'!AP8</f>
        <v>5.1960146968512207E-5</v>
      </c>
      <c r="O7" s="55">
        <f>'LUC-2012-08-10-Run3'!AQ8</f>
        <v>5.187794267916924E-5</v>
      </c>
      <c r="P7" s="55">
        <f>'LUC-2012-08-10-Run3'!AR8</f>
        <v>5.1796049081735804E-5</v>
      </c>
      <c r="Q7" s="55">
        <f>'LUC-2012-08-10-Run3'!AS8</f>
        <v>5.1714494867320529E-5</v>
      </c>
      <c r="R7" s="55">
        <f>'LUC-2012-08-10-Run3'!AT8</f>
        <v>5.1633264631415317E-5</v>
      </c>
      <c r="S7" s="55">
        <f>'LUC-2012-08-10-Run3'!AU8</f>
        <v>5.1552432927845249E-5</v>
      </c>
      <c r="T7" s="55">
        <f>'LUC-2012-08-10-Run3'!AV8</f>
        <v>5.1426673049312509E-5</v>
      </c>
      <c r="U7" s="55">
        <f>'LUC-2012-08-10-Run3'!AW8</f>
        <v>5.1301940254642099E-5</v>
      </c>
      <c r="V7" s="55">
        <f>'LUC-2012-08-10-Run3'!AX8</f>
        <v>5.1178110902497184E-5</v>
      </c>
      <c r="W7" s="55">
        <f>'LUC-2012-08-10-Run3'!AY8</f>
        <v>5.105509507926116E-5</v>
      </c>
      <c r="X7" s="55">
        <f>'LUC-2012-08-10-Run3'!AZ8</f>
        <v>5.0932863792962064E-5</v>
      </c>
      <c r="Y7" s="55">
        <f>'LUC-2012-08-10-Run3'!BA8</f>
        <v>5.0811445390446209E-5</v>
      </c>
      <c r="Z7" s="55">
        <f>'LUC-2012-08-10-Run3'!BB8</f>
        <v>5.0690909576079458E-5</v>
      </c>
      <c r="AA7" s="55">
        <f>'LUC-2012-08-10-Run3'!BC8</f>
        <v>5.0571372672563091E-5</v>
      </c>
      <c r="AB7" s="55">
        <f>'LUC-2012-08-10-Run3'!BD8</f>
        <v>5.0452904928954989E-5</v>
      </c>
      <c r="AC7" s="55">
        <f>'LUC-2012-08-10-Run3'!BE8</f>
        <v>5.0335521782884781E-5</v>
      </c>
      <c r="AD7" s="55">
        <f>'LUC-2012-08-10-Run3'!BF8</f>
        <v>5.0219168035245482E-5</v>
      </c>
      <c r="AE7" s="55">
        <f>'LUC-2012-08-10-Run3'!BG8</f>
        <v>5.0103801412425793E-5</v>
      </c>
      <c r="AF7" s="55">
        <f>'LUC-2012-08-10-Run3'!BH8</f>
        <v>4.9989377866887931E-5</v>
      </c>
      <c r="AG7" s="55">
        <f>'LUC-2012-08-10-Run3'!BI8</f>
        <v>4.9875873697931907E-5</v>
      </c>
      <c r="AH7" s="55">
        <f>'LUC-2012-08-10-Run3'!BJ8</f>
        <v>4.9763264739644714E-5</v>
      </c>
      <c r="AI7" s="55">
        <f>'LUC-2012-08-10-Run3'!BK8</f>
        <v>4.9651571402519582E-5</v>
      </c>
      <c r="AJ7" s="55">
        <f>'LUC-2012-08-10-Run3'!BL8</f>
        <v>4.9540760809332245E-5</v>
      </c>
      <c r="AK7" s="55">
        <f>'LUC-2012-08-10-Run3'!BM8</f>
        <v>4.9430839326372468E-5</v>
      </c>
      <c r="AL7" s="55">
        <f>'LUC-2012-08-10-Run3'!BN8</f>
        <v>4.9321782578794245E-5</v>
      </c>
      <c r="AM7" s="55">
        <f>'LUC-2012-08-10-Run3'!BO8</f>
        <v>4.921358818595785E-5</v>
      </c>
      <c r="AN7" s="55">
        <f>'LUC-2012-08-10-Run3'!BP8</f>
        <v>4.9106274165759208E-5</v>
      </c>
      <c r="AO7" s="55">
        <f>'LUC-2012-08-10-Run3'!BQ8</f>
        <v>4.8999864266282466E-5</v>
      </c>
      <c r="AP7" s="55">
        <f>'LUC-2012-08-10-Run3'!BR8</f>
        <v>4.8894420639971825E-5</v>
      </c>
      <c r="AQ7" s="55">
        <f>'LUC-2012-08-10-Run3'!BS8</f>
        <v>4.878994838437421E-5</v>
      </c>
      <c r="AR7" s="55">
        <f>'LUC-2012-08-10-Run3'!BT8</f>
        <v>4.8777827184769348E-5</v>
      </c>
      <c r="AS7" s="55">
        <f>'LUC-2012-08-10-Run3'!BU8</f>
        <v>4.8766511428224931E-5</v>
      </c>
      <c r="AT7" s="55">
        <f>'LUC-2012-08-10-Run3'!BV8</f>
        <v>4.8756010638487174E-5</v>
      </c>
      <c r="AU7" s="55">
        <f>'LUC-2012-08-10-Run3'!BW8</f>
        <v>4.8746325578040402E-5</v>
      </c>
      <c r="AV7" s="55">
        <f>'LUC-2012-08-10-Run3'!BX8</f>
        <v>4.8737456308092499E-5</v>
      </c>
      <c r="AW7" s="55">
        <f>'LUC-2012-08-10-Run3'!BY8</f>
        <v>4.872940822446818E-5</v>
      </c>
      <c r="AX7" s="55">
        <f>'LUC-2012-08-10-Run3'!BZ8</f>
        <v>4.8722184167472422E-5</v>
      </c>
      <c r="AY7" s="55">
        <f>'LUC-2012-08-10-Run3'!CA8</f>
        <v>4.8715793130872858E-5</v>
      </c>
      <c r="AZ7" s="55">
        <f>'LUC-2012-08-10-Run3'!CB8</f>
        <v>4.8710221817159014E-5</v>
      </c>
      <c r="BA7" s="55">
        <f>'LUC-2012-08-10-Run3'!CC8</f>
        <v>4.8705488446048469E-5</v>
      </c>
      <c r="BB7" s="55">
        <f>'LUC-2012-08-10-Run3'!CD8</f>
        <v>4.8701578883939272E-5</v>
      </c>
      <c r="BC7" s="55">
        <f>'LUC-2012-08-10-Run3'!CE8</f>
        <v>4.8698493349356099E-5</v>
      </c>
      <c r="BD7" s="55">
        <f>'LUC-2012-08-10-Run3'!CF8</f>
        <v>4.8696233098627154E-5</v>
      </c>
      <c r="BE7" s="55">
        <f>'LUC-2012-08-10-Run3'!CG8</f>
        <v>4.8694783829108917E-5</v>
      </c>
      <c r="BF7" s="55">
        <f>'LUC-2012-08-10-Run3'!CH8</f>
        <v>4.8694153426597895E-5</v>
      </c>
      <c r="BG7" s="55">
        <f>'LUC-2012-08-10-Run3'!CI8</f>
        <v>4.8694330719458511E-5</v>
      </c>
      <c r="BH7" s="55">
        <f>'LUC-2012-08-10-Run3'!CJ8</f>
        <v>4.8695311820847057E-5</v>
      </c>
      <c r="BI7" s="55">
        <f>'LUC-2012-08-10-Run3'!CK8</f>
        <v>4.8697093064788418E-5</v>
      </c>
      <c r="BJ7" s="55">
        <f>'LUC-2012-08-10-Run3'!CL8</f>
        <v>4.8699692817896317E-5</v>
      </c>
      <c r="BK7" s="55">
        <f>'LUC-2012-08-10-Run3'!CM8</f>
        <v>4.870309191940927E-5</v>
      </c>
      <c r="BM7" s="107"/>
      <c r="BN7" s="57" t="s">
        <v>100</v>
      </c>
      <c r="BO7" s="65">
        <f t="shared" si="6"/>
        <v>52.769166477933858</v>
      </c>
      <c r="BP7" s="65">
        <f t="shared" si="0"/>
        <v>52.042612729789461</v>
      </c>
      <c r="BQ7" s="65">
        <f t="shared" si="1"/>
        <v>51.055095079261157</v>
      </c>
      <c r="BR7" s="65">
        <f t="shared" si="2"/>
        <v>49.875873697931908</v>
      </c>
      <c r="BS7" s="65">
        <f t="shared" si="3"/>
        <v>48.789948384374213</v>
      </c>
      <c r="BT7" s="65">
        <f t="shared" si="4"/>
        <v>48.70548844604847</v>
      </c>
      <c r="BU7" s="65">
        <f t="shared" si="5"/>
        <v>48.703091919409268</v>
      </c>
    </row>
    <row r="8" spans="1:73" x14ac:dyDescent="0.25">
      <c r="A8" s="54" t="s">
        <v>71</v>
      </c>
      <c r="B8" s="54" t="s">
        <v>101</v>
      </c>
      <c r="C8" s="54" t="s">
        <v>92</v>
      </c>
      <c r="D8" s="55">
        <f>'LUC-2012-08-10-Run3'!AF9</f>
        <v>3.755643379961059E-5</v>
      </c>
      <c r="E8" s="55">
        <f>'LUC-2012-08-10-Run3'!AG9</f>
        <v>3.7502407109994121E-5</v>
      </c>
      <c r="F8" s="55">
        <f>'LUC-2012-08-10-Run3'!AH9</f>
        <v>3.7446367600395375E-5</v>
      </c>
      <c r="G8" s="55">
        <f>'LUC-2012-08-10-Run3'!AI9</f>
        <v>3.7389468791876361E-5</v>
      </c>
      <c r="H8" s="55">
        <f>'LUC-2012-08-10-Run3'!AJ9</f>
        <v>3.7332008042019762E-5</v>
      </c>
      <c r="I8" s="55">
        <f>'LUC-2012-08-10-Run3'!AK9</f>
        <v>3.7274068875954395E-5</v>
      </c>
      <c r="J8" s="55">
        <f>'LUC-2012-08-10-Run3'!AL9</f>
        <v>3.7215675850379237E-5</v>
      </c>
      <c r="K8" s="55">
        <f>'LUC-2012-08-10-Run3'!AM9</f>
        <v>3.7156978171501163E-5</v>
      </c>
      <c r="L8" s="55">
        <f>'LUC-2012-08-10-Run3'!AN9</f>
        <v>3.7098167828327268E-5</v>
      </c>
      <c r="M8" s="55">
        <f>'LUC-2012-08-10-Run3'!AO9</f>
        <v>3.7039336987868168E-5</v>
      </c>
      <c r="N8" s="55">
        <f>'LUC-2012-08-10-Run3'!AP9</f>
        <v>3.6980645139751931E-5</v>
      </c>
      <c r="O8" s="55">
        <f>'LUC-2012-08-10-Run3'!AQ9</f>
        <v>3.692213938427361E-5</v>
      </c>
      <c r="P8" s="55">
        <f>'LUC-2012-08-10-Run3'!AR9</f>
        <v>3.6863854751866036E-5</v>
      </c>
      <c r="Q8" s="55">
        <f>'LUC-2012-08-10-Run3'!AS9</f>
        <v>3.6805811662327231E-5</v>
      </c>
      <c r="R8" s="55">
        <f>'LUC-2012-08-10-Run3'!AT9</f>
        <v>3.6747999152088383E-5</v>
      </c>
      <c r="S8" s="55">
        <f>'LUC-2012-08-10-Run3'!AU9</f>
        <v>3.6690470281979947E-5</v>
      </c>
      <c r="T8" s="55">
        <f>'LUC-2012-08-10-Run3'!AV9</f>
        <v>3.6554387193524668E-5</v>
      </c>
      <c r="U8" s="55">
        <f>'LUC-2012-08-10-Run3'!AW9</f>
        <v>3.6419049694988411E-5</v>
      </c>
      <c r="V8" s="55">
        <f>'LUC-2012-08-10-Run3'!AX9</f>
        <v>3.6284369969327323E-5</v>
      </c>
      <c r="W8" s="55">
        <f>'LUC-2012-08-10-Run3'!AY9</f>
        <v>3.6150284528647284E-5</v>
      </c>
      <c r="X8" s="55">
        <f>'LUC-2012-08-10-Run3'!AZ9</f>
        <v>3.6016773330156356E-5</v>
      </c>
      <c r="Y8" s="55">
        <f>'LUC-2012-08-10-Run3'!BA9</f>
        <v>3.5883856943783344E-5</v>
      </c>
      <c r="Z8" s="55">
        <f>'LUC-2012-08-10-Run3'!BB9</f>
        <v>3.5751585028125387E-5</v>
      </c>
      <c r="AA8" s="55">
        <f>'LUC-2012-08-10-Run3'!BC9</f>
        <v>3.5620039904606293E-5</v>
      </c>
      <c r="AB8" s="55">
        <f>'LUC-2012-08-10-Run3'!BD9</f>
        <v>3.5489271002261883E-5</v>
      </c>
      <c r="AC8" s="55">
        <f>'LUC-2012-08-10-Run3'!BE9</f>
        <v>3.5359288935229114E-5</v>
      </c>
      <c r="AD8" s="55">
        <f>'LUC-2012-08-10-Run3'!BF9</f>
        <v>3.5230054652750892E-5</v>
      </c>
      <c r="AE8" s="55">
        <f>'LUC-2012-08-10-Run3'!BG9</f>
        <v>3.510153824522978E-5</v>
      </c>
      <c r="AF8" s="55">
        <f>'LUC-2012-08-10-Run3'!BH9</f>
        <v>3.497370878428771E-5</v>
      </c>
      <c r="AG8" s="55">
        <f>'LUC-2012-08-10-Run3'!BI9</f>
        <v>3.4846549671034063E-5</v>
      </c>
      <c r="AH8" s="55">
        <f>'LUC-2012-08-10-Run3'!BJ9</f>
        <v>3.4720044118473136E-5</v>
      </c>
      <c r="AI8" s="55">
        <f>'LUC-2012-08-10-Run3'!BK9</f>
        <v>3.4594206533365417E-5</v>
      </c>
      <c r="AJ8" s="55">
        <f>'LUC-2012-08-10-Run3'!BL9</f>
        <v>3.4469014128796276E-5</v>
      </c>
      <c r="AK8" s="55">
        <f>'LUC-2012-08-10-Run3'!BM9</f>
        <v>3.434447153570656E-5</v>
      </c>
      <c r="AL8" s="55">
        <f>'LUC-2012-08-10-Run3'!BN9</f>
        <v>3.4220562067128782E-5</v>
      </c>
      <c r="AM8" s="55">
        <f>'LUC-2012-08-10-Run3'!BO9</f>
        <v>3.4097284369947345E-5</v>
      </c>
      <c r="AN8" s="55">
        <f>'LUC-2012-08-10-Run3'!BP9</f>
        <v>3.3974651310643246E-5</v>
      </c>
      <c r="AO8" s="55">
        <f>'LUC-2012-08-10-Run3'!BQ9</f>
        <v>3.3852679612556282E-5</v>
      </c>
      <c r="AP8" s="55">
        <f>'LUC-2012-08-10-Run3'!BR9</f>
        <v>3.3731412442074227E-5</v>
      </c>
      <c r="AQ8" s="55">
        <f>'LUC-2012-08-10-Run3'!BS9</f>
        <v>3.3610853331457794E-5</v>
      </c>
      <c r="AR8" s="55">
        <f>'LUC-2012-08-10-Run3'!BT9</f>
        <v>3.3602503171729998E-5</v>
      </c>
      <c r="AS8" s="55">
        <f>'LUC-2012-08-10-Run3'!BU9</f>
        <v>3.359470787277717E-5</v>
      </c>
      <c r="AT8" s="55">
        <f>'LUC-2012-08-10-Run3'!BV9</f>
        <v>3.3587473995402277E-5</v>
      </c>
      <c r="AU8" s="55">
        <f>'LUC-2012-08-10-Run3'!BW9</f>
        <v>3.3580802064872276E-5</v>
      </c>
      <c r="AV8" s="55">
        <f>'LUC-2012-08-10-Run3'!BX9</f>
        <v>3.3574692123352602E-5</v>
      </c>
      <c r="AW8" s="55">
        <f>'LUC-2012-08-10-Run3'!BY9</f>
        <v>3.3569147887966958E-5</v>
      </c>
      <c r="AX8" s="55">
        <f>'LUC-2012-08-10-Run3'!BZ9</f>
        <v>3.3564171315369903E-5</v>
      </c>
      <c r="AY8" s="55">
        <f>'LUC-2012-08-10-Run3'!CA9</f>
        <v>3.3559768601267973E-5</v>
      </c>
      <c r="AZ8" s="55">
        <f>'LUC-2012-08-10-Run3'!CB9</f>
        <v>3.3555930585153986E-5</v>
      </c>
      <c r="BA8" s="55">
        <f>'LUC-2012-08-10-Run3'!CC9</f>
        <v>3.3552669818388946E-5</v>
      </c>
      <c r="BB8" s="55">
        <f>'LUC-2012-08-10-Run3'!CD9</f>
        <v>3.3549976564491491E-5</v>
      </c>
      <c r="BC8" s="55">
        <f>'LUC-2012-08-10-Run3'!CE9</f>
        <v>3.3547850974000863E-5</v>
      </c>
      <c r="BD8" s="55">
        <f>'LUC-2012-08-10-Run3'!CF9</f>
        <v>3.3546293912387592E-5</v>
      </c>
      <c r="BE8" s="55">
        <f>'LUC-2012-08-10-Run3'!CG9</f>
        <v>3.3545295526719481E-5</v>
      </c>
      <c r="BF8" s="55">
        <f>'LUC-2012-08-10-Run3'!CH9</f>
        <v>3.3544861249434111E-5</v>
      </c>
      <c r="BG8" s="55">
        <f>'LUC-2012-08-10-Run3'!CI9</f>
        <v>3.354498338451587E-5</v>
      </c>
      <c r="BH8" s="55">
        <f>'LUC-2012-08-10-Run3'!CJ9</f>
        <v>3.3545659254361305E-5</v>
      </c>
      <c r="BI8" s="55">
        <f>'LUC-2012-08-10-Run3'!CK9</f>
        <v>3.3546886333520914E-5</v>
      </c>
      <c r="BJ8" s="55">
        <f>'LUC-2012-08-10-Run3'!CL9</f>
        <v>3.3548677274550791E-5</v>
      </c>
      <c r="BK8" s="55">
        <f>'LUC-2012-08-10-Run3'!CM9</f>
        <v>3.3551018877815263E-5</v>
      </c>
      <c r="BM8" s="107"/>
      <c r="BN8" s="57" t="s">
        <v>101</v>
      </c>
      <c r="BO8" s="65">
        <f t="shared" si="6"/>
        <v>37.556433799610588</v>
      </c>
      <c r="BP8" s="65">
        <f t="shared" si="0"/>
        <v>37.039336987868168</v>
      </c>
      <c r="BQ8" s="65">
        <f t="shared" si="1"/>
        <v>36.150284528647283</v>
      </c>
      <c r="BR8" s="65">
        <f t="shared" si="2"/>
        <v>34.846549671034062</v>
      </c>
      <c r="BS8" s="65">
        <f t="shared" si="3"/>
        <v>33.610853331457797</v>
      </c>
      <c r="BT8" s="65">
        <f t="shared" si="4"/>
        <v>33.552669818388949</v>
      </c>
      <c r="BU8" s="65">
        <f t="shared" si="5"/>
        <v>33.551018877815267</v>
      </c>
    </row>
    <row r="9" spans="1:73" x14ac:dyDescent="0.25">
      <c r="A9" s="54" t="s">
        <v>71</v>
      </c>
      <c r="B9" s="54" t="s">
        <v>111</v>
      </c>
      <c r="C9" s="54" t="s">
        <v>92</v>
      </c>
      <c r="D9" s="55">
        <f>'LUC-2012-08-10-Run3'!AF10</f>
        <v>3.2802454837634565E-5</v>
      </c>
      <c r="E9" s="55">
        <f>'LUC-2012-08-10-Run3'!AG10</f>
        <v>3.2755266969488529E-5</v>
      </c>
      <c r="F9" s="55">
        <f>'LUC-2012-08-10-Run3'!AH10</f>
        <v>3.2706321068699752E-5</v>
      </c>
      <c r="G9" s="55">
        <f>'LUC-2012-08-10-Run3'!AI10</f>
        <v>3.2656624641005933E-5</v>
      </c>
      <c r="H9" s="55">
        <f>'LUC-2012-08-10-Run3'!AJ10</f>
        <v>3.260643740378941E-5</v>
      </c>
      <c r="I9" s="55">
        <f>'LUC-2012-08-10-Run3'!AK10</f>
        <v>3.2555832309377881E-5</v>
      </c>
      <c r="J9" s="55">
        <f>'LUC-2012-08-10-Run3'!AL10</f>
        <v>3.2504830806027448E-5</v>
      </c>
      <c r="K9" s="55">
        <f>'LUC-2012-08-10-Run3'!AM10</f>
        <v>3.2453563213083297E-5</v>
      </c>
      <c r="L9" s="55">
        <f>'LUC-2012-08-10-Run3'!AN10</f>
        <v>3.2402197217146604E-5</v>
      </c>
      <c r="M9" s="55">
        <f>'LUC-2012-08-10-Run3'!AO10</f>
        <v>3.2350813318517766E-5</v>
      </c>
      <c r="N9" s="55">
        <f>'LUC-2012-08-10-Run3'!AP10</f>
        <v>3.2299550818264349E-5</v>
      </c>
      <c r="O9" s="55">
        <f>'LUC-2012-08-10-Run3'!AQ10</f>
        <v>3.2248450854618708E-5</v>
      </c>
      <c r="P9" s="55">
        <f>'LUC-2012-08-10-Run3'!AR10</f>
        <v>3.2197544023781722E-5</v>
      </c>
      <c r="Q9" s="55">
        <f>'LUC-2012-08-10-Run3'!AS10</f>
        <v>3.2146848160766819E-5</v>
      </c>
      <c r="R9" s="55">
        <f>'LUC-2012-08-10-Run3'!AT10</f>
        <v>3.2096353689798707E-5</v>
      </c>
      <c r="S9" s="55">
        <f>'LUC-2012-08-10-Run3'!AU10</f>
        <v>3.2046106955147048E-5</v>
      </c>
      <c r="T9" s="55">
        <f>'LUC-2012-08-10-Run3'!AV10</f>
        <v>3.2141497387667968E-5</v>
      </c>
      <c r="U9" s="55">
        <f>'LUC-2012-08-10-Run3'!AW10</f>
        <v>3.2237471864924206E-5</v>
      </c>
      <c r="V9" s="55">
        <f>'LUC-2012-08-10-Run3'!AX10</f>
        <v>3.2333952858260567E-5</v>
      </c>
      <c r="W9" s="55">
        <f>'LUC-2012-08-10-Run3'!AY10</f>
        <v>3.2430882594832423E-5</v>
      </c>
      <c r="X9" s="55">
        <f>'LUC-2012-08-10-Run3'!AZ10</f>
        <v>3.252824084985104E-5</v>
      </c>
      <c r="Y9" s="55">
        <f>'LUC-2012-08-10-Run3'!BA10</f>
        <v>3.2626043771889077E-5</v>
      </c>
      <c r="Z9" s="55">
        <f>'LUC-2012-08-10-Run3'!BB10</f>
        <v>3.2724334507413949E-5</v>
      </c>
      <c r="AA9" s="55">
        <f>'LUC-2012-08-10-Run3'!BC10</f>
        <v>3.2823187104594656E-5</v>
      </c>
      <c r="AB9" s="55">
        <f>'LUC-2012-08-10-Run3'!BD10</f>
        <v>3.2922647348466289E-5</v>
      </c>
      <c r="AC9" s="55">
        <f>'LUC-2012-08-10-Run3'!BE10</f>
        <v>3.3022726225326942E-5</v>
      </c>
      <c r="AD9" s="55">
        <f>'LUC-2012-08-10-Run3'!BF10</f>
        <v>3.3123388546184533E-5</v>
      </c>
      <c r="AE9" s="55">
        <f>'LUC-2012-08-10-Run3'!BG10</f>
        <v>3.322460737319037E-5</v>
      </c>
      <c r="AF9" s="55">
        <f>'LUC-2012-08-10-Run3'!BH10</f>
        <v>3.3326353757518896E-5</v>
      </c>
      <c r="AG9" s="55">
        <f>'LUC-2012-08-10-Run3'!BI10</f>
        <v>3.3428611963271228E-5</v>
      </c>
      <c r="AH9" s="55">
        <f>'LUC-2012-08-10-Run3'!BJ10</f>
        <v>3.3531365432526505E-5</v>
      </c>
      <c r="AI9" s="55">
        <f>'LUC-2012-08-10-Run3'!BK10</f>
        <v>3.3634627298655102E-5</v>
      </c>
      <c r="AJ9" s="55">
        <f>'LUC-2012-08-10-Run3'!BL10</f>
        <v>3.3738374843246775E-5</v>
      </c>
      <c r="AK9" s="55">
        <f>'LUC-2012-08-10-Run3'!BM10</f>
        <v>3.3842611651175989E-5</v>
      </c>
      <c r="AL9" s="55">
        <f>'LUC-2012-08-10-Run3'!BN10</f>
        <v>3.3947320107804405E-5</v>
      </c>
      <c r="AM9" s="55">
        <f>'LUC-2012-08-10-Run3'!BO10</f>
        <v>3.4052497461805553E-5</v>
      </c>
      <c r="AN9" s="55">
        <f>'LUC-2012-08-10-Run3'!BP10</f>
        <v>3.4158154753509541E-5</v>
      </c>
      <c r="AO9" s="55">
        <f>'LUC-2012-08-10-Run3'!BQ10</f>
        <v>3.4264307410199167E-5</v>
      </c>
      <c r="AP9" s="55">
        <f>'LUC-2012-08-10-Run3'!BR10</f>
        <v>3.4370998047757487E-5</v>
      </c>
      <c r="AQ9" s="55">
        <f>'LUC-2012-08-10-Run3'!BS10</f>
        <v>3.4478230191624447E-5</v>
      </c>
      <c r="AR9" s="55">
        <f>'LUC-2012-08-10-Run3'!BT10</f>
        <v>3.4469664543903668E-5</v>
      </c>
      <c r="AS9" s="55">
        <f>'LUC-2012-08-10-Run3'!BU10</f>
        <v>3.4461668075945619E-5</v>
      </c>
      <c r="AT9" s="55">
        <f>'LUC-2012-08-10-Run3'!BV10</f>
        <v>3.4454247517864263E-5</v>
      </c>
      <c r="AU9" s="55">
        <f>'LUC-2012-08-10-Run3'!BW10</f>
        <v>3.4447403408481883E-5</v>
      </c>
      <c r="AV9" s="55">
        <f>'LUC-2012-08-10-Run3'!BX10</f>
        <v>3.4441135791052025E-5</v>
      </c>
      <c r="AW9" s="55">
        <f>'LUC-2012-08-10-Run3'!BY10</f>
        <v>3.4435448478624177E-5</v>
      </c>
      <c r="AX9" s="55">
        <f>'LUC-2012-08-10-Run3'!BZ10</f>
        <v>3.4430343478347179E-5</v>
      </c>
      <c r="AY9" s="55">
        <f>'LUC-2012-08-10-Run3'!CA10</f>
        <v>3.4425827145816816E-5</v>
      </c>
      <c r="AZ9" s="55">
        <f>'LUC-2012-08-10-Run3'!CB10</f>
        <v>3.4421890084125702E-5</v>
      </c>
      <c r="BA9" s="55">
        <f>'LUC-2012-08-10-Run3'!CC10</f>
        <v>3.4418545168540914E-5</v>
      </c>
      <c r="BB9" s="55">
        <f>'LUC-2012-08-10-Run3'!CD10</f>
        <v>3.4415782411317079E-5</v>
      </c>
      <c r="BC9" s="55">
        <f>'LUC-2012-08-10-Run3'!CE10</f>
        <v>3.4413601966878305E-5</v>
      </c>
      <c r="BD9" s="55">
        <f>'LUC-2012-08-10-Run3'!CF10</f>
        <v>3.4412004723029851E-5</v>
      </c>
      <c r="BE9" s="55">
        <f>'LUC-2012-08-10-Run3'!CG10</f>
        <v>3.4410980572570303E-5</v>
      </c>
      <c r="BF9" s="55">
        <f>'LUC-2012-08-10-Run3'!CH10</f>
        <v>3.4410535088129198E-5</v>
      </c>
      <c r="BG9" s="55">
        <f>'LUC-2012-08-10-Run3'!CI10</f>
        <v>3.4410660375084007E-5</v>
      </c>
      <c r="BH9" s="55">
        <f>'LUC-2012-08-10-Run3'!CJ10</f>
        <v>3.441135368673192E-5</v>
      </c>
      <c r="BI9" s="55">
        <f>'LUC-2012-08-10-Run3'!CK10</f>
        <v>3.4412612432450478E-5</v>
      </c>
      <c r="BJ9" s="55">
        <f>'LUC-2012-08-10-Run3'!CL10</f>
        <v>3.4414449591313397E-5</v>
      </c>
      <c r="BK9" s="55">
        <f>'LUC-2012-08-10-Run3'!CM10</f>
        <v>3.4416851623049204E-5</v>
      </c>
      <c r="BM9" s="107"/>
      <c r="BN9" s="57" t="s">
        <v>111</v>
      </c>
      <c r="BO9" s="65">
        <f t="shared" si="6"/>
        <v>32.802454837634563</v>
      </c>
      <c r="BP9" s="65">
        <f t="shared" si="0"/>
        <v>32.350813318517766</v>
      </c>
      <c r="BQ9" s="65">
        <f t="shared" si="1"/>
        <v>32.430882594832426</v>
      </c>
      <c r="BR9" s="65">
        <f t="shared" si="2"/>
        <v>33.42861196327123</v>
      </c>
      <c r="BS9" s="65">
        <f t="shared" si="3"/>
        <v>34.478230191624448</v>
      </c>
      <c r="BT9" s="65">
        <f t="shared" si="4"/>
        <v>34.418545168540916</v>
      </c>
      <c r="BU9" s="65">
        <f t="shared" si="5"/>
        <v>34.416851623049205</v>
      </c>
    </row>
    <row r="10" spans="1:73" x14ac:dyDescent="0.25">
      <c r="A10" s="54" t="s">
        <v>71</v>
      </c>
      <c r="B10" s="54" t="s">
        <v>102</v>
      </c>
      <c r="C10" s="54" t="s">
        <v>92</v>
      </c>
      <c r="D10" s="55">
        <f>'LUC-2012-08-10-Run3'!AF11</f>
        <v>9.854236723099179E-6</v>
      </c>
      <c r="E10" s="55">
        <f>'LUC-2012-08-10-Run3'!AG11</f>
        <v>9.9823313516283816E-6</v>
      </c>
      <c r="F10" s="55">
        <f>'LUC-2012-08-10-Run3'!AH11</f>
        <v>1.0100376622903003E-5</v>
      </c>
      <c r="G10" s="55">
        <f>'LUC-2012-08-10-Run3'!AI11</f>
        <v>1.0217954371032664E-5</v>
      </c>
      <c r="H10" s="55">
        <f>'LUC-2012-08-10-Run3'!AJ11</f>
        <v>1.0335036222756833E-5</v>
      </c>
      <c r="I10" s="55">
        <f>'LUC-2012-08-10-Run3'!AK11</f>
        <v>1.0451609591361124E-5</v>
      </c>
      <c r="J10" s="55">
        <f>'LUC-2012-08-10-Run3'!AL11</f>
        <v>1.0567721275233579E-5</v>
      </c>
      <c r="K10" s="55">
        <f>'LUC-2012-08-10-Run3'!AM11</f>
        <v>1.0683584645201572E-5</v>
      </c>
      <c r="L10" s="55">
        <f>'LUC-2012-08-10-Run3'!AN11</f>
        <v>1.0799445063931594E-5</v>
      </c>
      <c r="M10" s="55">
        <f>'LUC-2012-08-10-Run3'!AO11</f>
        <v>1.0915504194081234E-5</v>
      </c>
      <c r="N10" s="55">
        <f>'LUC-2012-08-10-Run3'!AP11</f>
        <v>1.1031807456688384E-5</v>
      </c>
      <c r="O10" s="55">
        <f>'LUC-2012-08-10-Run3'!AQ11</f>
        <v>1.1148309525294568E-5</v>
      </c>
      <c r="P10" s="55">
        <f>'LUC-2012-08-10-Run3'!AR11</f>
        <v>1.1264870100794226E-5</v>
      </c>
      <c r="Q10" s="55">
        <f>'LUC-2012-08-10-Run3'!AS11</f>
        <v>1.1381328286422772E-5</v>
      </c>
      <c r="R10" s="55">
        <f>'LUC-2012-08-10-Run3'!AT11</f>
        <v>1.1497512483415883E-5</v>
      </c>
      <c r="S10" s="55">
        <f>'LUC-2012-08-10-Run3'!AU11</f>
        <v>1.1613397424679677E-5</v>
      </c>
      <c r="T10" s="55">
        <f>'LUC-2012-08-10-Run3'!AV11</f>
        <v>1.1713798570050842E-5</v>
      </c>
      <c r="U10" s="55">
        <f>'LUC-2012-08-10-Run3'!AW11</f>
        <v>1.1814470296277969E-5</v>
      </c>
      <c r="V10" s="55">
        <f>'LUC-2012-08-10-Run3'!AX11</f>
        <v>1.191534638981658E-5</v>
      </c>
      <c r="W10" s="55">
        <f>'LUC-2012-08-10-Run3'!AY11</f>
        <v>1.2016381020005536E-5</v>
      </c>
      <c r="X10" s="55">
        <f>'LUC-2012-08-10-Run3'!AZ11</f>
        <v>1.2117558271218646E-5</v>
      </c>
      <c r="Y10" s="55">
        <f>'LUC-2012-08-10-Run3'!BA11</f>
        <v>1.2218890985596653E-5</v>
      </c>
      <c r="Z10" s="55">
        <f>'LUC-2012-08-10-Run3'!BB11</f>
        <v>1.2320406157975561E-5</v>
      </c>
      <c r="AA10" s="55">
        <f>'LUC-2012-08-10-Run3'!BC11</f>
        <v>1.2422163359147807E-5</v>
      </c>
      <c r="AB10" s="55">
        <f>'LUC-2012-08-10-Run3'!BD11</f>
        <v>1.2524187390788021E-5</v>
      </c>
      <c r="AC10" s="55">
        <f>'LUC-2012-08-10-Run3'!BE11</f>
        <v>1.2626483878628047E-5</v>
      </c>
      <c r="AD10" s="55">
        <f>'LUC-2012-08-10-Run3'!BF11</f>
        <v>1.2729030779148932E-5</v>
      </c>
      <c r="AE10" s="55">
        <f>'LUC-2012-08-10-Run3'!BG11</f>
        <v>1.2831824775562305E-5</v>
      </c>
      <c r="AF10" s="55">
        <f>'LUC-2012-08-10-Run3'!BH11</f>
        <v>1.293486824139877E-5</v>
      </c>
      <c r="AG10" s="55">
        <f>'LUC-2012-08-10-Run3'!BI11</f>
        <v>1.3038141931290572E-5</v>
      </c>
      <c r="AH10" s="55">
        <f>'LUC-2012-08-10-Run3'!BJ11</f>
        <v>1.3141646057248452E-5</v>
      </c>
      <c r="AI10" s="55">
        <f>'LUC-2012-08-10-Run3'!BK11</f>
        <v>1.324536198402301E-5</v>
      </c>
      <c r="AJ10" s="55">
        <f>'LUC-2012-08-10-Run3'!BL11</f>
        <v>1.3349273223858244E-5</v>
      </c>
      <c r="AK10" s="55">
        <f>'LUC-2012-08-10-Run3'!BM11</f>
        <v>1.3453362055576217E-5</v>
      </c>
      <c r="AL10" s="55">
        <f>'LUC-2012-08-10-Run3'!BN11</f>
        <v>1.3557618363085972E-5</v>
      </c>
      <c r="AM10" s="55">
        <f>'LUC-2012-08-10-Run3'!BO11</f>
        <v>1.3662013491165603E-5</v>
      </c>
      <c r="AN10" s="55">
        <f>'LUC-2012-08-10-Run3'!BP11</f>
        <v>1.3766547886425956E-5</v>
      </c>
      <c r="AO10" s="55">
        <f>'LUC-2012-08-10-Run3'!BQ11</f>
        <v>1.3871201491620626E-5</v>
      </c>
      <c r="AP10" s="55">
        <f>'LUC-2012-08-10-Run3'!BR11</f>
        <v>1.3975979456877814E-5</v>
      </c>
      <c r="AQ10" s="55">
        <f>'LUC-2012-08-10-Run3'!BS11</f>
        <v>1.408086503385868E-5</v>
      </c>
      <c r="AR10" s="55">
        <f>'LUC-2012-08-10-Run3'!BT11</f>
        <v>1.4176705987784486E-5</v>
      </c>
      <c r="AS10" s="55">
        <f>'LUC-2012-08-10-Run3'!BU11</f>
        <v>1.4272897661288029E-5</v>
      </c>
      <c r="AT10" s="55">
        <f>'LUC-2012-08-10-Run3'!BV11</f>
        <v>1.4369405170972683E-5</v>
      </c>
      <c r="AU10" s="55">
        <f>'LUC-2012-08-10-Run3'!BW11</f>
        <v>1.4466221110106797E-5</v>
      </c>
      <c r="AV10" s="55">
        <f>'LUC-2012-08-10-Run3'!BX11</f>
        <v>1.4563333182956466E-5</v>
      </c>
      <c r="AW10" s="55">
        <f>'LUC-2012-08-10-Run3'!BY11</f>
        <v>1.4660743453509237E-5</v>
      </c>
      <c r="AX10" s="55">
        <f>'LUC-2012-08-10-Run3'!BZ11</f>
        <v>1.4758440388510096E-5</v>
      </c>
      <c r="AY10" s="55">
        <f>'LUC-2012-08-10-Run3'!CA11</f>
        <v>1.485643337428682E-5</v>
      </c>
      <c r="AZ10" s="55">
        <f>'LUC-2012-08-10-Run3'!CB11</f>
        <v>1.4954723711917591E-5</v>
      </c>
      <c r="BA10" s="55">
        <f>'LUC-2012-08-10-Run3'!CC11</f>
        <v>1.5053310912873919E-5</v>
      </c>
      <c r="BB10" s="55">
        <f>'LUC-2012-08-10-Run3'!CD11</f>
        <v>1.5152187297695958E-5</v>
      </c>
      <c r="BC10" s="55">
        <f>'LUC-2012-08-10-Run3'!CE11</f>
        <v>1.5251347954090991E-5</v>
      </c>
      <c r="BD10" s="55">
        <f>'LUC-2012-08-10-Run3'!CF11</f>
        <v>1.535078884672587E-5</v>
      </c>
      <c r="BE10" s="55">
        <f>'LUC-2012-08-10-Run3'!CG11</f>
        <v>1.5450503085557794E-5</v>
      </c>
      <c r="BF10" s="55">
        <f>'LUC-2012-08-10-Run3'!CH11</f>
        <v>1.5550493837403647E-5</v>
      </c>
      <c r="BG10" s="55">
        <f>'LUC-2012-08-10-Run3'!CI11</f>
        <v>1.5650748955160461E-5</v>
      </c>
      <c r="BH10" s="55">
        <f>'LUC-2012-08-10-Run3'!CJ11</f>
        <v>1.5751267258813495E-5</v>
      </c>
      <c r="BI10" s="55">
        <f>'LUC-2012-08-10-Run3'!CK11</f>
        <v>1.5852032855683394E-5</v>
      </c>
      <c r="BJ10" s="55">
        <f>'LUC-2012-08-10-Run3'!CL11</f>
        <v>1.5953046526604541E-5</v>
      </c>
      <c r="BK10" s="55">
        <f>'LUC-2012-08-10-Run3'!CM11</f>
        <v>1.6054290103878199E-5</v>
      </c>
      <c r="BM10" s="107"/>
      <c r="BN10" s="57" t="s">
        <v>102</v>
      </c>
      <c r="BO10" s="65">
        <f t="shared" si="6"/>
        <v>9.854236723099179</v>
      </c>
      <c r="BP10" s="65">
        <f t="shared" si="0"/>
        <v>10.915504194081233</v>
      </c>
      <c r="BQ10" s="65">
        <f t="shared" si="1"/>
        <v>12.016381020005536</v>
      </c>
      <c r="BR10" s="65">
        <f t="shared" si="2"/>
        <v>13.038141931290573</v>
      </c>
      <c r="BS10" s="65">
        <f t="shared" si="3"/>
        <v>14.08086503385868</v>
      </c>
      <c r="BT10" s="65">
        <f t="shared" si="4"/>
        <v>15.053310912873918</v>
      </c>
      <c r="BU10" s="65">
        <f t="shared" si="5"/>
        <v>16.054290103878198</v>
      </c>
    </row>
    <row r="11" spans="1:73" x14ac:dyDescent="0.25">
      <c r="A11" s="54" t="s">
        <v>71</v>
      </c>
      <c r="B11" s="54" t="s">
        <v>103</v>
      </c>
      <c r="C11" s="54" t="s">
        <v>92</v>
      </c>
      <c r="D11" s="55">
        <f>'LUC-2012-08-10-Run3'!AF12</f>
        <v>2.1546611417777664E-5</v>
      </c>
      <c r="E11" s="55">
        <f>'LUC-2012-08-10-Run3'!AG12</f>
        <v>2.1548776353901259E-5</v>
      </c>
      <c r="F11" s="55">
        <f>'LUC-2012-08-10-Run3'!AH12</f>
        <v>2.1529813843228388E-5</v>
      </c>
      <c r="G11" s="55">
        <f>'LUC-2012-08-10-Run3'!AI12</f>
        <v>2.1511796280261009E-5</v>
      </c>
      <c r="H11" s="55">
        <f>'LUC-2012-08-10-Run3'!AJ12</f>
        <v>2.1494294630538175E-5</v>
      </c>
      <c r="I11" s="55">
        <f>'LUC-2012-08-10-Run3'!AK12</f>
        <v>2.1477258718884035E-5</v>
      </c>
      <c r="J11" s="55">
        <f>'LUC-2012-08-10-Run3'!AL12</f>
        <v>2.1460780711870611E-5</v>
      </c>
      <c r="K11" s="55">
        <f>'LUC-2012-08-10-Run3'!AM12</f>
        <v>2.1445238306112089E-5</v>
      </c>
      <c r="L11" s="55">
        <f>'LUC-2012-08-10-Run3'!AN12</f>
        <v>2.1430974190250699E-5</v>
      </c>
      <c r="M11" s="55">
        <f>'LUC-2012-08-10-Run3'!AO12</f>
        <v>2.1418246228484336E-5</v>
      </c>
      <c r="N11" s="55">
        <f>'LUC-2012-08-10-Run3'!AP12</f>
        <v>2.1406989135757382E-5</v>
      </c>
      <c r="O11" s="55">
        <f>'LUC-2012-08-10-Run3'!AQ12</f>
        <v>2.1396971476561034E-5</v>
      </c>
      <c r="P11" s="55">
        <f>'LUC-2012-08-10-Run3'!AR12</f>
        <v>2.1387819441490876E-5</v>
      </c>
      <c r="Q11" s="55">
        <f>'LUC-2012-08-10-Run3'!AS12</f>
        <v>2.1379160748666734E-5</v>
      </c>
      <c r="R11" s="55">
        <f>'LUC-2012-08-10-Run3'!AT12</f>
        <v>2.1370586114888923E-5</v>
      </c>
      <c r="S11" s="55">
        <f>'LUC-2012-08-10-Run3'!AU12</f>
        <v>2.136207988774734E-5</v>
      </c>
      <c r="T11" s="55">
        <f>'LUC-2012-08-10-Run3'!AV12</f>
        <v>2.1431219936181367E-5</v>
      </c>
      <c r="U11" s="55">
        <f>'LUC-2012-08-10-Run3'!AW12</f>
        <v>2.1500621928855455E-5</v>
      </c>
      <c r="V11" s="55">
        <f>'LUC-2012-08-10-Run3'!AX12</f>
        <v>2.1570179413566521E-5</v>
      </c>
      <c r="W11" s="55">
        <f>'LUC-2012-08-10-Run3'!AY12</f>
        <v>2.1639821924105715E-5</v>
      </c>
      <c r="X11" s="55">
        <f>'LUC-2012-08-10-Run3'!AZ12</f>
        <v>2.1709567707921659E-5</v>
      </c>
      <c r="Y11" s="55">
        <f>'LUC-2012-08-10-Run3'!BA12</f>
        <v>2.1779462959994464E-5</v>
      </c>
      <c r="Z11" s="55">
        <f>'LUC-2012-08-10-Run3'!BB12</f>
        <v>2.1849626776714623E-5</v>
      </c>
      <c r="AA11" s="55">
        <f>'LUC-2012-08-10-Run3'!BC12</f>
        <v>2.1920278464497534E-5</v>
      </c>
      <c r="AB11" s="55">
        <f>'LUC-2012-08-10-Run3'!BD12</f>
        <v>2.1991551238002374E-5</v>
      </c>
      <c r="AC11" s="55">
        <f>'LUC-2012-08-10-Run3'!BE12</f>
        <v>2.2063475894961098E-5</v>
      </c>
      <c r="AD11" s="55">
        <f>'LUC-2012-08-10-Run3'!BF12</f>
        <v>2.2136022770592723E-5</v>
      </c>
      <c r="AE11" s="55">
        <f>'LUC-2012-08-10-Run3'!BG12</f>
        <v>2.2209233349265895E-5</v>
      </c>
      <c r="AF11" s="55">
        <f>'LUC-2012-08-10-Run3'!BH12</f>
        <v>2.2283196844612381E-5</v>
      </c>
      <c r="AG11" s="55">
        <f>'LUC-2012-08-10-Run3'!BI12</f>
        <v>2.2357890539718146E-5</v>
      </c>
      <c r="AH11" s="55">
        <f>'LUC-2012-08-10-Run3'!BJ12</f>
        <v>2.2433347003655922E-5</v>
      </c>
      <c r="AI11" s="55">
        <f>'LUC-2012-08-10-Run3'!BK12</f>
        <v>2.2509532403832295E-5</v>
      </c>
      <c r="AJ11" s="55">
        <f>'LUC-2012-08-10-Run3'!BL12</f>
        <v>2.2586360106813801E-5</v>
      </c>
      <c r="AK11" s="55">
        <f>'LUC-2012-08-10-Run3'!BM12</f>
        <v>2.266373951206043E-5</v>
      </c>
      <c r="AL11" s="55">
        <f>'LUC-2012-08-10-Run3'!BN12</f>
        <v>2.2741629068060705E-5</v>
      </c>
      <c r="AM11" s="55">
        <f>'LUC-2012-08-10-Run3'!BO12</f>
        <v>2.2819945752611374E-5</v>
      </c>
      <c r="AN11" s="55">
        <f>'LUC-2012-08-10-Run3'!BP12</f>
        <v>2.2898700583336664E-5</v>
      </c>
      <c r="AO11" s="55">
        <f>'LUC-2012-08-10-Run3'!BQ12</f>
        <v>2.2977838939417841E-5</v>
      </c>
      <c r="AP11" s="55">
        <f>'LUC-2012-08-10-Run3'!BR12</f>
        <v>2.3057373635006435E-5</v>
      </c>
      <c r="AQ11" s="55">
        <f>'LUC-2012-08-10-Run3'!BS12</f>
        <v>2.3137229080172518E-5</v>
      </c>
      <c r="AR11" s="55">
        <f>'LUC-2012-08-10-Run3'!BT12</f>
        <v>2.322088460377657E-5</v>
      </c>
      <c r="AS11" s="55">
        <f>'LUC-2012-08-10-Run3'!BU12</f>
        <v>2.3304856513304948E-5</v>
      </c>
      <c r="AT11" s="55">
        <f>'LUC-2012-08-10-Run3'!BV12</f>
        <v>2.3389124320775309E-5</v>
      </c>
      <c r="AU11" s="55">
        <f>'LUC-2012-08-10-Run3'!BW12</f>
        <v>2.3473652943025843E-5</v>
      </c>
      <c r="AV11" s="55">
        <f>'LUC-2012-08-10-Run3'!BX12</f>
        <v>2.3558450585572394E-5</v>
      </c>
      <c r="AW11" s="55">
        <f>'LUC-2012-08-10-Run3'!BY12</f>
        <v>2.3643525071400696E-5</v>
      </c>
      <c r="AX11" s="55">
        <f>'LUC-2012-08-10-Run3'!BZ12</f>
        <v>2.3728839924302104E-5</v>
      </c>
      <c r="AY11" s="55">
        <f>'LUC-2012-08-10-Run3'!CA12</f>
        <v>2.3814449363319564E-5</v>
      </c>
      <c r="AZ11" s="55">
        <f>'LUC-2012-08-10-Run3'!CB12</f>
        <v>2.3900368603731259E-5</v>
      </c>
      <c r="BA11" s="55">
        <f>'LUC-2012-08-10-Run3'!CC12</f>
        <v>2.398661922121495E-5</v>
      </c>
      <c r="BB11" s="55">
        <f>'LUC-2012-08-10-Run3'!CD12</f>
        <v>2.4073166653929001E-5</v>
      </c>
      <c r="BC11" s="55">
        <f>'LUC-2012-08-10-Run3'!CE12</f>
        <v>2.4160049413654472E-5</v>
      </c>
      <c r="BD11" s="55">
        <f>'LUC-2012-08-10-Run3'!CF12</f>
        <v>2.4247233568978547E-5</v>
      </c>
      <c r="BE11" s="55">
        <f>'LUC-2012-08-10-Run3'!CG12</f>
        <v>2.4334710078056624E-5</v>
      </c>
      <c r="BF11" s="55">
        <f>'LUC-2012-08-10-Run3'!CH12</f>
        <v>2.4422475304205185E-5</v>
      </c>
      <c r="BG11" s="55">
        <f>'LUC-2012-08-10-Run3'!CI12</f>
        <v>2.4510534334148943E-5</v>
      </c>
      <c r="BH11" s="55">
        <f>'LUC-2012-08-10-Run3'!CJ12</f>
        <v>2.4598868961428005E-5</v>
      </c>
      <c r="BI11" s="55">
        <f>'LUC-2012-08-10-Run3'!CK12</f>
        <v>2.4687474773804851E-5</v>
      </c>
      <c r="BJ11" s="55">
        <f>'LUC-2012-08-10-Run3'!CL12</f>
        <v>2.4776359815924639E-5</v>
      </c>
      <c r="BK11" s="55">
        <f>'LUC-2012-08-10-Run3'!CM12</f>
        <v>2.4865496205584895E-5</v>
      </c>
      <c r="BM11" s="107"/>
      <c r="BN11" s="57" t="s">
        <v>103</v>
      </c>
      <c r="BO11" s="65">
        <f t="shared" si="6"/>
        <v>21.546611417777665</v>
      </c>
      <c r="BP11" s="65">
        <f t="shared" si="0"/>
        <v>21.418246228484335</v>
      </c>
      <c r="BQ11" s="65">
        <f t="shared" si="1"/>
        <v>21.639821924105714</v>
      </c>
      <c r="BR11" s="65">
        <f t="shared" si="2"/>
        <v>22.357890539718145</v>
      </c>
      <c r="BS11" s="65">
        <f t="shared" si="3"/>
        <v>23.137229080172517</v>
      </c>
      <c r="BT11" s="65">
        <f t="shared" si="4"/>
        <v>23.986619221214951</v>
      </c>
      <c r="BU11" s="65">
        <f t="shared" si="5"/>
        <v>24.865496205584893</v>
      </c>
    </row>
    <row r="12" spans="1:73" x14ac:dyDescent="0.25">
      <c r="A12" s="54" t="s">
        <v>71</v>
      </c>
      <c r="B12" s="54" t="s">
        <v>104</v>
      </c>
      <c r="C12" s="54" t="s">
        <v>92</v>
      </c>
      <c r="D12" s="55">
        <f>'LUC-2012-08-10-Run3'!AF14</f>
        <v>7.2579400635636128E-5</v>
      </c>
      <c r="E12" s="55">
        <f>'LUC-2012-08-10-Run3'!AG14</f>
        <v>7.2710750357848772E-5</v>
      </c>
      <c r="F12" s="55">
        <f>'LUC-2012-08-10-Run3'!AH14</f>
        <v>7.2835631481469562E-5</v>
      </c>
      <c r="G12" s="55">
        <f>'LUC-2012-08-10-Run3'!AI14</f>
        <v>7.2966844650889425E-5</v>
      </c>
      <c r="H12" s="55">
        <f>'LUC-2012-08-10-Run3'!AJ14</f>
        <v>7.3104359921105733E-5</v>
      </c>
      <c r="I12" s="55">
        <f>'LUC-2012-08-10-Run3'!AK14</f>
        <v>7.3248246864508071E-5</v>
      </c>
      <c r="J12" s="55">
        <f>'LUC-2012-08-10-Run3'!AL14</f>
        <v>7.3398754505103175E-5</v>
      </c>
      <c r="K12" s="55">
        <f>'LUC-2012-08-10-Run3'!AM14</f>
        <v>7.3555626460515322E-5</v>
      </c>
      <c r="L12" s="55">
        <f>'LUC-2012-08-10-Run3'!AN14</f>
        <v>7.3718630250443402E-5</v>
      </c>
      <c r="M12" s="55">
        <f>'LUC-2012-08-10-Run3'!AO14</f>
        <v>7.3887930394828121E-5</v>
      </c>
      <c r="N12" s="55">
        <f>'LUC-2012-08-10-Run3'!AP14</f>
        <v>7.4063048210976443E-5</v>
      </c>
      <c r="O12" s="55">
        <f>'LUC-2012-08-10-Run3'!AQ14</f>
        <v>7.4244147109695115E-5</v>
      </c>
      <c r="P12" s="55">
        <f>'LUC-2012-08-10-Run3'!AR14</f>
        <v>7.4431632375143155E-5</v>
      </c>
      <c r="Q12" s="55">
        <f>'LUC-2012-08-10-Run3'!AS14</f>
        <v>7.4625871636400709E-5</v>
      </c>
      <c r="R12" s="55">
        <f>'LUC-2012-08-10-Run3'!AT14</f>
        <v>7.4827372348252132E-5</v>
      </c>
      <c r="S12" s="55">
        <f>'LUC-2012-08-10-Run3'!AU14</f>
        <v>7.5036047961920654E-5</v>
      </c>
      <c r="T12" s="55">
        <f>'LUC-2012-08-10-Run3'!AV14</f>
        <v>7.5196129754424222E-5</v>
      </c>
      <c r="U12" s="55">
        <f>'LUC-2012-08-10-Run3'!AW14</f>
        <v>7.5362226892668419E-5</v>
      </c>
      <c r="V12" s="55">
        <f>'LUC-2012-08-10-Run3'!AX14</f>
        <v>7.5533423136030673E-5</v>
      </c>
      <c r="W12" s="55">
        <f>'LUC-2012-08-10-Run3'!AY14</f>
        <v>7.570918252286068E-5</v>
      </c>
      <c r="X12" s="55">
        <f>'LUC-2012-08-10-Run3'!AZ14</f>
        <v>7.5889042320633371E-5</v>
      </c>
      <c r="Y12" s="55">
        <f>'LUC-2012-08-10-Run3'!BA14</f>
        <v>7.6072967370297419E-5</v>
      </c>
      <c r="Z12" s="55">
        <f>'LUC-2012-08-10-Run3'!BB14</f>
        <v>7.6260690065726422E-5</v>
      </c>
      <c r="AA12" s="55">
        <f>'LUC-2012-08-10-Run3'!BC14</f>
        <v>7.6451712192685824E-5</v>
      </c>
      <c r="AB12" s="55">
        <f>'LUC-2012-08-10-Run3'!BD14</f>
        <v>7.6645708716077289E-5</v>
      </c>
      <c r="AC12" s="55">
        <f>'LUC-2012-08-10-Run3'!BE14</f>
        <v>7.6842653727074298E-5</v>
      </c>
      <c r="AD12" s="55">
        <f>'LUC-2012-08-10-Run3'!BF14</f>
        <v>7.7042342470197924E-5</v>
      </c>
      <c r="AE12" s="55">
        <f>'LUC-2012-08-10-Run3'!BG14</f>
        <v>7.724507134193393E-5</v>
      </c>
      <c r="AF12" s="55">
        <f>'LUC-2012-08-10-Run3'!BH14</f>
        <v>7.7450697007099199E-5</v>
      </c>
      <c r="AG12" s="55">
        <f>'LUC-2012-08-10-Run3'!BI14</f>
        <v>7.7659336093488269E-5</v>
      </c>
      <c r="AH12" s="55">
        <f>'LUC-2012-08-10-Run3'!BJ14</f>
        <v>7.7871119041523682E-5</v>
      </c>
      <c r="AI12" s="55">
        <f>'LUC-2012-08-10-Run3'!BK14</f>
        <v>7.8085962512260875E-5</v>
      </c>
      <c r="AJ12" s="55">
        <f>'LUC-2012-08-10-Run3'!BL14</f>
        <v>7.8304194048995108E-5</v>
      </c>
      <c r="AK12" s="55">
        <f>'LUC-2012-08-10-Run3'!BM14</f>
        <v>7.8526200171564843E-5</v>
      </c>
      <c r="AL12" s="55">
        <f>'LUC-2012-08-10-Run3'!BN14</f>
        <v>7.8752113447964735E-5</v>
      </c>
      <c r="AM12" s="55">
        <f>'LUC-2012-08-10-Run3'!BO14</f>
        <v>7.8982140394694782E-5</v>
      </c>
      <c r="AN12" s="55">
        <f>'LUC-2012-08-10-Run3'!BP14</f>
        <v>7.9215967873173866E-5</v>
      </c>
      <c r="AO12" s="55">
        <f>'LUC-2012-08-10-Run3'!BQ14</f>
        <v>7.9453663292605763E-5</v>
      </c>
      <c r="AP12" s="55">
        <f>'LUC-2012-08-10-Run3'!BR14</f>
        <v>7.9694685625893665E-5</v>
      </c>
      <c r="AQ12" s="55">
        <f>'LUC-2012-08-10-Run3'!BS14</f>
        <v>8.0939140319541284E-5</v>
      </c>
      <c r="AR12" s="55">
        <f>'LUC-2012-08-10-Run3'!BT14</f>
        <v>8.1144580689791697E-5</v>
      </c>
      <c r="AS12" s="55">
        <f>'LUC-2012-08-10-Run3'!BU14</f>
        <v>8.1352255328899303E-5</v>
      </c>
      <c r="AT12" s="55">
        <f>'LUC-2012-08-10-Run3'!BV14</f>
        <v>8.1561589635048809E-5</v>
      </c>
      <c r="AU12" s="55">
        <f>'LUC-2012-08-10-Run3'!BW14</f>
        <v>8.1772238866018886E-5</v>
      </c>
      <c r="AV12" s="55">
        <f>'LUC-2012-08-10-Run3'!BX14</f>
        <v>8.1983732728382883E-5</v>
      </c>
      <c r="AW12" s="55">
        <f>'LUC-2012-08-10-Run3'!BY14</f>
        <v>8.2195784794655147E-5</v>
      </c>
      <c r="AX12" s="55">
        <f>'LUC-2012-08-10-Run3'!BZ14</f>
        <v>8.240854022039316E-5</v>
      </c>
      <c r="AY12" s="55">
        <f>'LUC-2012-08-10-Run3'!CA14</f>
        <v>8.2621769860770545E-5</v>
      </c>
      <c r="AZ12" s="55">
        <f>'LUC-2012-08-10-Run3'!CB14</f>
        <v>8.2835636290142024E-5</v>
      </c>
      <c r="BA12" s="55">
        <f>'LUC-2012-08-10-Run3'!CC14</f>
        <v>8.3049975000763771E-5</v>
      </c>
      <c r="BB12" s="55">
        <f>'LUC-2012-08-10-Run3'!CD14</f>
        <v>8.3264965361052375E-5</v>
      </c>
      <c r="BC12" s="55">
        <f>'LUC-2012-08-10-Run3'!CE14</f>
        <v>8.3480476330671094E-5</v>
      </c>
      <c r="BD12" s="55">
        <f>'LUC-2012-08-10-Run3'!CF14</f>
        <v>8.3696427440170748E-5</v>
      </c>
      <c r="BE12" s="55">
        <f>'LUC-2012-08-10-Run3'!CG14</f>
        <v>8.3912861801149424E-5</v>
      </c>
      <c r="BF12" s="55">
        <f>'LUC-2012-08-10-Run3'!CH14</f>
        <v>8.4129687508903073E-5</v>
      </c>
      <c r="BG12" s="55">
        <f>'LUC-2012-08-10-Run3'!CI14</f>
        <v>8.4347050159480082E-5</v>
      </c>
      <c r="BH12" s="55">
        <f>'LUC-2012-08-10-Run3'!CJ14</f>
        <v>8.4564999780692071E-5</v>
      </c>
      <c r="BI12" s="55">
        <f>'LUC-2012-08-10-Run3'!CK14</f>
        <v>8.4783852786025421E-5</v>
      </c>
      <c r="BJ12" s="55">
        <f>'LUC-2012-08-10-Run3'!CL14</f>
        <v>8.5003601175681514E-5</v>
      </c>
      <c r="BK12" s="55">
        <f>'LUC-2012-08-10-Run3'!CM14</f>
        <v>8.5224739069646827E-5</v>
      </c>
      <c r="BM12" s="105"/>
      <c r="BN12" s="58" t="s">
        <v>104</v>
      </c>
      <c r="BO12" s="66">
        <f t="shared" si="6"/>
        <v>72.579400635636134</v>
      </c>
      <c r="BP12" s="66">
        <f t="shared" si="0"/>
        <v>73.887930394828118</v>
      </c>
      <c r="BQ12" s="66">
        <f t="shared" si="1"/>
        <v>75.709182522860687</v>
      </c>
      <c r="BR12" s="66">
        <f t="shared" si="2"/>
        <v>77.659336093488264</v>
      </c>
      <c r="BS12" s="66">
        <f t="shared" si="3"/>
        <v>80.939140319541281</v>
      </c>
      <c r="BT12" s="66">
        <f t="shared" si="4"/>
        <v>83.049975000763766</v>
      </c>
      <c r="BU12" s="66">
        <f t="shared" si="5"/>
        <v>85.22473906964683</v>
      </c>
    </row>
    <row r="13" spans="1:73" x14ac:dyDescent="0.25">
      <c r="BM13" s="106" t="s">
        <v>38</v>
      </c>
      <c r="BN13" s="59" t="s">
        <v>96</v>
      </c>
      <c r="BO13" s="64">
        <f t="shared" ref="BO13:BO23" si="7">D14*1000000</f>
        <v>26.047124150016419</v>
      </c>
      <c r="BP13" s="64">
        <f t="shared" ref="BP13:BP23" si="8">M14*1000000</f>
        <v>25.027577905867933</v>
      </c>
      <c r="BQ13" s="64">
        <f t="shared" ref="BQ13:BQ23" si="9">W14*1000000</f>
        <v>24.404981033839864</v>
      </c>
      <c r="BR13" s="64">
        <f t="shared" ref="BR13:BR23" si="10">AG14*1000000</f>
        <v>24.492279269285369</v>
      </c>
      <c r="BS13" s="64">
        <f t="shared" ref="BS13:BS23" si="11">AQ14*1000000</f>
        <v>24.579889776307784</v>
      </c>
      <c r="BT13" s="64">
        <f t="shared" ref="BT13:BT23" si="12">BA14*1000000</f>
        <v>24.667813671923248</v>
      </c>
      <c r="BU13" s="64">
        <f t="shared" ref="BU13:BU23" si="13">BK14*1000000</f>
        <v>24.756052077143536</v>
      </c>
    </row>
    <row r="14" spans="1:73" x14ac:dyDescent="0.25">
      <c r="A14" s="54" t="s">
        <v>38</v>
      </c>
      <c r="B14" s="54" t="s">
        <v>96</v>
      </c>
      <c r="C14" s="54" t="s">
        <v>92</v>
      </c>
      <c r="D14" s="55">
        <f>'LUC-2012-08-10-Run3'!AF16</f>
        <v>2.6047124150016419E-5</v>
      </c>
      <c r="E14" s="55">
        <f>'LUC-2012-08-10-Run3'!AG16</f>
        <v>2.5931820509822103E-5</v>
      </c>
      <c r="F14" s="55">
        <f>'LUC-2012-08-10-Run3'!AH16</f>
        <v>2.5817027287951345E-5</v>
      </c>
      <c r="G14" s="55">
        <f>'LUC-2012-08-10-Run3'!AI16</f>
        <v>2.5702742224918969E-5</v>
      </c>
      <c r="H14" s="55">
        <f>'LUC-2012-08-10-Run3'!AJ16</f>
        <v>2.5588963071241946E-5</v>
      </c>
      <c r="I14" s="55">
        <f>'LUC-2012-08-10-Run3'!AK16</f>
        <v>2.5475687587395098E-5</v>
      </c>
      <c r="J14" s="55">
        <f>'LUC-2012-08-10-Run3'!AL16</f>
        <v>2.5362913543767027E-5</v>
      </c>
      <c r="K14" s="55">
        <f>'LUC-2012-08-10-Run3'!AM16</f>
        <v>2.5250638720616227E-5</v>
      </c>
      <c r="L14" s="55">
        <f>'LUC-2012-08-10-Run3'!AN16</f>
        <v>2.5138860908027395E-5</v>
      </c>
      <c r="M14" s="55">
        <f>'LUC-2012-08-10-Run3'!AO16</f>
        <v>2.5027577905867931E-5</v>
      </c>
      <c r="N14" s="55">
        <f>'LUC-2012-08-10-Run3'!AP16</f>
        <v>2.4916787523744632E-5</v>
      </c>
      <c r="O14" s="55">
        <f>'LUC-2012-08-10-Run3'!AQ16</f>
        <v>2.4806487580960574E-5</v>
      </c>
      <c r="P14" s="55">
        <f>'LUC-2012-08-10-Run3'!AR16</f>
        <v>2.4696675906472202E-5</v>
      </c>
      <c r="Q14" s="55">
        <f>'LUC-2012-08-10-Run3'!AS16</f>
        <v>2.4587350338846587E-5</v>
      </c>
      <c r="R14" s="55">
        <f>'LUC-2012-08-10-Run3'!AT16</f>
        <v>2.4478508726218878E-5</v>
      </c>
      <c r="S14" s="55">
        <f>'LUC-2012-08-10-Run3'!AU16</f>
        <v>2.4370148926249962E-5</v>
      </c>
      <c r="T14" s="55">
        <f>'LUC-2012-08-10-Run3'!AV16</f>
        <v>2.4378852289661097E-5</v>
      </c>
      <c r="U14" s="55">
        <f>'LUC-2012-08-10-Run3'!AW16</f>
        <v>2.438755876132302E-5</v>
      </c>
      <c r="V14" s="55">
        <f>'LUC-2012-08-10-Run3'!AX16</f>
        <v>2.4396268342345792E-5</v>
      </c>
      <c r="W14" s="55">
        <f>'LUC-2012-08-10-Run3'!AY16</f>
        <v>2.4404981033839863E-5</v>
      </c>
      <c r="X14" s="55">
        <f>'LUC-2012-08-10-Run3'!AZ16</f>
        <v>2.4413696836916083E-5</v>
      </c>
      <c r="Y14" s="55">
        <f>'LUC-2012-08-10-Run3'!BA16</f>
        <v>2.4422415752685697E-5</v>
      </c>
      <c r="Z14" s="55">
        <f>'LUC-2012-08-10-Run3'!BB16</f>
        <v>2.443113778226035E-5</v>
      </c>
      <c r="AA14" s="55">
        <f>'LUC-2012-08-10-Run3'!BC16</f>
        <v>2.4439862926752079E-5</v>
      </c>
      <c r="AB14" s="55">
        <f>'LUC-2012-08-10-Run3'!BD16</f>
        <v>2.4448591187273323E-5</v>
      </c>
      <c r="AC14" s="55">
        <f>'LUC-2012-08-10-Run3'!BE16</f>
        <v>2.4457322564936916E-5</v>
      </c>
      <c r="AD14" s="55">
        <f>'LUC-2012-08-10-Run3'!BF16</f>
        <v>2.4466057060856087E-5</v>
      </c>
      <c r="AE14" s="55">
        <f>'LUC-2012-08-10-Run3'!BG16</f>
        <v>2.4474794676144469E-5</v>
      </c>
      <c r="AF14" s="55">
        <f>'LUC-2012-08-10-Run3'!BH16</f>
        <v>2.4483535411916089E-5</v>
      </c>
      <c r="AG14" s="55">
        <f>'LUC-2012-08-10-Run3'!BI16</f>
        <v>2.4492279269285369E-5</v>
      </c>
      <c r="AH14" s="55">
        <f>'LUC-2012-08-10-Run3'!BJ16</f>
        <v>2.4501026249367136E-5</v>
      </c>
      <c r="AI14" s="55">
        <f>'LUC-2012-08-10-Run3'!BK16</f>
        <v>2.4509776353276607E-5</v>
      </c>
      <c r="AJ14" s="55">
        <f>'LUC-2012-08-10-Run3'!BL16</f>
        <v>2.4518529582129402E-5</v>
      </c>
      <c r="AK14" s="55">
        <f>'LUC-2012-08-10-Run3'!BM16</f>
        <v>2.4527285937041538E-5</v>
      </c>
      <c r="AL14" s="55">
        <f>'LUC-2012-08-10-Run3'!BN16</f>
        <v>2.4536045419129436E-5</v>
      </c>
      <c r="AM14" s="55">
        <f>'LUC-2012-08-10-Run3'!BO16</f>
        <v>2.4544808029509907E-5</v>
      </c>
      <c r="AN14" s="55">
        <f>'LUC-2012-08-10-Run3'!BP16</f>
        <v>2.4553573769300165E-5</v>
      </c>
      <c r="AO14" s="55">
        <f>'LUC-2012-08-10-Run3'!BQ16</f>
        <v>2.4562342639617823E-5</v>
      </c>
      <c r="AP14" s="55">
        <f>'LUC-2012-08-10-Run3'!BR16</f>
        <v>2.4571114641580892E-5</v>
      </c>
      <c r="AQ14" s="55">
        <f>'LUC-2012-08-10-Run3'!BS16</f>
        <v>2.4579889776307785E-5</v>
      </c>
      <c r="AR14" s="55">
        <f>'LUC-2012-08-10-Run3'!BT16</f>
        <v>2.4588668044917313E-5</v>
      </c>
      <c r="AS14" s="55">
        <f>'LUC-2012-08-10-Run3'!BU16</f>
        <v>2.4597449448528686E-5</v>
      </c>
      <c r="AT14" s="55">
        <f>'LUC-2012-08-10-Run3'!BV16</f>
        <v>2.460623398826151E-5</v>
      </c>
      <c r="AU14" s="55">
        <f>'LUC-2012-08-10-Run3'!BW16</f>
        <v>2.4615021665235799E-5</v>
      </c>
      <c r="AV14" s="55">
        <f>'LUC-2012-08-10-Run3'!BX16</f>
        <v>2.4623812480571962E-5</v>
      </c>
      <c r="AW14" s="55">
        <f>'LUC-2012-08-10-Run3'!BY16</f>
        <v>2.463260643539081E-5</v>
      </c>
      <c r="AX14" s="55">
        <f>'LUC-2012-08-10-Run3'!BZ16</f>
        <v>2.4641403530813551E-5</v>
      </c>
      <c r="AY14" s="55">
        <f>'LUC-2012-08-10-Run3'!CA16</f>
        <v>2.4650203767961796E-5</v>
      </c>
      <c r="AZ14" s="55">
        <f>'LUC-2012-08-10-Run3'!CB16</f>
        <v>2.4659007147957558E-5</v>
      </c>
      <c r="BA14" s="55">
        <f>'LUC-2012-08-10-Run3'!CC16</f>
        <v>2.4667813671923248E-5</v>
      </c>
      <c r="BB14" s="55">
        <f>'LUC-2012-08-10-Run3'!CD16</f>
        <v>2.4676623340981674E-5</v>
      </c>
      <c r="BC14" s="55">
        <f>'LUC-2012-08-10-Run3'!CE16</f>
        <v>2.4685436156256055E-5</v>
      </c>
      <c r="BD14" s="55">
        <f>'LUC-2012-08-10-Run3'!CF16</f>
        <v>2.4694252118870006E-5</v>
      </c>
      <c r="BE14" s="55">
        <f>'LUC-2012-08-10-Run3'!CG16</f>
        <v>2.4703071229947542E-5</v>
      </c>
      <c r="BF14" s="55">
        <f>'LUC-2012-08-10-Run3'!CH16</f>
        <v>2.4711893490613081E-5</v>
      </c>
      <c r="BG14" s="55">
        <f>'LUC-2012-08-10-Run3'!CI16</f>
        <v>2.4720718901991441E-5</v>
      </c>
      <c r="BH14" s="55">
        <f>'LUC-2012-08-10-Run3'!CJ16</f>
        <v>2.4729547465207841E-5</v>
      </c>
      <c r="BI14" s="55">
        <f>'LUC-2012-08-10-Run3'!CK16</f>
        <v>2.4738379181387907E-5</v>
      </c>
      <c r="BJ14" s="55">
        <f>'LUC-2012-08-10-Run3'!CL16</f>
        <v>2.4747214051657664E-5</v>
      </c>
      <c r="BK14" s="55">
        <f>'LUC-2012-08-10-Run3'!CM16</f>
        <v>2.4756052077143536E-5</v>
      </c>
      <c r="BM14" s="104"/>
      <c r="BN14" s="57" t="s">
        <v>97</v>
      </c>
      <c r="BO14" s="65">
        <f t="shared" si="7"/>
        <v>201</v>
      </c>
      <c r="BP14" s="65">
        <f t="shared" si="8"/>
        <v>201.6</v>
      </c>
      <c r="BQ14" s="65">
        <f t="shared" si="9"/>
        <v>204.16666666666669</v>
      </c>
      <c r="BR14" s="65">
        <f t="shared" si="10"/>
        <v>209.58333333333331</v>
      </c>
      <c r="BS14" s="65">
        <f t="shared" si="11"/>
        <v>215</v>
      </c>
      <c r="BT14" s="65">
        <f t="shared" si="12"/>
        <v>218.5</v>
      </c>
      <c r="BU14" s="65">
        <f t="shared" si="13"/>
        <v>222</v>
      </c>
    </row>
    <row r="15" spans="1:73" x14ac:dyDescent="0.25">
      <c r="A15" s="54" t="s">
        <v>38</v>
      </c>
      <c r="B15" s="54" t="s">
        <v>97</v>
      </c>
      <c r="C15" s="54" t="s">
        <v>92</v>
      </c>
      <c r="D15" s="55">
        <f>'LUC-2012-08-10-Run3'!AF17</f>
        <v>2.0100000000000001E-4</v>
      </c>
      <c r="E15" s="55">
        <f>'LUC-2012-08-10-Run3'!AG17</f>
        <v>2.0106666666666668E-4</v>
      </c>
      <c r="F15" s="55">
        <f>'LUC-2012-08-10-Run3'!AH17</f>
        <v>2.0113333333333333E-4</v>
      </c>
      <c r="G15" s="55">
        <f>'LUC-2012-08-10-Run3'!AI17</f>
        <v>2.0120000000000001E-4</v>
      </c>
      <c r="H15" s="55">
        <f>'LUC-2012-08-10-Run3'!AJ17</f>
        <v>2.0126666666666666E-4</v>
      </c>
      <c r="I15" s="55">
        <f>'LUC-2012-08-10-Run3'!AK17</f>
        <v>2.0133333333333334E-4</v>
      </c>
      <c r="J15" s="55">
        <f>'LUC-2012-08-10-Run3'!AL17</f>
        <v>2.0140000000000002E-4</v>
      </c>
      <c r="K15" s="55">
        <f>'LUC-2012-08-10-Run3'!AM17</f>
        <v>2.0146666666666667E-4</v>
      </c>
      <c r="L15" s="55">
        <f>'LUC-2012-08-10-Run3'!AN17</f>
        <v>2.0153333333333334E-4</v>
      </c>
      <c r="M15" s="55">
        <f>'LUC-2012-08-10-Run3'!AO17</f>
        <v>2.0159999999999999E-4</v>
      </c>
      <c r="N15" s="55">
        <f>'LUC-2012-08-10-Run3'!AP17</f>
        <v>2.0166666666666667E-4</v>
      </c>
      <c r="O15" s="55">
        <f>'LUC-2012-08-10-Run3'!AQ17</f>
        <v>2.0173333333333335E-4</v>
      </c>
      <c r="P15" s="55">
        <f>'LUC-2012-08-10-Run3'!AR17</f>
        <v>2.018E-4</v>
      </c>
      <c r="Q15" s="55">
        <f>'LUC-2012-08-10-Run3'!AS17</f>
        <v>2.0186666666666668E-4</v>
      </c>
      <c r="R15" s="55">
        <f>'LUC-2012-08-10-Run3'!AT17</f>
        <v>2.0193333333333333E-4</v>
      </c>
      <c r="S15" s="55">
        <f>'LUC-2012-08-10-Run3'!AU17</f>
        <v>2.02E-4</v>
      </c>
      <c r="T15" s="55">
        <f>'LUC-2012-08-10-Run3'!AV17</f>
        <v>2.0254166666666668E-4</v>
      </c>
      <c r="U15" s="55">
        <f>'LUC-2012-08-10-Run3'!AW17</f>
        <v>2.0308333333333333E-4</v>
      </c>
      <c r="V15" s="55">
        <f>'LUC-2012-08-10-Run3'!AX17</f>
        <v>2.03625E-4</v>
      </c>
      <c r="W15" s="55">
        <f>'LUC-2012-08-10-Run3'!AY17</f>
        <v>2.0416666666666668E-4</v>
      </c>
      <c r="X15" s="55">
        <f>'LUC-2012-08-10-Run3'!AZ17</f>
        <v>2.0470833333333333E-4</v>
      </c>
      <c r="Y15" s="55">
        <f>'LUC-2012-08-10-Run3'!BA17</f>
        <v>2.0525E-4</v>
      </c>
      <c r="Z15" s="55">
        <f>'LUC-2012-08-10-Run3'!BB17</f>
        <v>2.0579166666666668E-4</v>
      </c>
      <c r="AA15" s="55">
        <f>'LUC-2012-08-10-Run3'!BC17</f>
        <v>2.0633333333333333E-4</v>
      </c>
      <c r="AB15" s="55">
        <f>'LUC-2012-08-10-Run3'!BD17</f>
        <v>2.06875E-4</v>
      </c>
      <c r="AC15" s="55">
        <f>'LUC-2012-08-10-Run3'!BE17</f>
        <v>2.0741666666666668E-4</v>
      </c>
      <c r="AD15" s="55">
        <f>'LUC-2012-08-10-Run3'!BF17</f>
        <v>2.0795833333333332E-4</v>
      </c>
      <c r="AE15" s="55">
        <f>'LUC-2012-08-10-Run3'!BG17</f>
        <v>2.085E-4</v>
      </c>
      <c r="AF15" s="55">
        <f>'LUC-2012-08-10-Run3'!BH17</f>
        <v>2.0904166666666667E-4</v>
      </c>
      <c r="AG15" s="55">
        <f>'LUC-2012-08-10-Run3'!BI17</f>
        <v>2.0958333333333332E-4</v>
      </c>
      <c r="AH15" s="55">
        <f>'LUC-2012-08-10-Run3'!BJ17</f>
        <v>2.10125E-4</v>
      </c>
      <c r="AI15" s="55">
        <f>'LUC-2012-08-10-Run3'!BK17</f>
        <v>2.1066666666666667E-4</v>
      </c>
      <c r="AJ15" s="55">
        <f>'LUC-2012-08-10-Run3'!BL17</f>
        <v>2.1120833333333332E-4</v>
      </c>
      <c r="AK15" s="55">
        <f>'LUC-2012-08-10-Run3'!BM17</f>
        <v>2.1175E-4</v>
      </c>
      <c r="AL15" s="55">
        <f>'LUC-2012-08-10-Run3'!BN17</f>
        <v>2.1229166666666667E-4</v>
      </c>
      <c r="AM15" s="55">
        <f>'LUC-2012-08-10-Run3'!BO17</f>
        <v>2.1283333333333332E-4</v>
      </c>
      <c r="AN15" s="55">
        <f>'LUC-2012-08-10-Run3'!BP17</f>
        <v>2.13375E-4</v>
      </c>
      <c r="AO15" s="55">
        <f>'LUC-2012-08-10-Run3'!BQ17</f>
        <v>2.1391666666666667E-4</v>
      </c>
      <c r="AP15" s="55">
        <f>'LUC-2012-08-10-Run3'!BR17</f>
        <v>2.1445833333333332E-4</v>
      </c>
      <c r="AQ15" s="55">
        <f>'LUC-2012-08-10-Run3'!BS17</f>
        <v>2.1499999999999999E-4</v>
      </c>
      <c r="AR15" s="55">
        <f>'LUC-2012-08-10-Run3'!BT17</f>
        <v>2.1535E-4</v>
      </c>
      <c r="AS15" s="55">
        <f>'LUC-2012-08-10-Run3'!BU17</f>
        <v>2.1569999999999998E-4</v>
      </c>
      <c r="AT15" s="55">
        <f>'LUC-2012-08-10-Run3'!BV17</f>
        <v>2.1604999999999999E-4</v>
      </c>
      <c r="AU15" s="55">
        <f>'LUC-2012-08-10-Run3'!BW17</f>
        <v>2.164E-4</v>
      </c>
      <c r="AV15" s="55">
        <f>'LUC-2012-08-10-Run3'!BX17</f>
        <v>2.1674999999999998E-4</v>
      </c>
      <c r="AW15" s="55">
        <f>'LUC-2012-08-10-Run3'!BY17</f>
        <v>2.1709999999999999E-4</v>
      </c>
      <c r="AX15" s="55">
        <f>'LUC-2012-08-10-Run3'!BZ17</f>
        <v>2.1745E-4</v>
      </c>
      <c r="AY15" s="55">
        <f>'LUC-2012-08-10-Run3'!CA17</f>
        <v>2.1780000000000001E-4</v>
      </c>
      <c r="AZ15" s="55">
        <f>'LUC-2012-08-10-Run3'!CB17</f>
        <v>2.1814999999999999E-4</v>
      </c>
      <c r="BA15" s="55">
        <f>'LUC-2012-08-10-Run3'!CC17</f>
        <v>2.185E-4</v>
      </c>
      <c r="BB15" s="55">
        <f>'LUC-2012-08-10-Run3'!CD17</f>
        <v>2.1885000000000001E-4</v>
      </c>
      <c r="BC15" s="55">
        <f>'LUC-2012-08-10-Run3'!CE17</f>
        <v>2.1919999999999999E-4</v>
      </c>
      <c r="BD15" s="55">
        <f>'LUC-2012-08-10-Run3'!CF17</f>
        <v>2.1955E-4</v>
      </c>
      <c r="BE15" s="55">
        <f>'LUC-2012-08-10-Run3'!CG17</f>
        <v>2.1990000000000001E-4</v>
      </c>
      <c r="BF15" s="55">
        <f>'LUC-2012-08-10-Run3'!CH17</f>
        <v>2.2025000000000001E-4</v>
      </c>
      <c r="BG15" s="55">
        <f>'LUC-2012-08-10-Run3'!CI17</f>
        <v>2.206E-4</v>
      </c>
      <c r="BH15" s="55">
        <f>'LUC-2012-08-10-Run3'!CJ17</f>
        <v>2.2095E-4</v>
      </c>
      <c r="BI15" s="55">
        <f>'LUC-2012-08-10-Run3'!CK17</f>
        <v>2.2130000000000001E-4</v>
      </c>
      <c r="BJ15" s="55">
        <f>'LUC-2012-08-10-Run3'!CL17</f>
        <v>2.2164999999999999E-4</v>
      </c>
      <c r="BK15" s="55">
        <f>'LUC-2012-08-10-Run3'!CM17</f>
        <v>2.22E-4</v>
      </c>
      <c r="BM15" s="104"/>
      <c r="BN15" s="57" t="s">
        <v>95</v>
      </c>
      <c r="BO15" s="65">
        <f t="shared" si="7"/>
        <v>31.090007506599417</v>
      </c>
      <c r="BP15" s="65">
        <f t="shared" si="8"/>
        <v>32.23196487380563</v>
      </c>
      <c r="BQ15" s="65">
        <f t="shared" si="9"/>
        <v>33.148742683513476</v>
      </c>
      <c r="BR15" s="65">
        <f t="shared" si="10"/>
        <v>33.481725788588086</v>
      </c>
      <c r="BS15" s="65">
        <f t="shared" si="11"/>
        <v>33.818053748981164</v>
      </c>
      <c r="BT15" s="65">
        <f t="shared" si="12"/>
        <v>34.157760164166447</v>
      </c>
      <c r="BU15" s="65">
        <f t="shared" si="13"/>
        <v>34.500878971128458</v>
      </c>
    </row>
    <row r="16" spans="1:73" x14ac:dyDescent="0.25">
      <c r="A16" s="54" t="s">
        <v>38</v>
      </c>
      <c r="B16" s="54" t="s">
        <v>95</v>
      </c>
      <c r="C16" s="54" t="s">
        <v>92</v>
      </c>
      <c r="D16" s="55">
        <f>'LUC-2012-08-10-Run3'!AF18</f>
        <v>3.1090007506599416E-5</v>
      </c>
      <c r="E16" s="55">
        <f>'LUC-2012-08-10-Run3'!AG18</f>
        <v>3.1214866974497405E-5</v>
      </c>
      <c r="F16" s="55">
        <f>'LUC-2012-08-10-Run3'!AH18</f>
        <v>3.1340227886041568E-5</v>
      </c>
      <c r="G16" s="55">
        <f>'LUC-2012-08-10-Run3'!AI18</f>
        <v>3.1466092255061819E-5</v>
      </c>
      <c r="H16" s="55">
        <f>'LUC-2012-08-10-Run3'!AJ18</f>
        <v>3.1592462103475722E-5</v>
      </c>
      <c r="I16" s="55">
        <f>'LUC-2012-08-10-Run3'!AK18</f>
        <v>3.1719339461321004E-5</v>
      </c>
      <c r="J16" s="55">
        <f>'LUC-2012-08-10-Run3'!AL18</f>
        <v>3.1846726366788155E-5</v>
      </c>
      <c r="K16" s="55">
        <f>'LUC-2012-08-10-Run3'!AM18</f>
        <v>3.1974624866253171E-5</v>
      </c>
      <c r="L16" s="55">
        <f>'LUC-2012-08-10-Run3'!AN18</f>
        <v>3.2103037014310414E-5</v>
      </c>
      <c r="M16" s="55">
        <f>'LUC-2012-08-10-Run3'!AO18</f>
        <v>3.2231964873805633E-5</v>
      </c>
      <c r="N16" s="55">
        <f>'LUC-2012-08-10-Run3'!AP18</f>
        <v>3.2361410515869112E-5</v>
      </c>
      <c r="O16" s="55">
        <f>'LUC-2012-08-10-Run3'!AQ18</f>
        <v>3.2491376019948906E-5</v>
      </c>
      <c r="P16" s="55">
        <f>'LUC-2012-08-10-Run3'!AR18</f>
        <v>3.2621863473844284E-5</v>
      </c>
      <c r="Q16" s="55">
        <f>'LUC-2012-08-10-Run3'!AS18</f>
        <v>3.2752874973739242E-5</v>
      </c>
      <c r="R16" s="55">
        <f>'LUC-2012-08-10-Run3'!AT18</f>
        <v>3.288441262423619E-5</v>
      </c>
      <c r="S16" s="55">
        <f>'LUC-2012-08-10-Run3'!AU18</f>
        <v>3.3016478538389752E-5</v>
      </c>
      <c r="T16" s="55">
        <f>'LUC-2012-08-10-Run3'!AV18</f>
        <v>3.3049495016928139E-5</v>
      </c>
      <c r="U16" s="55">
        <f>'LUC-2012-08-10-Run3'!AW18</f>
        <v>3.3082544511945068E-5</v>
      </c>
      <c r="V16" s="55">
        <f>'LUC-2012-08-10-Run3'!AX18</f>
        <v>3.3115627056457015E-5</v>
      </c>
      <c r="W16" s="55">
        <f>'LUC-2012-08-10-Run3'!AY18</f>
        <v>3.3148742683513472E-5</v>
      </c>
      <c r="X16" s="55">
        <f>'LUC-2012-08-10-Run3'!AZ18</f>
        <v>3.3181891426196984E-5</v>
      </c>
      <c r="Y16" s="55">
        <f>'LUC-2012-08-10-Run3'!BA18</f>
        <v>3.3215073317623179E-5</v>
      </c>
      <c r="Z16" s="55">
        <f>'LUC-2012-08-10-Run3'!BB18</f>
        <v>3.3248288390940805E-5</v>
      </c>
      <c r="AA16" s="55">
        <f>'LUC-2012-08-10-Run3'!BC18</f>
        <v>3.3281536679331748E-5</v>
      </c>
      <c r="AB16" s="55">
        <f>'LUC-2012-08-10-Run3'!BD18</f>
        <v>3.3314818216011078E-5</v>
      </c>
      <c r="AC16" s="55">
        <f>'LUC-2012-08-10-Run3'!BE18</f>
        <v>3.3348133034227087E-5</v>
      </c>
      <c r="AD16" s="55">
        <f>'LUC-2012-08-10-Run3'!BF18</f>
        <v>3.3381481167261313E-5</v>
      </c>
      <c r="AE16" s="55">
        <f>'LUC-2012-08-10-Run3'!BG18</f>
        <v>3.3414862648428577E-5</v>
      </c>
      <c r="AF16" s="55">
        <f>'LUC-2012-08-10-Run3'!BH18</f>
        <v>3.3448277511077007E-5</v>
      </c>
      <c r="AG16" s="55">
        <f>'LUC-2012-08-10-Run3'!BI18</f>
        <v>3.3481725788588084E-5</v>
      </c>
      <c r="AH16" s="55">
        <f>'LUC-2012-08-10-Run3'!BJ18</f>
        <v>3.3515207514376674E-5</v>
      </c>
      <c r="AI16" s="55">
        <f>'LUC-2012-08-10-Run3'!BK18</f>
        <v>3.3548722721891052E-5</v>
      </c>
      <c r="AJ16" s="55">
        <f>'LUC-2012-08-10-Run3'!BL18</f>
        <v>3.3582271444612947E-5</v>
      </c>
      <c r="AK16" s="55">
        <f>'LUC-2012-08-10-Run3'!BM18</f>
        <v>3.361585371605756E-5</v>
      </c>
      <c r="AL16" s="55">
        <f>'LUC-2012-08-10-Run3'!BN18</f>
        <v>3.3649469569773618E-5</v>
      </c>
      <c r="AM16" s="55">
        <f>'LUC-2012-08-10-Run3'!BO18</f>
        <v>3.3683119039343394E-5</v>
      </c>
      <c r="AN16" s="55">
        <f>'LUC-2012-08-10-Run3'!BP18</f>
        <v>3.3716802158382734E-5</v>
      </c>
      <c r="AO16" s="55">
        <f>'LUC-2012-08-10-Run3'!BQ18</f>
        <v>3.3750518960541119E-5</v>
      </c>
      <c r="AP16" s="55">
        <f>'LUC-2012-08-10-Run3'!BR18</f>
        <v>3.3784269479501661E-5</v>
      </c>
      <c r="AQ16" s="55">
        <f>'LUC-2012-08-10-Run3'!BS18</f>
        <v>3.3818053748981164E-5</v>
      </c>
      <c r="AR16" s="55">
        <f>'LUC-2012-08-10-Run3'!BT18</f>
        <v>3.3851871802730143E-5</v>
      </c>
      <c r="AS16" s="55">
        <f>'LUC-2012-08-10-Run3'!BU18</f>
        <v>3.3885723674532874E-5</v>
      </c>
      <c r="AT16" s="55">
        <f>'LUC-2012-08-10-Run3'!BV18</f>
        <v>3.3919609398207405E-5</v>
      </c>
      <c r="AU16" s="55">
        <f>'LUC-2012-08-10-Run3'!BW18</f>
        <v>3.3953529007605609E-5</v>
      </c>
      <c r="AV16" s="55">
        <f>'LUC-2012-08-10-Run3'!BX18</f>
        <v>3.3987482536613218E-5</v>
      </c>
      <c r="AW16" s="55">
        <f>'LUC-2012-08-10-Run3'!BY18</f>
        <v>3.4021470019149833E-5</v>
      </c>
      <c r="AX16" s="55">
        <f>'LUC-2012-08-10-Run3'!BZ18</f>
        <v>3.4055491489168982E-5</v>
      </c>
      <c r="AY16" s="55">
        <f>'LUC-2012-08-10-Run3'!CA18</f>
        <v>3.4089546980658153E-5</v>
      </c>
      <c r="AZ16" s="55">
        <f>'LUC-2012-08-10-Run3'!CB18</f>
        <v>3.412363652763881E-5</v>
      </c>
      <c r="BA16" s="55">
        <f>'LUC-2012-08-10-Run3'!CC18</f>
        <v>3.4157760164166448E-5</v>
      </c>
      <c r="BB16" s="55">
        <f>'LUC-2012-08-10-Run3'!CD18</f>
        <v>3.4191917924330613E-5</v>
      </c>
      <c r="BC16" s="55">
        <f>'LUC-2012-08-10-Run3'!CE18</f>
        <v>3.4226109842254942E-5</v>
      </c>
      <c r="BD16" s="55">
        <f>'LUC-2012-08-10-Run3'!CF18</f>
        <v>3.4260335952097197E-5</v>
      </c>
      <c r="BE16" s="55">
        <f>'LUC-2012-08-10-Run3'!CG18</f>
        <v>3.4294596288049293E-5</v>
      </c>
      <c r="BF16" s="55">
        <f>'LUC-2012-08-10-Run3'!CH18</f>
        <v>3.4328890884337344E-5</v>
      </c>
      <c r="BG16" s="55">
        <f>'LUC-2012-08-10-Run3'!CI18</f>
        <v>3.4363219775221679E-5</v>
      </c>
      <c r="BH16" s="55">
        <f>'LUC-2012-08-10-Run3'!CJ18</f>
        <v>3.4397582994996899E-5</v>
      </c>
      <c r="BI16" s="55">
        <f>'LUC-2012-08-10-Run3'!CK18</f>
        <v>3.4431980577991895E-5</v>
      </c>
      <c r="BJ16" s="55">
        <f>'LUC-2012-08-10-Run3'!CL18</f>
        <v>3.4466412558569886E-5</v>
      </c>
      <c r="BK16" s="55">
        <f>'LUC-2012-08-10-Run3'!CM18</f>
        <v>3.4500878971128458E-5</v>
      </c>
      <c r="BM16" s="104"/>
      <c r="BN16" s="57" t="s">
        <v>98</v>
      </c>
      <c r="BO16" s="65">
        <f t="shared" si="7"/>
        <v>19.058062501626264</v>
      </c>
      <c r="BP16" s="65">
        <f t="shared" si="8"/>
        <v>22.035497545861407</v>
      </c>
      <c r="BQ16" s="65">
        <f t="shared" si="9"/>
        <v>24.961469709568316</v>
      </c>
      <c r="BR16" s="65">
        <f t="shared" si="10"/>
        <v>26.764852736203679</v>
      </c>
      <c r="BS16" s="65">
        <f t="shared" si="11"/>
        <v>28.698524178489087</v>
      </c>
      <c r="BT16" s="65">
        <f t="shared" si="12"/>
        <v>30.771896940395525</v>
      </c>
      <c r="BU16" s="65">
        <f t="shared" si="13"/>
        <v>32.995063976846488</v>
      </c>
    </row>
    <row r="17" spans="1:73" x14ac:dyDescent="0.25">
      <c r="A17" s="54" t="s">
        <v>38</v>
      </c>
      <c r="B17" s="54" t="s">
        <v>98</v>
      </c>
      <c r="C17" s="54" t="s">
        <v>92</v>
      </c>
      <c r="D17" s="55">
        <f>'LUC-2012-08-10-Run3'!AF19</f>
        <v>1.9058062501626263E-5</v>
      </c>
      <c r="E17" s="55">
        <f>'LUC-2012-08-10-Run3'!AG19</f>
        <v>1.9367949696774658E-5</v>
      </c>
      <c r="F17" s="55">
        <f>'LUC-2012-08-10-Run3'!AH19</f>
        <v>1.9682875708104327E-5</v>
      </c>
      <c r="G17" s="55">
        <f>'LUC-2012-08-10-Run3'!AI19</f>
        <v>2.0002922467585699E-5</v>
      </c>
      <c r="H17" s="55">
        <f>'LUC-2012-08-10-Run3'!AJ19</f>
        <v>2.0328173239416362E-5</v>
      </c>
      <c r="I17" s="55">
        <f>'LUC-2012-08-10-Run3'!AK19</f>
        <v>2.0658712641683296E-5</v>
      </c>
      <c r="J17" s="55">
        <f>'LUC-2012-08-10-Run3'!AL19</f>
        <v>2.0994626668377332E-5</v>
      </c>
      <c r="K17" s="55">
        <f>'LUC-2012-08-10-Run3'!AM19</f>
        <v>2.1336002711765583E-5</v>
      </c>
      <c r="L17" s="55">
        <f>'LUC-2012-08-10-Run3'!AN19</f>
        <v>2.1682929585127624E-5</v>
      </c>
      <c r="M17" s="55">
        <f>'LUC-2012-08-10-Run3'!AO19</f>
        <v>2.2035497545861405E-5</v>
      </c>
      <c r="N17" s="55">
        <f>'LUC-2012-08-10-Run3'!AP19</f>
        <v>2.2393798318964842E-5</v>
      </c>
      <c r="O17" s="55">
        <f>'LUC-2012-08-10-Run3'!AQ19</f>
        <v>2.2757925120899231E-5</v>
      </c>
      <c r="P17" s="55">
        <f>'LUC-2012-08-10-Run3'!AR19</f>
        <v>2.3127972683840682E-5</v>
      </c>
      <c r="Q17" s="55">
        <f>'LUC-2012-08-10-Run3'!AS19</f>
        <v>2.3504037280325898E-5</v>
      </c>
      <c r="R17" s="55">
        <f>'LUC-2012-08-10-Run3'!AT19</f>
        <v>2.3886216748298676E-5</v>
      </c>
      <c r="S17" s="55">
        <f>'LUC-2012-08-10-Run3'!AU19</f>
        <v>2.4274610516563694E-5</v>
      </c>
      <c r="T17" s="55">
        <f>'LUC-2012-08-10-Run3'!AV19</f>
        <v>2.4444532790179639E-5</v>
      </c>
      <c r="U17" s="55">
        <f>'LUC-2012-08-10-Run3'!AW19</f>
        <v>2.4615644519710897E-5</v>
      </c>
      <c r="V17" s="55">
        <f>'LUC-2012-08-10-Run3'!AX19</f>
        <v>2.4787954031348874E-5</v>
      </c>
      <c r="W17" s="55">
        <f>'LUC-2012-08-10-Run3'!AY19</f>
        <v>2.4961469709568316E-5</v>
      </c>
      <c r="X17" s="55">
        <f>'LUC-2012-08-10-Run3'!AZ19</f>
        <v>2.5136199997535295E-5</v>
      </c>
      <c r="Y17" s="55">
        <f>'LUC-2012-08-10-Run3'!BA19</f>
        <v>2.5312153397518044E-5</v>
      </c>
      <c r="Z17" s="55">
        <f>'LUC-2012-08-10-Run3'!BB19</f>
        <v>2.5489338471300669E-5</v>
      </c>
      <c r="AA17" s="55">
        <f>'LUC-2012-08-10-Run3'!BC19</f>
        <v>2.5667763840599773E-5</v>
      </c>
      <c r="AB17" s="55">
        <f>'LUC-2012-08-10-Run3'!BD19</f>
        <v>2.5847438187483973E-5</v>
      </c>
      <c r="AC17" s="55">
        <f>'LUC-2012-08-10-Run3'!BE19</f>
        <v>2.6028370254796361E-5</v>
      </c>
      <c r="AD17" s="55">
        <f>'LUC-2012-08-10-Run3'!BF19</f>
        <v>2.6210568846579936E-5</v>
      </c>
      <c r="AE17" s="55">
        <f>'LUC-2012-08-10-Run3'!BG19</f>
        <v>2.6394042828505995E-5</v>
      </c>
      <c r="AF17" s="55">
        <f>'LUC-2012-08-10-Run3'!BH19</f>
        <v>2.6578801128305539E-5</v>
      </c>
      <c r="AG17" s="55">
        <f>'LUC-2012-08-10-Run3'!BI19</f>
        <v>2.6764852736203677E-5</v>
      </c>
      <c r="AH17" s="55">
        <f>'LUC-2012-08-10-Run3'!BJ19</f>
        <v>2.6952206705357104E-5</v>
      </c>
      <c r="AI17" s="55">
        <f>'LUC-2012-08-10-Run3'!BK19</f>
        <v>2.7140872152294603E-5</v>
      </c>
      <c r="AJ17" s="55">
        <f>'LUC-2012-08-10-Run3'!BL19</f>
        <v>2.7330858257360666E-5</v>
      </c>
      <c r="AK17" s="55">
        <f>'LUC-2012-08-10-Run3'!BM19</f>
        <v>2.7522174265162191E-5</v>
      </c>
      <c r="AL17" s="55">
        <f>'LUC-2012-08-10-Run3'!BN19</f>
        <v>2.7714829485018327E-5</v>
      </c>
      <c r="AM17" s="55">
        <f>'LUC-2012-08-10-Run3'!BO19</f>
        <v>2.7908833291413456E-5</v>
      </c>
      <c r="AN17" s="55">
        <f>'LUC-2012-08-10-Run3'!BP19</f>
        <v>2.8104195124453349E-5</v>
      </c>
      <c r="AO17" s="55">
        <f>'LUC-2012-08-10-Run3'!BQ19</f>
        <v>2.8300924490324521E-5</v>
      </c>
      <c r="AP17" s="55">
        <f>'LUC-2012-08-10-Run3'!BR19</f>
        <v>2.8499030961756792E-5</v>
      </c>
      <c r="AQ17" s="55">
        <f>'LUC-2012-08-10-Run3'!BS19</f>
        <v>2.8698524178489089E-5</v>
      </c>
      <c r="AR17" s="55">
        <f>'LUC-2012-08-10-Run3'!BT19</f>
        <v>2.8899413847738511E-5</v>
      </c>
      <c r="AS17" s="55">
        <f>'LUC-2012-08-10-Run3'!BU19</f>
        <v>2.9101709744672679E-5</v>
      </c>
      <c r="AT17" s="55">
        <f>'LUC-2012-08-10-Run3'!BV19</f>
        <v>2.9305421712885388E-5</v>
      </c>
      <c r="AU17" s="55">
        <f>'LUC-2012-08-10-Run3'!BW19</f>
        <v>2.9510559664875587E-5</v>
      </c>
      <c r="AV17" s="55">
        <f>'LUC-2012-08-10-Run3'!BX19</f>
        <v>2.9717133582529715E-5</v>
      </c>
      <c r="AW17" s="55">
        <f>'LUC-2012-08-10-Run3'!BY19</f>
        <v>2.9925153517607422E-5</v>
      </c>
      <c r="AX17" s="55">
        <f>'LUC-2012-08-10-Run3'!BZ19</f>
        <v>3.0134629592230675E-5</v>
      </c>
      <c r="AY17" s="55">
        <f>'LUC-2012-08-10-Run3'!CA19</f>
        <v>3.0345571999376289E-5</v>
      </c>
      <c r="AZ17" s="55">
        <f>'LUC-2012-08-10-Run3'!CB19</f>
        <v>3.0557991003371919E-5</v>
      </c>
      <c r="BA17" s="55">
        <f>'LUC-2012-08-10-Run3'!CC19</f>
        <v>3.0771896940395526E-5</v>
      </c>
      <c r="BB17" s="55">
        <f>'LUC-2012-08-10-Run3'!CD19</f>
        <v>3.0987300218978292E-5</v>
      </c>
      <c r="BC17" s="55">
        <f>'LUC-2012-08-10-Run3'!CE19</f>
        <v>3.120421132051114E-5</v>
      </c>
      <c r="BD17" s="55">
        <f>'LUC-2012-08-10-Run3'!CF19</f>
        <v>3.1422640799754715E-5</v>
      </c>
      <c r="BE17" s="55">
        <f>'LUC-2012-08-10-Run3'!CG19</f>
        <v>3.1642599285352998E-5</v>
      </c>
      <c r="BF17" s="55">
        <f>'LUC-2012-08-10-Run3'!CH19</f>
        <v>3.1864097480350471E-5</v>
      </c>
      <c r="BG17" s="55">
        <f>'LUC-2012-08-10-Run3'!CI19</f>
        <v>3.2087146162712921E-5</v>
      </c>
      <c r="BH17" s="55">
        <f>'LUC-2012-08-10-Run3'!CJ19</f>
        <v>3.2311756185851908E-5</v>
      </c>
      <c r="BI17" s="55">
        <f>'LUC-2012-08-10-Run3'!CK19</f>
        <v>3.2537938479152873E-5</v>
      </c>
      <c r="BJ17" s="55">
        <f>'LUC-2012-08-10-Run3'!CL19</f>
        <v>3.2765704048506942E-5</v>
      </c>
      <c r="BK17" s="55">
        <f>'LUC-2012-08-10-Run3'!CM19</f>
        <v>3.299506397684649E-5</v>
      </c>
      <c r="BM17" s="104"/>
      <c r="BN17" s="57" t="s">
        <v>99</v>
      </c>
      <c r="BO17" s="65">
        <f t="shared" si="7"/>
        <v>37.310549777117387</v>
      </c>
      <c r="BP17" s="65">
        <f t="shared" si="8"/>
        <v>38.001485884101037</v>
      </c>
      <c r="BQ17" s="65">
        <f t="shared" si="9"/>
        <v>39.374177577677813</v>
      </c>
      <c r="BR17" s="65">
        <f t="shared" si="10"/>
        <v>41.654346633313665</v>
      </c>
      <c r="BS17" s="65">
        <f t="shared" si="11"/>
        <v>43.934515688949517</v>
      </c>
      <c r="BT17" s="65">
        <f t="shared" si="12"/>
        <v>43.934515688949517</v>
      </c>
      <c r="BU17" s="65">
        <f t="shared" si="13"/>
        <v>43.934515688949517</v>
      </c>
    </row>
    <row r="18" spans="1:73" x14ac:dyDescent="0.25">
      <c r="A18" s="54" t="s">
        <v>38</v>
      </c>
      <c r="B18" s="54" t="s">
        <v>99</v>
      </c>
      <c r="C18" s="54" t="s">
        <v>92</v>
      </c>
      <c r="D18" s="55">
        <f>'LUC-2012-08-10-Run3'!AF21</f>
        <v>3.7310549777117386E-5</v>
      </c>
      <c r="E18" s="55">
        <f>'LUC-2012-08-10-Run3'!AG21</f>
        <v>3.7387320455671127E-5</v>
      </c>
      <c r="F18" s="55">
        <f>'LUC-2012-08-10-Run3'!AH21</f>
        <v>3.7464091134224867E-5</v>
      </c>
      <c r="G18" s="55">
        <f>'LUC-2012-08-10-Run3'!AI21</f>
        <v>3.7540861812778601E-5</v>
      </c>
      <c r="H18" s="55">
        <f>'LUC-2012-08-10-Run3'!AJ21</f>
        <v>3.7617632491332342E-5</v>
      </c>
      <c r="I18" s="55">
        <f>'LUC-2012-08-10-Run3'!AK21</f>
        <v>3.7694403169886082E-5</v>
      </c>
      <c r="J18" s="55">
        <f>'LUC-2012-08-10-Run3'!AL21</f>
        <v>3.7771173848439823E-5</v>
      </c>
      <c r="K18" s="55">
        <f>'LUC-2012-08-10-Run3'!AM21</f>
        <v>3.7847944526993563E-5</v>
      </c>
      <c r="L18" s="55">
        <f>'LUC-2012-08-10-Run3'!AN21</f>
        <v>3.7924715205547297E-5</v>
      </c>
      <c r="M18" s="55">
        <f>'LUC-2012-08-10-Run3'!AO21</f>
        <v>3.8001485884101038E-5</v>
      </c>
      <c r="N18" s="55">
        <f>'LUC-2012-08-10-Run3'!AP21</f>
        <v>3.8078256562654778E-5</v>
      </c>
      <c r="O18" s="55">
        <f>'LUC-2012-08-10-Run3'!AQ21</f>
        <v>3.8155027241208519E-5</v>
      </c>
      <c r="P18" s="55">
        <f>'LUC-2012-08-10-Run3'!AR21</f>
        <v>3.823179791976226E-5</v>
      </c>
      <c r="Q18" s="55">
        <f>'LUC-2012-08-10-Run3'!AS21</f>
        <v>3.8308568598315993E-5</v>
      </c>
      <c r="R18" s="55">
        <f>'LUC-2012-08-10-Run3'!AT21</f>
        <v>3.8385339276869734E-5</v>
      </c>
      <c r="S18" s="55">
        <f>'LUC-2012-08-10-Run3'!AU21</f>
        <v>3.8462109955423475E-5</v>
      </c>
      <c r="T18" s="55">
        <f>'LUC-2012-08-10-Run3'!AV21</f>
        <v>3.8690126860987058E-5</v>
      </c>
      <c r="U18" s="55">
        <f>'LUC-2012-08-10-Run3'!AW21</f>
        <v>3.8918143766550648E-5</v>
      </c>
      <c r="V18" s="55">
        <f>'LUC-2012-08-10-Run3'!AX21</f>
        <v>3.9146160672114232E-5</v>
      </c>
      <c r="W18" s="55">
        <f>'LUC-2012-08-10-Run3'!AY21</f>
        <v>3.9374177577677815E-5</v>
      </c>
      <c r="X18" s="55">
        <f>'LUC-2012-08-10-Run3'!AZ21</f>
        <v>3.9602194483241399E-5</v>
      </c>
      <c r="Y18" s="55">
        <f>'LUC-2012-08-10-Run3'!BA21</f>
        <v>3.9830211388804982E-5</v>
      </c>
      <c r="Z18" s="55">
        <f>'LUC-2012-08-10-Run3'!BB21</f>
        <v>4.0058228294368573E-5</v>
      </c>
      <c r="AA18" s="55">
        <f>'LUC-2012-08-10-Run3'!BC21</f>
        <v>4.0286245199932156E-5</v>
      </c>
      <c r="AB18" s="55">
        <f>'LUC-2012-08-10-Run3'!BD21</f>
        <v>4.051426210549574E-5</v>
      </c>
      <c r="AC18" s="55">
        <f>'LUC-2012-08-10-Run3'!BE21</f>
        <v>4.074227901105933E-5</v>
      </c>
      <c r="AD18" s="55">
        <f>'LUC-2012-08-10-Run3'!BF21</f>
        <v>4.0970295916622914E-5</v>
      </c>
      <c r="AE18" s="55">
        <f>'LUC-2012-08-10-Run3'!BG21</f>
        <v>4.1198312822186497E-5</v>
      </c>
      <c r="AF18" s="55">
        <f>'LUC-2012-08-10-Run3'!BH21</f>
        <v>4.1426329727750081E-5</v>
      </c>
      <c r="AG18" s="55">
        <f>'LUC-2012-08-10-Run3'!BI21</f>
        <v>4.1654346633313664E-5</v>
      </c>
      <c r="AH18" s="55">
        <f>'LUC-2012-08-10-Run3'!BJ21</f>
        <v>4.1882363538877255E-5</v>
      </c>
      <c r="AI18" s="55">
        <f>'LUC-2012-08-10-Run3'!BK21</f>
        <v>4.2110380444440838E-5</v>
      </c>
      <c r="AJ18" s="55">
        <f>'LUC-2012-08-10-Run3'!BL21</f>
        <v>4.2338397350004422E-5</v>
      </c>
      <c r="AK18" s="55">
        <f>'LUC-2012-08-10-Run3'!BM21</f>
        <v>4.2566414255568012E-5</v>
      </c>
      <c r="AL18" s="55">
        <f>'LUC-2012-08-10-Run3'!BN21</f>
        <v>4.2794431161131595E-5</v>
      </c>
      <c r="AM18" s="55">
        <f>'LUC-2012-08-10-Run3'!BO21</f>
        <v>4.3022448066695179E-5</v>
      </c>
      <c r="AN18" s="55">
        <f>'LUC-2012-08-10-Run3'!BP21</f>
        <v>4.3250464972258763E-5</v>
      </c>
      <c r="AO18" s="55">
        <f>'LUC-2012-08-10-Run3'!BQ21</f>
        <v>4.3478481877822346E-5</v>
      </c>
      <c r="AP18" s="55">
        <f>'LUC-2012-08-10-Run3'!BR21</f>
        <v>4.3706498783385936E-5</v>
      </c>
      <c r="AQ18" s="55">
        <f>'LUC-2012-08-10-Run3'!BS21</f>
        <v>4.393451568894952E-5</v>
      </c>
      <c r="AR18" s="55">
        <f>'LUC-2012-08-10-Run3'!BT21</f>
        <v>4.393451568894952E-5</v>
      </c>
      <c r="AS18" s="55">
        <f>'LUC-2012-08-10-Run3'!BU21</f>
        <v>4.393451568894952E-5</v>
      </c>
      <c r="AT18" s="55">
        <f>'LUC-2012-08-10-Run3'!BV21</f>
        <v>4.393451568894952E-5</v>
      </c>
      <c r="AU18" s="55">
        <f>'LUC-2012-08-10-Run3'!BW21</f>
        <v>4.393451568894952E-5</v>
      </c>
      <c r="AV18" s="55">
        <f>'LUC-2012-08-10-Run3'!BX21</f>
        <v>4.393451568894952E-5</v>
      </c>
      <c r="AW18" s="55">
        <f>'LUC-2012-08-10-Run3'!BY21</f>
        <v>4.393451568894952E-5</v>
      </c>
      <c r="AX18" s="55">
        <f>'LUC-2012-08-10-Run3'!BZ21</f>
        <v>4.393451568894952E-5</v>
      </c>
      <c r="AY18" s="55">
        <f>'LUC-2012-08-10-Run3'!CA21</f>
        <v>4.393451568894952E-5</v>
      </c>
      <c r="AZ18" s="55">
        <f>'LUC-2012-08-10-Run3'!CB21</f>
        <v>4.393451568894952E-5</v>
      </c>
      <c r="BA18" s="55">
        <f>'LUC-2012-08-10-Run3'!CC21</f>
        <v>4.393451568894952E-5</v>
      </c>
      <c r="BB18" s="55">
        <f>'LUC-2012-08-10-Run3'!CD21</f>
        <v>4.393451568894952E-5</v>
      </c>
      <c r="BC18" s="55">
        <f>'LUC-2012-08-10-Run3'!CE21</f>
        <v>4.393451568894952E-5</v>
      </c>
      <c r="BD18" s="55">
        <f>'LUC-2012-08-10-Run3'!CF21</f>
        <v>4.393451568894952E-5</v>
      </c>
      <c r="BE18" s="55">
        <f>'LUC-2012-08-10-Run3'!CG21</f>
        <v>4.393451568894952E-5</v>
      </c>
      <c r="BF18" s="55">
        <f>'LUC-2012-08-10-Run3'!CH21</f>
        <v>4.393451568894952E-5</v>
      </c>
      <c r="BG18" s="55">
        <f>'LUC-2012-08-10-Run3'!CI21</f>
        <v>4.393451568894952E-5</v>
      </c>
      <c r="BH18" s="55">
        <f>'LUC-2012-08-10-Run3'!CJ21</f>
        <v>4.393451568894952E-5</v>
      </c>
      <c r="BI18" s="55">
        <f>'LUC-2012-08-10-Run3'!CK21</f>
        <v>4.393451568894952E-5</v>
      </c>
      <c r="BJ18" s="55">
        <f>'LUC-2012-08-10-Run3'!CL21</f>
        <v>4.393451568894952E-5</v>
      </c>
      <c r="BK18" s="55">
        <f>'LUC-2012-08-10-Run3'!CM21</f>
        <v>4.393451568894952E-5</v>
      </c>
      <c r="BM18" s="104"/>
      <c r="BN18" s="57" t="s">
        <v>100</v>
      </c>
      <c r="BO18" s="65">
        <f t="shared" si="7"/>
        <v>53.438335809806837</v>
      </c>
      <c r="BP18" s="65">
        <f t="shared" si="8"/>
        <v>54.427934621099553</v>
      </c>
      <c r="BQ18" s="65">
        <f t="shared" si="9"/>
        <v>54.39888589099327</v>
      </c>
      <c r="BR18" s="65">
        <f t="shared" si="10"/>
        <v>52.676932713573031</v>
      </c>
      <c r="BS18" s="65">
        <f t="shared" si="11"/>
        <v>50.954979536152791</v>
      </c>
      <c r="BT18" s="65">
        <f t="shared" si="12"/>
        <v>50.954979536152791</v>
      </c>
      <c r="BU18" s="65">
        <f t="shared" si="13"/>
        <v>50.954979536152791</v>
      </c>
    </row>
    <row r="19" spans="1:73" x14ac:dyDescent="0.25">
      <c r="A19" s="54" t="s">
        <v>38</v>
      </c>
      <c r="B19" s="54" t="s">
        <v>100</v>
      </c>
      <c r="C19" s="54" t="s">
        <v>92</v>
      </c>
      <c r="D19" s="55">
        <f>'LUC-2012-08-10-Run3'!AF22</f>
        <v>5.3438335809806834E-5</v>
      </c>
      <c r="E19" s="55">
        <f>'LUC-2012-08-10-Run3'!AG22</f>
        <v>5.3548291233283803E-5</v>
      </c>
      <c r="F19" s="55">
        <f>'LUC-2012-08-10-Run3'!AH22</f>
        <v>5.3658246656760772E-5</v>
      </c>
      <c r="G19" s="55">
        <f>'LUC-2012-08-10-Run3'!AI22</f>
        <v>5.3768202080237741E-5</v>
      </c>
      <c r="H19" s="55">
        <f>'LUC-2012-08-10-Run3'!AJ22</f>
        <v>5.3878157503714709E-5</v>
      </c>
      <c r="I19" s="55">
        <f>'LUC-2012-08-10-Run3'!AK22</f>
        <v>5.3988112927191678E-5</v>
      </c>
      <c r="J19" s="55">
        <f>'LUC-2012-08-10-Run3'!AL22</f>
        <v>5.4098068350668647E-5</v>
      </c>
      <c r="K19" s="55">
        <f>'LUC-2012-08-10-Run3'!AM22</f>
        <v>5.4208023774145616E-5</v>
      </c>
      <c r="L19" s="55">
        <f>'LUC-2012-08-10-Run3'!AN22</f>
        <v>5.4317979197622585E-5</v>
      </c>
      <c r="M19" s="55">
        <f>'LUC-2012-08-10-Run3'!AO22</f>
        <v>5.4427934621099554E-5</v>
      </c>
      <c r="N19" s="55">
        <f>'LUC-2012-08-10-Run3'!AP22</f>
        <v>5.4537890044576523E-5</v>
      </c>
      <c r="O19" s="55">
        <f>'LUC-2012-08-10-Run3'!AQ22</f>
        <v>5.4647845468053492E-5</v>
      </c>
      <c r="P19" s="55">
        <f>'LUC-2012-08-10-Run3'!AR22</f>
        <v>5.4757800891530461E-5</v>
      </c>
      <c r="Q19" s="55">
        <f>'LUC-2012-08-10-Run3'!AS22</f>
        <v>5.4867756315007429E-5</v>
      </c>
      <c r="R19" s="55">
        <f>'LUC-2012-08-10-Run3'!AT22</f>
        <v>5.4977711738484398E-5</v>
      </c>
      <c r="S19" s="55">
        <f>'LUC-2012-08-10-Run3'!AU22</f>
        <v>5.5087667161961367E-5</v>
      </c>
      <c r="T19" s="55">
        <f>'LUC-2012-08-10-Run3'!AV22</f>
        <v>5.4915471844219341E-5</v>
      </c>
      <c r="U19" s="55">
        <f>'LUC-2012-08-10-Run3'!AW22</f>
        <v>5.4743276526477322E-5</v>
      </c>
      <c r="V19" s="55">
        <f>'LUC-2012-08-10-Run3'!AX22</f>
        <v>5.4571081208735296E-5</v>
      </c>
      <c r="W19" s="55">
        <f>'LUC-2012-08-10-Run3'!AY22</f>
        <v>5.439888589099327E-5</v>
      </c>
      <c r="X19" s="55">
        <f>'LUC-2012-08-10-Run3'!AZ22</f>
        <v>5.4226690573251244E-5</v>
      </c>
      <c r="Y19" s="55">
        <f>'LUC-2012-08-10-Run3'!BA22</f>
        <v>5.4054495255509225E-5</v>
      </c>
      <c r="Z19" s="55">
        <f>'LUC-2012-08-10-Run3'!BB22</f>
        <v>5.3882299937767199E-5</v>
      </c>
      <c r="AA19" s="55">
        <f>'LUC-2012-08-10-Run3'!BC22</f>
        <v>5.3710104620025173E-5</v>
      </c>
      <c r="AB19" s="55">
        <f>'LUC-2012-08-10-Run3'!BD22</f>
        <v>5.3537909302283154E-5</v>
      </c>
      <c r="AC19" s="55">
        <f>'LUC-2012-08-10-Run3'!BE22</f>
        <v>5.3365713984541128E-5</v>
      </c>
      <c r="AD19" s="55">
        <f>'LUC-2012-08-10-Run3'!BF22</f>
        <v>5.3193518666799102E-5</v>
      </c>
      <c r="AE19" s="55">
        <f>'LUC-2012-08-10-Run3'!BG22</f>
        <v>5.3021323349057076E-5</v>
      </c>
      <c r="AF19" s="55">
        <f>'LUC-2012-08-10-Run3'!BH22</f>
        <v>5.2849128031315057E-5</v>
      </c>
      <c r="AG19" s="55">
        <f>'LUC-2012-08-10-Run3'!BI22</f>
        <v>5.2676932713573031E-5</v>
      </c>
      <c r="AH19" s="55">
        <f>'LUC-2012-08-10-Run3'!BJ22</f>
        <v>5.2504737395831005E-5</v>
      </c>
      <c r="AI19" s="55">
        <f>'LUC-2012-08-10-Run3'!BK22</f>
        <v>5.2332542078088986E-5</v>
      </c>
      <c r="AJ19" s="55">
        <f>'LUC-2012-08-10-Run3'!BL22</f>
        <v>5.216034676034696E-5</v>
      </c>
      <c r="AK19" s="55">
        <f>'LUC-2012-08-10-Run3'!BM22</f>
        <v>5.1988151442604934E-5</v>
      </c>
      <c r="AL19" s="55">
        <f>'LUC-2012-08-10-Run3'!BN22</f>
        <v>5.1815956124862915E-5</v>
      </c>
      <c r="AM19" s="55">
        <f>'LUC-2012-08-10-Run3'!BO22</f>
        <v>5.1643760807120889E-5</v>
      </c>
      <c r="AN19" s="55">
        <f>'LUC-2012-08-10-Run3'!BP22</f>
        <v>5.1471565489378863E-5</v>
      </c>
      <c r="AO19" s="55">
        <f>'LUC-2012-08-10-Run3'!BQ22</f>
        <v>5.1299370171636837E-5</v>
      </c>
      <c r="AP19" s="55">
        <f>'LUC-2012-08-10-Run3'!BR22</f>
        <v>5.1127174853894818E-5</v>
      </c>
      <c r="AQ19" s="55">
        <f>'LUC-2012-08-10-Run3'!BS22</f>
        <v>5.0954979536152792E-5</v>
      </c>
      <c r="AR19" s="55">
        <f>'LUC-2012-08-10-Run3'!BT22</f>
        <v>5.0954979536152792E-5</v>
      </c>
      <c r="AS19" s="55">
        <f>'LUC-2012-08-10-Run3'!BU22</f>
        <v>5.0954979536152792E-5</v>
      </c>
      <c r="AT19" s="55">
        <f>'LUC-2012-08-10-Run3'!BV22</f>
        <v>5.0954979536152792E-5</v>
      </c>
      <c r="AU19" s="55">
        <f>'LUC-2012-08-10-Run3'!BW22</f>
        <v>5.0954979536152792E-5</v>
      </c>
      <c r="AV19" s="55">
        <f>'LUC-2012-08-10-Run3'!BX22</f>
        <v>5.0954979536152792E-5</v>
      </c>
      <c r="AW19" s="55">
        <f>'LUC-2012-08-10-Run3'!BY22</f>
        <v>5.0954979536152792E-5</v>
      </c>
      <c r="AX19" s="55">
        <f>'LUC-2012-08-10-Run3'!BZ22</f>
        <v>5.0954979536152792E-5</v>
      </c>
      <c r="AY19" s="55">
        <f>'LUC-2012-08-10-Run3'!CA22</f>
        <v>5.0954979536152792E-5</v>
      </c>
      <c r="AZ19" s="55">
        <f>'LUC-2012-08-10-Run3'!CB22</f>
        <v>5.0954979536152792E-5</v>
      </c>
      <c r="BA19" s="55">
        <f>'LUC-2012-08-10-Run3'!CC22</f>
        <v>5.0954979536152792E-5</v>
      </c>
      <c r="BB19" s="55">
        <f>'LUC-2012-08-10-Run3'!CD22</f>
        <v>5.0954979536152792E-5</v>
      </c>
      <c r="BC19" s="55">
        <f>'LUC-2012-08-10-Run3'!CE22</f>
        <v>5.0954979536152792E-5</v>
      </c>
      <c r="BD19" s="55">
        <f>'LUC-2012-08-10-Run3'!CF22</f>
        <v>5.0954979536152792E-5</v>
      </c>
      <c r="BE19" s="55">
        <f>'LUC-2012-08-10-Run3'!CG22</f>
        <v>5.0954979536152792E-5</v>
      </c>
      <c r="BF19" s="55">
        <f>'LUC-2012-08-10-Run3'!CH22</f>
        <v>5.0954979536152792E-5</v>
      </c>
      <c r="BG19" s="55">
        <f>'LUC-2012-08-10-Run3'!CI22</f>
        <v>5.0954979536152792E-5</v>
      </c>
      <c r="BH19" s="55">
        <f>'LUC-2012-08-10-Run3'!CJ22</f>
        <v>5.0954979536152792E-5</v>
      </c>
      <c r="BI19" s="55">
        <f>'LUC-2012-08-10-Run3'!CK22</f>
        <v>5.0954979536152792E-5</v>
      </c>
      <c r="BJ19" s="55">
        <f>'LUC-2012-08-10-Run3'!CL22</f>
        <v>5.0954979536152792E-5</v>
      </c>
      <c r="BK19" s="55">
        <f>'LUC-2012-08-10-Run3'!CM22</f>
        <v>5.0954979536152792E-5</v>
      </c>
      <c r="BM19" s="104"/>
      <c r="BN19" s="57" t="s">
        <v>101</v>
      </c>
      <c r="BO19" s="65">
        <f t="shared" si="7"/>
        <v>38.032689450222882</v>
      </c>
      <c r="BP19" s="65">
        <f t="shared" si="8"/>
        <v>38.736998514115896</v>
      </c>
      <c r="BQ19" s="65">
        <f t="shared" si="9"/>
        <v>38.522501447706539</v>
      </c>
      <c r="BR19" s="65">
        <f t="shared" si="10"/>
        <v>36.812410341861458</v>
      </c>
      <c r="BS19" s="65">
        <f t="shared" si="11"/>
        <v>35.10231923601637</v>
      </c>
      <c r="BT19" s="65">
        <f t="shared" si="12"/>
        <v>35.10231923601637</v>
      </c>
      <c r="BU19" s="65">
        <f t="shared" si="13"/>
        <v>35.10231923601637</v>
      </c>
    </row>
    <row r="20" spans="1:73" x14ac:dyDescent="0.25">
      <c r="A20" s="54" t="s">
        <v>38</v>
      </c>
      <c r="B20" s="54" t="s">
        <v>101</v>
      </c>
      <c r="C20" s="54" t="s">
        <v>92</v>
      </c>
      <c r="D20" s="55">
        <f>'LUC-2012-08-10-Run3'!AF23</f>
        <v>3.8032689450222883E-5</v>
      </c>
      <c r="E20" s="55">
        <f>'LUC-2012-08-10-Run3'!AG23</f>
        <v>3.8110946012877659E-5</v>
      </c>
      <c r="F20" s="55">
        <f>'LUC-2012-08-10-Run3'!AH23</f>
        <v>3.8189202575532442E-5</v>
      </c>
      <c r="G20" s="55">
        <f>'LUC-2012-08-10-Run3'!AI23</f>
        <v>3.8267459138187219E-5</v>
      </c>
      <c r="H20" s="55">
        <f>'LUC-2012-08-10-Run3'!AJ23</f>
        <v>3.8345715700842002E-5</v>
      </c>
      <c r="I20" s="55">
        <f>'LUC-2012-08-10-Run3'!AK23</f>
        <v>3.8423972263496778E-5</v>
      </c>
      <c r="J20" s="55">
        <f>'LUC-2012-08-10-Run3'!AL23</f>
        <v>3.8502228826151561E-5</v>
      </c>
      <c r="K20" s="55">
        <f>'LUC-2012-08-10-Run3'!AM23</f>
        <v>3.8580485388806337E-5</v>
      </c>
      <c r="L20" s="55">
        <f>'LUC-2012-08-10-Run3'!AN23</f>
        <v>3.865874195146112E-5</v>
      </c>
      <c r="M20" s="55">
        <f>'LUC-2012-08-10-Run3'!AO23</f>
        <v>3.8736998514115897E-5</v>
      </c>
      <c r="N20" s="55">
        <f>'LUC-2012-08-10-Run3'!AP23</f>
        <v>3.881525507677068E-5</v>
      </c>
      <c r="O20" s="55">
        <f>'LUC-2012-08-10-Run3'!AQ23</f>
        <v>3.8893511639425456E-5</v>
      </c>
      <c r="P20" s="55">
        <f>'LUC-2012-08-10-Run3'!AR23</f>
        <v>3.8971768202080239E-5</v>
      </c>
      <c r="Q20" s="55">
        <f>'LUC-2012-08-10-Run3'!AS23</f>
        <v>3.9050024764735016E-5</v>
      </c>
      <c r="R20" s="55">
        <f>'LUC-2012-08-10-Run3'!AT23</f>
        <v>3.9128281327389799E-5</v>
      </c>
      <c r="S20" s="55">
        <f>'LUC-2012-08-10-Run3'!AU23</f>
        <v>3.9206537890044575E-5</v>
      </c>
      <c r="T20" s="55">
        <f>'LUC-2012-08-10-Run3'!AV23</f>
        <v>3.9035528779460066E-5</v>
      </c>
      <c r="U20" s="55">
        <f>'LUC-2012-08-10-Run3'!AW23</f>
        <v>3.8864519668875558E-5</v>
      </c>
      <c r="V20" s="55">
        <f>'LUC-2012-08-10-Run3'!AX23</f>
        <v>3.8693510558291049E-5</v>
      </c>
      <c r="W20" s="55">
        <f>'LUC-2012-08-10-Run3'!AY23</f>
        <v>3.8522501447706541E-5</v>
      </c>
      <c r="X20" s="55">
        <f>'LUC-2012-08-10-Run3'!AZ23</f>
        <v>3.8351492337122032E-5</v>
      </c>
      <c r="Y20" s="55">
        <f>'LUC-2012-08-10-Run3'!BA23</f>
        <v>3.8180483226537523E-5</v>
      </c>
      <c r="Z20" s="55">
        <f>'LUC-2012-08-10-Run3'!BB23</f>
        <v>3.8009474115953015E-5</v>
      </c>
      <c r="AA20" s="55">
        <f>'LUC-2012-08-10-Run3'!BC23</f>
        <v>3.7838465005368506E-5</v>
      </c>
      <c r="AB20" s="55">
        <f>'LUC-2012-08-10-Run3'!BD23</f>
        <v>3.7667455894783998E-5</v>
      </c>
      <c r="AC20" s="55">
        <f>'LUC-2012-08-10-Run3'!BE23</f>
        <v>3.7496446784199489E-5</v>
      </c>
      <c r="AD20" s="55">
        <f>'LUC-2012-08-10-Run3'!BF23</f>
        <v>3.7325437673614981E-5</v>
      </c>
      <c r="AE20" s="55">
        <f>'LUC-2012-08-10-Run3'!BG23</f>
        <v>3.7154428563030472E-5</v>
      </c>
      <c r="AF20" s="55">
        <f>'LUC-2012-08-10-Run3'!BH23</f>
        <v>3.6983419452445963E-5</v>
      </c>
      <c r="AG20" s="55">
        <f>'LUC-2012-08-10-Run3'!BI23</f>
        <v>3.6812410341861455E-5</v>
      </c>
      <c r="AH20" s="55">
        <f>'LUC-2012-08-10-Run3'!BJ23</f>
        <v>3.6641401231276946E-5</v>
      </c>
      <c r="AI20" s="55">
        <f>'LUC-2012-08-10-Run3'!BK23</f>
        <v>3.6470392120692438E-5</v>
      </c>
      <c r="AJ20" s="55">
        <f>'LUC-2012-08-10-Run3'!BL23</f>
        <v>3.6299383010107929E-5</v>
      </c>
      <c r="AK20" s="55">
        <f>'LUC-2012-08-10-Run3'!BM23</f>
        <v>3.612837389952342E-5</v>
      </c>
      <c r="AL20" s="55">
        <f>'LUC-2012-08-10-Run3'!BN23</f>
        <v>3.5957364788938912E-5</v>
      </c>
      <c r="AM20" s="55">
        <f>'LUC-2012-08-10-Run3'!BO23</f>
        <v>3.5786355678354403E-5</v>
      </c>
      <c r="AN20" s="55">
        <f>'LUC-2012-08-10-Run3'!BP23</f>
        <v>3.5615346567769895E-5</v>
      </c>
      <c r="AO20" s="55">
        <f>'LUC-2012-08-10-Run3'!BQ23</f>
        <v>3.5444337457185386E-5</v>
      </c>
      <c r="AP20" s="55">
        <f>'LUC-2012-08-10-Run3'!BR23</f>
        <v>3.5273328346600878E-5</v>
      </c>
      <c r="AQ20" s="55">
        <f>'LUC-2012-08-10-Run3'!BS23</f>
        <v>3.5102319236016369E-5</v>
      </c>
      <c r="AR20" s="55">
        <f>'LUC-2012-08-10-Run3'!BT23</f>
        <v>3.5102319236016369E-5</v>
      </c>
      <c r="AS20" s="55">
        <f>'LUC-2012-08-10-Run3'!BU23</f>
        <v>3.5102319236016369E-5</v>
      </c>
      <c r="AT20" s="55">
        <f>'LUC-2012-08-10-Run3'!BV23</f>
        <v>3.5102319236016369E-5</v>
      </c>
      <c r="AU20" s="55">
        <f>'LUC-2012-08-10-Run3'!BW23</f>
        <v>3.5102319236016369E-5</v>
      </c>
      <c r="AV20" s="55">
        <f>'LUC-2012-08-10-Run3'!BX23</f>
        <v>3.5102319236016369E-5</v>
      </c>
      <c r="AW20" s="55">
        <f>'LUC-2012-08-10-Run3'!BY23</f>
        <v>3.5102319236016369E-5</v>
      </c>
      <c r="AX20" s="55">
        <f>'LUC-2012-08-10-Run3'!BZ23</f>
        <v>3.5102319236016369E-5</v>
      </c>
      <c r="AY20" s="55">
        <f>'LUC-2012-08-10-Run3'!CA23</f>
        <v>3.5102319236016369E-5</v>
      </c>
      <c r="AZ20" s="55">
        <f>'LUC-2012-08-10-Run3'!CB23</f>
        <v>3.5102319236016369E-5</v>
      </c>
      <c r="BA20" s="55">
        <f>'LUC-2012-08-10-Run3'!CC23</f>
        <v>3.5102319236016369E-5</v>
      </c>
      <c r="BB20" s="55">
        <f>'LUC-2012-08-10-Run3'!CD23</f>
        <v>3.5102319236016369E-5</v>
      </c>
      <c r="BC20" s="55">
        <f>'LUC-2012-08-10-Run3'!CE23</f>
        <v>3.5102319236016369E-5</v>
      </c>
      <c r="BD20" s="55">
        <f>'LUC-2012-08-10-Run3'!CF23</f>
        <v>3.5102319236016369E-5</v>
      </c>
      <c r="BE20" s="55">
        <f>'LUC-2012-08-10-Run3'!CG23</f>
        <v>3.5102319236016369E-5</v>
      </c>
      <c r="BF20" s="55">
        <f>'LUC-2012-08-10-Run3'!CH23</f>
        <v>3.5102319236016369E-5</v>
      </c>
      <c r="BG20" s="55">
        <f>'LUC-2012-08-10-Run3'!CI23</f>
        <v>3.5102319236016369E-5</v>
      </c>
      <c r="BH20" s="55">
        <f>'LUC-2012-08-10-Run3'!CJ23</f>
        <v>3.5102319236016369E-5</v>
      </c>
      <c r="BI20" s="55">
        <f>'LUC-2012-08-10-Run3'!CK23</f>
        <v>3.5102319236016369E-5</v>
      </c>
      <c r="BJ20" s="55">
        <f>'LUC-2012-08-10-Run3'!CL23</f>
        <v>3.5102319236016369E-5</v>
      </c>
      <c r="BK20" s="55">
        <f>'LUC-2012-08-10-Run3'!CM23</f>
        <v>3.5102319236016369E-5</v>
      </c>
      <c r="BM20" s="104"/>
      <c r="BN20" s="57" t="s">
        <v>111</v>
      </c>
      <c r="BO20" s="65">
        <f t="shared" si="7"/>
        <v>33.2184249628529</v>
      </c>
      <c r="BP20" s="65">
        <f t="shared" si="8"/>
        <v>33.833580980683507</v>
      </c>
      <c r="BQ20" s="65">
        <f t="shared" si="9"/>
        <v>34.5377684169557</v>
      </c>
      <c r="BR20" s="65">
        <f t="shared" si="10"/>
        <v>35.272976977918503</v>
      </c>
      <c r="BS20" s="65">
        <f t="shared" si="11"/>
        <v>36.008185538881307</v>
      </c>
      <c r="BT20" s="65">
        <f t="shared" si="12"/>
        <v>36.008185538881307</v>
      </c>
      <c r="BU20" s="65">
        <f t="shared" si="13"/>
        <v>36.008185538881307</v>
      </c>
    </row>
    <row r="21" spans="1:73" x14ac:dyDescent="0.25">
      <c r="A21" s="54" t="s">
        <v>38</v>
      </c>
      <c r="B21" s="54" t="s">
        <v>111</v>
      </c>
      <c r="C21" s="54" t="s">
        <v>92</v>
      </c>
      <c r="D21" s="55">
        <f>'LUC-2012-08-10-Run3'!AF24</f>
        <v>3.3218424962852898E-5</v>
      </c>
      <c r="E21" s="55">
        <f>'LUC-2012-08-10-Run3'!AG24</f>
        <v>3.3286775631500744E-5</v>
      </c>
      <c r="F21" s="55">
        <f>'LUC-2012-08-10-Run3'!AH24</f>
        <v>3.3355126300148591E-5</v>
      </c>
      <c r="G21" s="55">
        <f>'LUC-2012-08-10-Run3'!AI24</f>
        <v>3.3423476968796431E-5</v>
      </c>
      <c r="H21" s="55">
        <f>'LUC-2012-08-10-Run3'!AJ24</f>
        <v>3.3491827637444278E-5</v>
      </c>
      <c r="I21" s="55">
        <f>'LUC-2012-08-10-Run3'!AK24</f>
        <v>3.3560178306092124E-5</v>
      </c>
      <c r="J21" s="55">
        <f>'LUC-2012-08-10-Run3'!AL24</f>
        <v>3.3628528974739971E-5</v>
      </c>
      <c r="K21" s="55">
        <f>'LUC-2012-08-10-Run3'!AM24</f>
        <v>3.3696879643387817E-5</v>
      </c>
      <c r="L21" s="55">
        <f>'LUC-2012-08-10-Run3'!AN24</f>
        <v>3.3765230312035657E-5</v>
      </c>
      <c r="M21" s="55">
        <f>'LUC-2012-08-10-Run3'!AO24</f>
        <v>3.3833580980683504E-5</v>
      </c>
      <c r="N21" s="55">
        <f>'LUC-2012-08-10-Run3'!AP24</f>
        <v>3.3901931649331351E-5</v>
      </c>
      <c r="O21" s="55">
        <f>'LUC-2012-08-10-Run3'!AQ24</f>
        <v>3.3970282317979197E-5</v>
      </c>
      <c r="P21" s="55">
        <f>'LUC-2012-08-10-Run3'!AR24</f>
        <v>3.4038632986627044E-5</v>
      </c>
      <c r="Q21" s="55">
        <f>'LUC-2012-08-10-Run3'!AS24</f>
        <v>3.4106983655274884E-5</v>
      </c>
      <c r="R21" s="55">
        <f>'LUC-2012-08-10-Run3'!AT24</f>
        <v>3.417533432392273E-5</v>
      </c>
      <c r="S21" s="55">
        <f>'LUC-2012-08-10-Run3'!AU24</f>
        <v>3.4243684992570577E-5</v>
      </c>
      <c r="T21" s="55">
        <f>'LUC-2012-08-10-Run3'!AV24</f>
        <v>3.4317205848666858E-5</v>
      </c>
      <c r="U21" s="55">
        <f>'LUC-2012-08-10-Run3'!AW24</f>
        <v>3.4390726704763139E-5</v>
      </c>
      <c r="V21" s="55">
        <f>'LUC-2012-08-10-Run3'!AX24</f>
        <v>3.446424756085942E-5</v>
      </c>
      <c r="W21" s="55">
        <f>'LUC-2012-08-10-Run3'!AY24</f>
        <v>3.4537768416955701E-5</v>
      </c>
      <c r="X21" s="55">
        <f>'LUC-2012-08-10-Run3'!AZ24</f>
        <v>3.4611289273051982E-5</v>
      </c>
      <c r="Y21" s="55">
        <f>'LUC-2012-08-10-Run3'!BA24</f>
        <v>3.4684810129148263E-5</v>
      </c>
      <c r="Z21" s="55">
        <f>'LUC-2012-08-10-Run3'!BB24</f>
        <v>3.4758330985244537E-5</v>
      </c>
      <c r="AA21" s="55">
        <f>'LUC-2012-08-10-Run3'!BC24</f>
        <v>3.4831851841340818E-5</v>
      </c>
      <c r="AB21" s="55">
        <f>'LUC-2012-08-10-Run3'!BD24</f>
        <v>3.4905372697437099E-5</v>
      </c>
      <c r="AC21" s="55">
        <f>'LUC-2012-08-10-Run3'!BE24</f>
        <v>3.497889355353338E-5</v>
      </c>
      <c r="AD21" s="55">
        <f>'LUC-2012-08-10-Run3'!BF24</f>
        <v>3.5052414409629662E-5</v>
      </c>
      <c r="AE21" s="55">
        <f>'LUC-2012-08-10-Run3'!BG24</f>
        <v>3.5125935265725943E-5</v>
      </c>
      <c r="AF21" s="55">
        <f>'LUC-2012-08-10-Run3'!BH24</f>
        <v>3.5199456121822224E-5</v>
      </c>
      <c r="AG21" s="55">
        <f>'LUC-2012-08-10-Run3'!BI24</f>
        <v>3.5272976977918505E-5</v>
      </c>
      <c r="AH21" s="55">
        <f>'LUC-2012-08-10-Run3'!BJ24</f>
        <v>3.5346497834014786E-5</v>
      </c>
      <c r="AI21" s="55">
        <f>'LUC-2012-08-10-Run3'!BK24</f>
        <v>3.5420018690111067E-5</v>
      </c>
      <c r="AJ21" s="55">
        <f>'LUC-2012-08-10-Run3'!BL24</f>
        <v>3.5493539546207348E-5</v>
      </c>
      <c r="AK21" s="55">
        <f>'LUC-2012-08-10-Run3'!BM24</f>
        <v>3.5567060402303622E-5</v>
      </c>
      <c r="AL21" s="55">
        <f>'LUC-2012-08-10-Run3'!BN24</f>
        <v>3.5640581258399903E-5</v>
      </c>
      <c r="AM21" s="55">
        <f>'LUC-2012-08-10-Run3'!BO24</f>
        <v>3.5714102114496184E-5</v>
      </c>
      <c r="AN21" s="55">
        <f>'LUC-2012-08-10-Run3'!BP24</f>
        <v>3.5787622970592465E-5</v>
      </c>
      <c r="AO21" s="55">
        <f>'LUC-2012-08-10-Run3'!BQ24</f>
        <v>3.5861143826688746E-5</v>
      </c>
      <c r="AP21" s="55">
        <f>'LUC-2012-08-10-Run3'!BR24</f>
        <v>3.5934664682785027E-5</v>
      </c>
      <c r="AQ21" s="55">
        <f>'LUC-2012-08-10-Run3'!BS24</f>
        <v>3.6008185538881308E-5</v>
      </c>
      <c r="AR21" s="55">
        <f>'LUC-2012-08-10-Run3'!BT24</f>
        <v>3.6008185538881308E-5</v>
      </c>
      <c r="AS21" s="55">
        <f>'LUC-2012-08-10-Run3'!BU24</f>
        <v>3.6008185538881308E-5</v>
      </c>
      <c r="AT21" s="55">
        <f>'LUC-2012-08-10-Run3'!BV24</f>
        <v>3.6008185538881308E-5</v>
      </c>
      <c r="AU21" s="55">
        <f>'LUC-2012-08-10-Run3'!BW24</f>
        <v>3.6008185538881308E-5</v>
      </c>
      <c r="AV21" s="55">
        <f>'LUC-2012-08-10-Run3'!BX24</f>
        <v>3.6008185538881308E-5</v>
      </c>
      <c r="AW21" s="55">
        <f>'LUC-2012-08-10-Run3'!BY24</f>
        <v>3.6008185538881308E-5</v>
      </c>
      <c r="AX21" s="55">
        <f>'LUC-2012-08-10-Run3'!BZ24</f>
        <v>3.6008185538881308E-5</v>
      </c>
      <c r="AY21" s="55">
        <f>'LUC-2012-08-10-Run3'!CA24</f>
        <v>3.6008185538881308E-5</v>
      </c>
      <c r="AZ21" s="55">
        <f>'LUC-2012-08-10-Run3'!CB24</f>
        <v>3.6008185538881308E-5</v>
      </c>
      <c r="BA21" s="55">
        <f>'LUC-2012-08-10-Run3'!CC24</f>
        <v>3.6008185538881308E-5</v>
      </c>
      <c r="BB21" s="55">
        <f>'LUC-2012-08-10-Run3'!CD24</f>
        <v>3.6008185538881308E-5</v>
      </c>
      <c r="BC21" s="55">
        <f>'LUC-2012-08-10-Run3'!CE24</f>
        <v>3.6008185538881308E-5</v>
      </c>
      <c r="BD21" s="55">
        <f>'LUC-2012-08-10-Run3'!CF24</f>
        <v>3.6008185538881308E-5</v>
      </c>
      <c r="BE21" s="55">
        <f>'LUC-2012-08-10-Run3'!CG24</f>
        <v>3.6008185538881308E-5</v>
      </c>
      <c r="BF21" s="55">
        <f>'LUC-2012-08-10-Run3'!CH24</f>
        <v>3.6008185538881308E-5</v>
      </c>
      <c r="BG21" s="55">
        <f>'LUC-2012-08-10-Run3'!CI24</f>
        <v>3.6008185538881308E-5</v>
      </c>
      <c r="BH21" s="55">
        <f>'LUC-2012-08-10-Run3'!CJ24</f>
        <v>3.6008185538881308E-5</v>
      </c>
      <c r="BI21" s="55">
        <f>'LUC-2012-08-10-Run3'!CK24</f>
        <v>3.6008185538881308E-5</v>
      </c>
      <c r="BJ21" s="55">
        <f>'LUC-2012-08-10-Run3'!CL24</f>
        <v>3.6008185538881308E-5</v>
      </c>
      <c r="BK21" s="55">
        <f>'LUC-2012-08-10-Run3'!CM24</f>
        <v>3.6008185538881308E-5</v>
      </c>
      <c r="BM21" s="104"/>
      <c r="BN21" s="57" t="s">
        <v>102</v>
      </c>
      <c r="BO21" s="65">
        <f t="shared" si="7"/>
        <v>16</v>
      </c>
      <c r="BP21" s="65">
        <f t="shared" si="8"/>
        <v>17.8</v>
      </c>
      <c r="BQ21" s="65">
        <f t="shared" si="9"/>
        <v>19.166666666666668</v>
      </c>
      <c r="BR21" s="65">
        <f t="shared" si="10"/>
        <v>19.583333333333336</v>
      </c>
      <c r="BS21" s="65">
        <f t="shared" si="11"/>
        <v>20</v>
      </c>
      <c r="BT21" s="65">
        <f t="shared" si="12"/>
        <v>20.5</v>
      </c>
      <c r="BU21" s="65">
        <f t="shared" si="13"/>
        <v>21</v>
      </c>
    </row>
    <row r="22" spans="1:73" x14ac:dyDescent="0.25">
      <c r="A22" s="54" t="s">
        <v>38</v>
      </c>
      <c r="B22" s="54" t="s">
        <v>102</v>
      </c>
      <c r="C22" s="54" t="s">
        <v>92</v>
      </c>
      <c r="D22" s="55">
        <f>'LUC-2012-08-10-Run3'!AF25</f>
        <v>1.5999999999999999E-5</v>
      </c>
      <c r="E22" s="55">
        <f>'LUC-2012-08-10-Run3'!AG25</f>
        <v>1.6200000000000001E-5</v>
      </c>
      <c r="F22" s="55">
        <f>'LUC-2012-08-10-Run3'!AH25</f>
        <v>1.6399999999999999E-5</v>
      </c>
      <c r="G22" s="55">
        <f>'LUC-2012-08-10-Run3'!AI25</f>
        <v>1.66E-5</v>
      </c>
      <c r="H22" s="55">
        <f>'LUC-2012-08-10-Run3'!AJ25</f>
        <v>1.6799999999999998E-5</v>
      </c>
      <c r="I22" s="55">
        <f>'LUC-2012-08-10-Run3'!AK25</f>
        <v>1.7E-5</v>
      </c>
      <c r="J22" s="55">
        <f>'LUC-2012-08-10-Run3'!AL25</f>
        <v>1.7200000000000001E-5</v>
      </c>
      <c r="K22" s="55">
        <f>'LUC-2012-08-10-Run3'!AM25</f>
        <v>1.7399999999999999E-5</v>
      </c>
      <c r="L22" s="55">
        <f>'LUC-2012-08-10-Run3'!AN25</f>
        <v>1.7600000000000001E-5</v>
      </c>
      <c r="M22" s="55">
        <f>'LUC-2012-08-10-Run3'!AO25</f>
        <v>1.7799999999999999E-5</v>
      </c>
      <c r="N22" s="55">
        <f>'LUC-2012-08-10-Run3'!AP25</f>
        <v>1.8E-5</v>
      </c>
      <c r="O22" s="55">
        <f>'LUC-2012-08-10-Run3'!AQ25</f>
        <v>1.8200000000000002E-5</v>
      </c>
      <c r="P22" s="55">
        <f>'LUC-2012-08-10-Run3'!AR25</f>
        <v>1.84E-5</v>
      </c>
      <c r="Q22" s="55">
        <f>'LUC-2012-08-10-Run3'!AS25</f>
        <v>1.8600000000000001E-5</v>
      </c>
      <c r="R22" s="55">
        <f>'LUC-2012-08-10-Run3'!AT25</f>
        <v>1.88E-5</v>
      </c>
      <c r="S22" s="55">
        <f>'LUC-2012-08-10-Run3'!AU25</f>
        <v>1.9000000000000001E-5</v>
      </c>
      <c r="T22" s="55">
        <f>'LUC-2012-08-10-Run3'!AV25</f>
        <v>1.9041666666666668E-5</v>
      </c>
      <c r="U22" s="55">
        <f>'LUC-2012-08-10-Run3'!AW25</f>
        <v>1.9083333333333334E-5</v>
      </c>
      <c r="V22" s="55">
        <f>'LUC-2012-08-10-Run3'!AX25</f>
        <v>1.9125000000000001E-5</v>
      </c>
      <c r="W22" s="55">
        <f>'LUC-2012-08-10-Run3'!AY25</f>
        <v>1.9166666666666667E-5</v>
      </c>
      <c r="X22" s="55">
        <f>'LUC-2012-08-10-Run3'!AZ25</f>
        <v>1.9208333333333334E-5</v>
      </c>
      <c r="Y22" s="55">
        <f>'LUC-2012-08-10-Run3'!BA25</f>
        <v>1.925E-5</v>
      </c>
      <c r="Z22" s="55">
        <f>'LUC-2012-08-10-Run3'!BB25</f>
        <v>1.9291666666666667E-5</v>
      </c>
      <c r="AA22" s="55">
        <f>'LUC-2012-08-10-Run3'!BC25</f>
        <v>1.9333333333333333E-5</v>
      </c>
      <c r="AB22" s="55">
        <f>'LUC-2012-08-10-Run3'!BD25</f>
        <v>1.9375E-5</v>
      </c>
      <c r="AC22" s="55">
        <f>'LUC-2012-08-10-Run3'!BE25</f>
        <v>1.9416666666666667E-5</v>
      </c>
      <c r="AD22" s="55">
        <f>'LUC-2012-08-10-Run3'!BF25</f>
        <v>1.9458333333333333E-5</v>
      </c>
      <c r="AE22" s="55">
        <f>'LUC-2012-08-10-Run3'!BG25</f>
        <v>1.95E-5</v>
      </c>
      <c r="AF22" s="55">
        <f>'LUC-2012-08-10-Run3'!BH25</f>
        <v>1.954166666666667E-5</v>
      </c>
      <c r="AG22" s="55">
        <f>'LUC-2012-08-10-Run3'!BI25</f>
        <v>1.9583333333333336E-5</v>
      </c>
      <c r="AH22" s="55">
        <f>'LUC-2012-08-10-Run3'!BJ25</f>
        <v>1.9625000000000003E-5</v>
      </c>
      <c r="AI22" s="55">
        <f>'LUC-2012-08-10-Run3'!BK25</f>
        <v>1.9666666666666669E-5</v>
      </c>
      <c r="AJ22" s="55">
        <f>'LUC-2012-08-10-Run3'!BL25</f>
        <v>1.9708333333333336E-5</v>
      </c>
      <c r="AK22" s="55">
        <f>'LUC-2012-08-10-Run3'!BM25</f>
        <v>1.9750000000000002E-5</v>
      </c>
      <c r="AL22" s="55">
        <f>'LUC-2012-08-10-Run3'!BN25</f>
        <v>1.9791666666666669E-5</v>
      </c>
      <c r="AM22" s="55">
        <f>'LUC-2012-08-10-Run3'!BO25</f>
        <v>1.9833333333333335E-5</v>
      </c>
      <c r="AN22" s="55">
        <f>'LUC-2012-08-10-Run3'!BP25</f>
        <v>1.9875000000000002E-5</v>
      </c>
      <c r="AO22" s="55">
        <f>'LUC-2012-08-10-Run3'!BQ25</f>
        <v>1.9916666666666669E-5</v>
      </c>
      <c r="AP22" s="55">
        <f>'LUC-2012-08-10-Run3'!BR25</f>
        <v>1.9958333333333335E-5</v>
      </c>
      <c r="AQ22" s="55">
        <f>'LUC-2012-08-10-Run3'!BS25</f>
        <v>2.0000000000000002E-5</v>
      </c>
      <c r="AR22" s="55">
        <f>'LUC-2012-08-10-Run3'!BT25</f>
        <v>2.0050000000000003E-5</v>
      </c>
      <c r="AS22" s="55">
        <f>'LUC-2012-08-10-Run3'!BU25</f>
        <v>2.0100000000000001E-5</v>
      </c>
      <c r="AT22" s="55">
        <f>'LUC-2012-08-10-Run3'!BV25</f>
        <v>2.0150000000000002E-5</v>
      </c>
      <c r="AU22" s="55">
        <f>'LUC-2012-08-10-Run3'!BW25</f>
        <v>2.02E-5</v>
      </c>
      <c r="AV22" s="55">
        <f>'LUC-2012-08-10-Run3'!BX25</f>
        <v>2.0250000000000001E-5</v>
      </c>
      <c r="AW22" s="55">
        <f>'LUC-2012-08-10-Run3'!BY25</f>
        <v>2.0300000000000002E-5</v>
      </c>
      <c r="AX22" s="55">
        <f>'LUC-2012-08-10-Run3'!BZ25</f>
        <v>2.035E-5</v>
      </c>
      <c r="AY22" s="55">
        <f>'LUC-2012-08-10-Run3'!CA25</f>
        <v>2.0400000000000001E-5</v>
      </c>
      <c r="AZ22" s="55">
        <f>'LUC-2012-08-10-Run3'!CB25</f>
        <v>2.0449999999999999E-5</v>
      </c>
      <c r="BA22" s="55">
        <f>'LUC-2012-08-10-Run3'!CC25</f>
        <v>2.05E-5</v>
      </c>
      <c r="BB22" s="55">
        <f>'LUC-2012-08-10-Run3'!CD25</f>
        <v>2.0550000000000001E-5</v>
      </c>
      <c r="BC22" s="55">
        <f>'LUC-2012-08-10-Run3'!CE25</f>
        <v>2.0599999999999999E-5</v>
      </c>
      <c r="BD22" s="55">
        <f>'LUC-2012-08-10-Run3'!CF25</f>
        <v>2.065E-5</v>
      </c>
      <c r="BE22" s="55">
        <f>'LUC-2012-08-10-Run3'!CG25</f>
        <v>2.0699999999999998E-5</v>
      </c>
      <c r="BF22" s="55">
        <f>'LUC-2012-08-10-Run3'!CH25</f>
        <v>2.075E-5</v>
      </c>
      <c r="BG22" s="55">
        <f>'LUC-2012-08-10-Run3'!CI25</f>
        <v>2.0800000000000001E-5</v>
      </c>
      <c r="BH22" s="55">
        <f>'LUC-2012-08-10-Run3'!CJ25</f>
        <v>2.0849999999999999E-5</v>
      </c>
      <c r="BI22" s="55">
        <f>'LUC-2012-08-10-Run3'!CK25</f>
        <v>2.09E-5</v>
      </c>
      <c r="BJ22" s="55">
        <f>'LUC-2012-08-10-Run3'!CL25</f>
        <v>2.0949999999999998E-5</v>
      </c>
      <c r="BK22" s="55">
        <f>'LUC-2012-08-10-Run3'!CM25</f>
        <v>2.0999999999999999E-5</v>
      </c>
      <c r="BM22" s="104"/>
      <c r="BN22" s="57" t="s">
        <v>103</v>
      </c>
      <c r="BO22" s="65">
        <f t="shared" si="7"/>
        <v>36</v>
      </c>
      <c r="BP22" s="65">
        <f t="shared" si="8"/>
        <v>34.799999999999997</v>
      </c>
      <c r="BQ22" s="65">
        <f t="shared" si="9"/>
        <v>33.833333333333336</v>
      </c>
      <c r="BR22" s="65">
        <f t="shared" si="10"/>
        <v>33.416666666666671</v>
      </c>
      <c r="BS22" s="65">
        <f t="shared" si="11"/>
        <v>33</v>
      </c>
      <c r="BT22" s="65">
        <f t="shared" si="12"/>
        <v>33</v>
      </c>
      <c r="BU22" s="65">
        <f t="shared" si="13"/>
        <v>33</v>
      </c>
    </row>
    <row r="23" spans="1:73" x14ac:dyDescent="0.25">
      <c r="A23" s="54" t="s">
        <v>38</v>
      </c>
      <c r="B23" s="54" t="s">
        <v>103</v>
      </c>
      <c r="C23" s="54" t="s">
        <v>92</v>
      </c>
      <c r="D23" s="55">
        <f>'LUC-2012-08-10-Run3'!AF26</f>
        <v>3.6000000000000001E-5</v>
      </c>
      <c r="E23" s="55">
        <f>'LUC-2012-08-10-Run3'!AG26</f>
        <v>3.5866666666666667E-5</v>
      </c>
      <c r="F23" s="55">
        <f>'LUC-2012-08-10-Run3'!AH26</f>
        <v>3.5733333333333332E-5</v>
      </c>
      <c r="G23" s="55">
        <f>'LUC-2012-08-10-Run3'!AI26</f>
        <v>3.5599999999999998E-5</v>
      </c>
      <c r="H23" s="55">
        <f>'LUC-2012-08-10-Run3'!AJ26</f>
        <v>3.546666666666667E-5</v>
      </c>
      <c r="I23" s="55">
        <f>'LUC-2012-08-10-Run3'!AK26</f>
        <v>3.5333333333333336E-5</v>
      </c>
      <c r="J23" s="55">
        <f>'LUC-2012-08-10-Run3'!AL26</f>
        <v>3.5200000000000002E-5</v>
      </c>
      <c r="K23" s="55">
        <f>'LUC-2012-08-10-Run3'!AM26</f>
        <v>3.5066666666666667E-5</v>
      </c>
      <c r="L23" s="55">
        <f>'LUC-2012-08-10-Run3'!AN26</f>
        <v>3.4933333333333333E-5</v>
      </c>
      <c r="M23" s="55">
        <f>'LUC-2012-08-10-Run3'!AO26</f>
        <v>3.4799999999999999E-5</v>
      </c>
      <c r="N23" s="55">
        <f>'LUC-2012-08-10-Run3'!AP26</f>
        <v>3.4666666666666665E-5</v>
      </c>
      <c r="O23" s="55">
        <f>'LUC-2012-08-10-Run3'!AQ26</f>
        <v>3.453333333333333E-5</v>
      </c>
      <c r="P23" s="55">
        <f>'LUC-2012-08-10-Run3'!AR26</f>
        <v>3.4400000000000003E-5</v>
      </c>
      <c r="Q23" s="55">
        <f>'LUC-2012-08-10-Run3'!AS26</f>
        <v>3.4266666666666668E-5</v>
      </c>
      <c r="R23" s="55">
        <f>'LUC-2012-08-10-Run3'!AT26</f>
        <v>3.4133333333333334E-5</v>
      </c>
      <c r="S23" s="55">
        <f>'LUC-2012-08-10-Run3'!AU26</f>
        <v>3.4E-5</v>
      </c>
      <c r="T23" s="55">
        <f>'LUC-2012-08-10-Run3'!AV26</f>
        <v>3.3958333333333337E-5</v>
      </c>
      <c r="U23" s="55">
        <f>'LUC-2012-08-10-Run3'!AW26</f>
        <v>3.3916666666666667E-5</v>
      </c>
      <c r="V23" s="55">
        <f>'LUC-2012-08-10-Run3'!AX26</f>
        <v>3.3874999999999997E-5</v>
      </c>
      <c r="W23" s="55">
        <f>'LUC-2012-08-10-Run3'!AY26</f>
        <v>3.3833333333333334E-5</v>
      </c>
      <c r="X23" s="55">
        <f>'LUC-2012-08-10-Run3'!AZ26</f>
        <v>3.379166666666667E-5</v>
      </c>
      <c r="Y23" s="55">
        <f>'LUC-2012-08-10-Run3'!BA26</f>
        <v>3.375E-5</v>
      </c>
      <c r="Z23" s="55">
        <f>'LUC-2012-08-10-Run3'!BB26</f>
        <v>3.370833333333333E-5</v>
      </c>
      <c r="AA23" s="55">
        <f>'LUC-2012-08-10-Run3'!BC26</f>
        <v>3.3666666666666667E-5</v>
      </c>
      <c r="AB23" s="55">
        <f>'LUC-2012-08-10-Run3'!BD26</f>
        <v>3.3625000000000004E-5</v>
      </c>
      <c r="AC23" s="55">
        <f>'LUC-2012-08-10-Run3'!BE26</f>
        <v>3.3583333333333334E-5</v>
      </c>
      <c r="AD23" s="55">
        <f>'LUC-2012-08-10-Run3'!BF26</f>
        <v>3.3541666666666664E-5</v>
      </c>
      <c r="AE23" s="55">
        <f>'LUC-2012-08-10-Run3'!BG26</f>
        <v>3.3500000000000001E-5</v>
      </c>
      <c r="AF23" s="55">
        <f>'LUC-2012-08-10-Run3'!BH26</f>
        <v>3.3458333333333338E-5</v>
      </c>
      <c r="AG23" s="55">
        <f>'LUC-2012-08-10-Run3'!BI26</f>
        <v>3.3416666666666668E-5</v>
      </c>
      <c r="AH23" s="55">
        <f>'LUC-2012-08-10-Run3'!BJ26</f>
        <v>3.3374999999999998E-5</v>
      </c>
      <c r="AI23" s="55">
        <f>'LUC-2012-08-10-Run3'!BK26</f>
        <v>3.3333333333333335E-5</v>
      </c>
      <c r="AJ23" s="55">
        <f>'LUC-2012-08-10-Run3'!BL26</f>
        <v>3.3291666666666672E-5</v>
      </c>
      <c r="AK23" s="55">
        <f>'LUC-2012-08-10-Run3'!BM26</f>
        <v>3.3250000000000002E-5</v>
      </c>
      <c r="AL23" s="55">
        <f>'LUC-2012-08-10-Run3'!BN26</f>
        <v>3.3208333333333332E-5</v>
      </c>
      <c r="AM23" s="55">
        <f>'LUC-2012-08-10-Run3'!BO26</f>
        <v>3.3166666666666669E-5</v>
      </c>
      <c r="AN23" s="55">
        <f>'LUC-2012-08-10-Run3'!BP26</f>
        <v>3.3125000000000006E-5</v>
      </c>
      <c r="AO23" s="55">
        <f>'LUC-2012-08-10-Run3'!BQ26</f>
        <v>3.3083333333333336E-5</v>
      </c>
      <c r="AP23" s="55">
        <f>'LUC-2012-08-10-Run3'!BR26</f>
        <v>3.3041666666666666E-5</v>
      </c>
      <c r="AQ23" s="55">
        <f>'LUC-2012-08-10-Run3'!BS26</f>
        <v>3.3000000000000003E-5</v>
      </c>
      <c r="AR23" s="55">
        <f>'LUC-2012-08-10-Run3'!BT26</f>
        <v>3.3000000000000003E-5</v>
      </c>
      <c r="AS23" s="55">
        <f>'LUC-2012-08-10-Run3'!BU26</f>
        <v>3.3000000000000003E-5</v>
      </c>
      <c r="AT23" s="55">
        <f>'LUC-2012-08-10-Run3'!BV26</f>
        <v>3.3000000000000003E-5</v>
      </c>
      <c r="AU23" s="55">
        <f>'LUC-2012-08-10-Run3'!BW26</f>
        <v>3.3000000000000003E-5</v>
      </c>
      <c r="AV23" s="55">
        <f>'LUC-2012-08-10-Run3'!BX26</f>
        <v>3.3000000000000003E-5</v>
      </c>
      <c r="AW23" s="55">
        <f>'LUC-2012-08-10-Run3'!BY26</f>
        <v>3.3000000000000003E-5</v>
      </c>
      <c r="AX23" s="55">
        <f>'LUC-2012-08-10-Run3'!BZ26</f>
        <v>3.3000000000000003E-5</v>
      </c>
      <c r="AY23" s="55">
        <f>'LUC-2012-08-10-Run3'!CA26</f>
        <v>3.3000000000000003E-5</v>
      </c>
      <c r="AZ23" s="55">
        <f>'LUC-2012-08-10-Run3'!CB26</f>
        <v>3.3000000000000003E-5</v>
      </c>
      <c r="BA23" s="55">
        <f>'LUC-2012-08-10-Run3'!CC26</f>
        <v>3.3000000000000003E-5</v>
      </c>
      <c r="BB23" s="55">
        <f>'LUC-2012-08-10-Run3'!CD26</f>
        <v>3.3000000000000003E-5</v>
      </c>
      <c r="BC23" s="55">
        <f>'LUC-2012-08-10-Run3'!CE26</f>
        <v>3.3000000000000003E-5</v>
      </c>
      <c r="BD23" s="55">
        <f>'LUC-2012-08-10-Run3'!CF26</f>
        <v>3.3000000000000003E-5</v>
      </c>
      <c r="BE23" s="55">
        <f>'LUC-2012-08-10-Run3'!CG26</f>
        <v>3.3000000000000003E-5</v>
      </c>
      <c r="BF23" s="55">
        <f>'LUC-2012-08-10-Run3'!CH26</f>
        <v>3.3000000000000003E-5</v>
      </c>
      <c r="BG23" s="55">
        <f>'LUC-2012-08-10-Run3'!CI26</f>
        <v>3.3000000000000003E-5</v>
      </c>
      <c r="BH23" s="55">
        <f>'LUC-2012-08-10-Run3'!CJ26</f>
        <v>3.3000000000000003E-5</v>
      </c>
      <c r="BI23" s="55">
        <f>'LUC-2012-08-10-Run3'!CK26</f>
        <v>3.3000000000000003E-5</v>
      </c>
      <c r="BJ23" s="55">
        <f>'LUC-2012-08-10-Run3'!CL26</f>
        <v>3.3000000000000003E-5</v>
      </c>
      <c r="BK23" s="55">
        <f>'LUC-2012-08-10-Run3'!CM26</f>
        <v>3.3000000000000003E-5</v>
      </c>
      <c r="BM23" s="105"/>
      <c r="BN23" s="58" t="s">
        <v>104</v>
      </c>
      <c r="BO23" s="66">
        <f t="shared" si="7"/>
        <v>80.900000000000006</v>
      </c>
      <c r="BP23" s="66">
        <f t="shared" si="8"/>
        <v>80.3</v>
      </c>
      <c r="BQ23" s="66">
        <f t="shared" si="9"/>
        <v>79.463636363636368</v>
      </c>
      <c r="BR23" s="66">
        <f t="shared" si="10"/>
        <v>78.372727272727275</v>
      </c>
      <c r="BS23" s="66">
        <f t="shared" si="11"/>
        <v>76</v>
      </c>
      <c r="BT23" s="66">
        <f t="shared" si="12"/>
        <v>75.55</v>
      </c>
      <c r="BU23" s="66">
        <f t="shared" si="13"/>
        <v>75.099999999999994</v>
      </c>
    </row>
    <row r="24" spans="1:73" x14ac:dyDescent="0.25">
      <c r="A24" s="54" t="s">
        <v>38</v>
      </c>
      <c r="B24" s="54" t="s">
        <v>104</v>
      </c>
      <c r="C24" s="54" t="s">
        <v>92</v>
      </c>
      <c r="D24" s="55">
        <f>'LUC-2012-08-10-Run3'!AF28</f>
        <v>8.0900000000000001E-5</v>
      </c>
      <c r="E24" s="55">
        <f>'LUC-2012-08-10-Run3'!AG28</f>
        <v>8.0833333333333338E-5</v>
      </c>
      <c r="F24" s="55">
        <f>'LUC-2012-08-10-Run3'!AH28</f>
        <v>8.0766666666666674E-5</v>
      </c>
      <c r="G24" s="55">
        <f>'LUC-2012-08-10-Run3'!AI28</f>
        <v>8.0699999999999996E-5</v>
      </c>
      <c r="H24" s="55">
        <f>'LUC-2012-08-10-Run3'!AJ28</f>
        <v>8.0633333333333333E-5</v>
      </c>
      <c r="I24" s="55">
        <f>'LUC-2012-08-10-Run3'!AK28</f>
        <v>8.0566666666666669E-5</v>
      </c>
      <c r="J24" s="55">
        <f>'LUC-2012-08-10-Run3'!AL28</f>
        <v>8.0500000000000005E-5</v>
      </c>
      <c r="K24" s="55">
        <f>'LUC-2012-08-10-Run3'!AM28</f>
        <v>8.0433333333333341E-5</v>
      </c>
      <c r="L24" s="55">
        <f>'LUC-2012-08-10-Run3'!AN28</f>
        <v>8.0366666666666664E-5</v>
      </c>
      <c r="M24" s="55">
        <f>'LUC-2012-08-10-Run3'!AO28</f>
        <v>8.03E-5</v>
      </c>
      <c r="N24" s="55">
        <f>'LUC-2012-08-10-Run3'!AP28</f>
        <v>8.0233333333333337E-5</v>
      </c>
      <c r="O24" s="55">
        <f>'LUC-2012-08-10-Run3'!AQ28</f>
        <v>8.0166666666666673E-5</v>
      </c>
      <c r="P24" s="55">
        <f>'LUC-2012-08-10-Run3'!AR28</f>
        <v>8.0100000000000009E-5</v>
      </c>
      <c r="Q24" s="55">
        <f>'LUC-2012-08-10-Run3'!AS28</f>
        <v>8.0033333333333332E-5</v>
      </c>
      <c r="R24" s="55">
        <f>'LUC-2012-08-10-Run3'!AT28</f>
        <v>7.9966666666666668E-5</v>
      </c>
      <c r="S24" s="55">
        <f>'LUC-2012-08-10-Run3'!AU28</f>
        <v>7.9900000000000004E-5</v>
      </c>
      <c r="T24" s="55">
        <f>'LUC-2012-08-10-Run3'!AV28</f>
        <v>7.9790909090909099E-5</v>
      </c>
      <c r="U24" s="55">
        <f>'LUC-2012-08-10-Run3'!AW28</f>
        <v>7.9681818181818179E-5</v>
      </c>
      <c r="V24" s="55">
        <f>'LUC-2012-08-10-Run3'!AX28</f>
        <v>7.9572727272727274E-5</v>
      </c>
      <c r="W24" s="55">
        <f>'LUC-2012-08-10-Run3'!AY28</f>
        <v>7.9463636363636368E-5</v>
      </c>
      <c r="X24" s="55">
        <f>'LUC-2012-08-10-Run3'!AZ28</f>
        <v>7.9354545454545463E-5</v>
      </c>
      <c r="Y24" s="55">
        <f>'LUC-2012-08-10-Run3'!BA28</f>
        <v>7.9245454545454544E-5</v>
      </c>
      <c r="Z24" s="55">
        <f>'LUC-2012-08-10-Run3'!BB28</f>
        <v>7.9136363636363638E-5</v>
      </c>
      <c r="AA24" s="55">
        <f>'LUC-2012-08-10-Run3'!BC28</f>
        <v>7.9027272727272732E-5</v>
      </c>
      <c r="AB24" s="55">
        <f>'LUC-2012-08-10-Run3'!BD28</f>
        <v>7.8918181818181827E-5</v>
      </c>
      <c r="AC24" s="55">
        <f>'LUC-2012-08-10-Run3'!BE28</f>
        <v>7.8809090909090908E-5</v>
      </c>
      <c r="AD24" s="55">
        <f>'LUC-2012-08-10-Run3'!BF28</f>
        <v>7.8700000000000002E-5</v>
      </c>
      <c r="AE24" s="55">
        <f>'LUC-2012-08-10-Run3'!BG28</f>
        <v>7.8590909090909096E-5</v>
      </c>
      <c r="AF24" s="55">
        <f>'LUC-2012-08-10-Run3'!BH28</f>
        <v>7.8481818181818177E-5</v>
      </c>
      <c r="AG24" s="55">
        <f>'LUC-2012-08-10-Run3'!BI28</f>
        <v>7.8372727272727272E-5</v>
      </c>
      <c r="AH24" s="55">
        <f>'LUC-2012-08-10-Run3'!BJ28</f>
        <v>7.8263636363636366E-5</v>
      </c>
      <c r="AI24" s="55">
        <f>'LUC-2012-08-10-Run3'!BK28</f>
        <v>7.8154545454545461E-5</v>
      </c>
      <c r="AJ24" s="55">
        <f>'LUC-2012-08-10-Run3'!BL28</f>
        <v>7.8045454545454541E-5</v>
      </c>
      <c r="AK24" s="55">
        <f>'LUC-2012-08-10-Run3'!BM28</f>
        <v>7.7936363636363636E-5</v>
      </c>
      <c r="AL24" s="55">
        <f>'LUC-2012-08-10-Run3'!BN28</f>
        <v>7.782727272727273E-5</v>
      </c>
      <c r="AM24" s="55">
        <f>'LUC-2012-08-10-Run3'!BO28</f>
        <v>7.7718181818181825E-5</v>
      </c>
      <c r="AN24" s="55">
        <f>'LUC-2012-08-10-Run3'!BP28</f>
        <v>7.7609090909090906E-5</v>
      </c>
      <c r="AO24" s="55">
        <f>'LUC-2012-08-10-Run3'!BQ28</f>
        <v>7.75E-5</v>
      </c>
      <c r="AP24" s="55">
        <f>'LUC-2012-08-10-Run3'!BR28</f>
        <v>7.7390909090909094E-5</v>
      </c>
      <c r="AQ24" s="55">
        <f>'LUC-2012-08-10-Run3'!BS28</f>
        <v>7.6000000000000004E-5</v>
      </c>
      <c r="AR24" s="55">
        <f>'LUC-2012-08-10-Run3'!BT28</f>
        <v>7.5955E-5</v>
      </c>
      <c r="AS24" s="55">
        <f>'LUC-2012-08-10-Run3'!BU28</f>
        <v>7.5909999999999997E-5</v>
      </c>
      <c r="AT24" s="55">
        <f>'LUC-2012-08-10-Run3'!BV28</f>
        <v>7.5865000000000006E-5</v>
      </c>
      <c r="AU24" s="55">
        <f>'LUC-2012-08-10-Run3'!BW28</f>
        <v>7.5820000000000003E-5</v>
      </c>
      <c r="AV24" s="55">
        <f>'LUC-2012-08-10-Run3'!BX28</f>
        <v>7.5774999999999999E-5</v>
      </c>
      <c r="AW24" s="55">
        <f>'LUC-2012-08-10-Run3'!BY28</f>
        <v>7.5730000000000008E-5</v>
      </c>
      <c r="AX24" s="55">
        <f>'LUC-2012-08-10-Run3'!BZ28</f>
        <v>7.5685000000000005E-5</v>
      </c>
      <c r="AY24" s="55">
        <f>'LUC-2012-08-10-Run3'!CA28</f>
        <v>7.5640000000000001E-5</v>
      </c>
      <c r="AZ24" s="55">
        <f>'LUC-2012-08-10-Run3'!CB28</f>
        <v>7.5594999999999997E-5</v>
      </c>
      <c r="BA24" s="55">
        <f>'LUC-2012-08-10-Run3'!CC28</f>
        <v>7.5549999999999993E-5</v>
      </c>
      <c r="BB24" s="55">
        <f>'LUC-2012-08-10-Run3'!CD28</f>
        <v>7.5505000000000003E-5</v>
      </c>
      <c r="BC24" s="55">
        <f>'LUC-2012-08-10-Run3'!CE28</f>
        <v>7.5459999999999999E-5</v>
      </c>
      <c r="BD24" s="55">
        <f>'LUC-2012-08-10-Run3'!CF28</f>
        <v>7.5414999999999995E-5</v>
      </c>
      <c r="BE24" s="55">
        <f>'LUC-2012-08-10-Run3'!CG28</f>
        <v>7.5370000000000005E-5</v>
      </c>
      <c r="BF24" s="55">
        <f>'LUC-2012-08-10-Run3'!CH28</f>
        <v>7.5325000000000001E-5</v>
      </c>
      <c r="BG24" s="55">
        <f>'LUC-2012-08-10-Run3'!CI28</f>
        <v>7.5279999999999998E-5</v>
      </c>
      <c r="BH24" s="55">
        <f>'LUC-2012-08-10-Run3'!CJ28</f>
        <v>7.5234999999999994E-5</v>
      </c>
      <c r="BI24" s="55">
        <f>'LUC-2012-08-10-Run3'!CK28</f>
        <v>7.518999999999999E-5</v>
      </c>
      <c r="BJ24" s="55">
        <f>'LUC-2012-08-10-Run3'!CL28</f>
        <v>7.5145E-5</v>
      </c>
      <c r="BK24" s="55">
        <f>'LUC-2012-08-10-Run3'!CM28</f>
        <v>7.5099999999999996E-5</v>
      </c>
      <c r="BN24" s="54" t="s">
        <v>112</v>
      </c>
    </row>
    <row r="25" spans="1:73" x14ac:dyDescent="0.25">
      <c r="BM25" s="60" t="s">
        <v>93</v>
      </c>
      <c r="BN25" s="60" t="s">
        <v>94</v>
      </c>
      <c r="BO25" s="60">
        <v>1991</v>
      </c>
      <c r="BP25" s="60">
        <v>2000</v>
      </c>
      <c r="BQ25" s="60">
        <v>2010</v>
      </c>
      <c r="BR25" s="60">
        <v>2020</v>
      </c>
      <c r="BS25" s="60">
        <v>2030</v>
      </c>
      <c r="BT25" s="60">
        <v>2040</v>
      </c>
      <c r="BU25" s="60">
        <v>2050</v>
      </c>
    </row>
    <row r="26" spans="1:73" x14ac:dyDescent="0.25">
      <c r="A26" s="56" t="s">
        <v>71</v>
      </c>
      <c r="B26" s="54" t="s">
        <v>99</v>
      </c>
      <c r="C26" s="56" t="s">
        <v>107</v>
      </c>
      <c r="D26" s="55">
        <f>'LUC-2012-08-10-Run3'!AF30</f>
        <v>2.8586557155908612E-3</v>
      </c>
      <c r="E26" s="55">
        <f>'LUC-2012-08-10-Run3'!AG30</f>
        <v>2.909963886131464E-3</v>
      </c>
      <c r="F26" s="55">
        <f>'LUC-2012-08-10-Run3'!AH30</f>
        <v>2.9612720566720677E-3</v>
      </c>
      <c r="G26" s="55">
        <f>'LUC-2012-08-10-Run3'!AI30</f>
        <v>3.0125802272126705E-3</v>
      </c>
      <c r="H26" s="55">
        <f>'LUC-2012-08-10-Run3'!AJ30</f>
        <v>3.0638883977532742E-3</v>
      </c>
      <c r="I26" s="55">
        <f>'LUC-2012-08-10-Run3'!AK30</f>
        <v>3.1151965682938766E-3</v>
      </c>
      <c r="J26" s="55">
        <f>'LUC-2012-08-10-Run3'!AL30</f>
        <v>3.1665047388344802E-3</v>
      </c>
      <c r="K26" s="55">
        <f>'LUC-2012-08-10-Run3'!AM30</f>
        <v>3.2178129093750835E-3</v>
      </c>
      <c r="L26" s="55">
        <f>'LUC-2012-08-10-Run3'!AN30</f>
        <v>3.2691210799156863E-3</v>
      </c>
      <c r="M26" s="55">
        <f>'LUC-2012-08-10-Run3'!AO30</f>
        <v>3.3204292504562887E-3</v>
      </c>
      <c r="N26" s="55">
        <f>'LUC-2012-08-10-Run3'!AP30</f>
        <v>3.3717374209968911E-3</v>
      </c>
      <c r="O26" s="55">
        <f>'LUC-2012-08-10-Run3'!AQ30</f>
        <v>3.4230455915374956E-3</v>
      </c>
      <c r="P26" s="55">
        <f>'LUC-2012-08-10-Run3'!AR30</f>
        <v>3.474353762078098E-3</v>
      </c>
      <c r="Q26" s="55">
        <f>'LUC-2012-08-10-Run3'!AS30</f>
        <v>3.5256619326187004E-3</v>
      </c>
      <c r="R26" s="55">
        <f>'LUC-2012-08-10-Run3'!AT30</f>
        <v>3.5769701031593041E-3</v>
      </c>
      <c r="S26" s="55">
        <f>'LUC-2012-08-10-Run3'!AU30</f>
        <v>3.6282782736999073E-3</v>
      </c>
      <c r="T26" s="55">
        <f>'LUC-2012-08-10-Run3'!AV30</f>
        <v>3.6601435786098075E-3</v>
      </c>
      <c r="U26" s="55">
        <f>'LUC-2012-08-10-Run3'!AW30</f>
        <v>3.6920088835197063E-3</v>
      </c>
      <c r="V26" s="55">
        <f>'LUC-2012-08-10-Run3'!AX30</f>
        <v>3.7238741884296055E-3</v>
      </c>
      <c r="W26" s="55">
        <f>'LUC-2012-08-10-Run3'!AY30</f>
        <v>3.7557394933395052E-3</v>
      </c>
      <c r="X26" s="55">
        <f>'LUC-2012-08-10-Run3'!AZ30</f>
        <v>3.7876047982494045E-3</v>
      </c>
      <c r="Y26" s="55">
        <f>'LUC-2012-08-10-Run3'!BA30</f>
        <v>3.8194701031593042E-3</v>
      </c>
      <c r="Z26" s="55">
        <f>'LUC-2012-08-10-Run3'!BB30</f>
        <v>3.8513354080692043E-3</v>
      </c>
      <c r="AA26" s="55">
        <f>'LUC-2012-08-10-Run3'!BC30</f>
        <v>3.8832007129791031E-3</v>
      </c>
      <c r="AB26" s="55">
        <f>'LUC-2012-08-10-Run3'!BD30</f>
        <v>3.9150660178890037E-3</v>
      </c>
      <c r="AC26" s="55">
        <f>'LUC-2012-08-10-Run3'!BE30</f>
        <v>3.9469313227989029E-3</v>
      </c>
      <c r="AD26" s="55">
        <f>'LUC-2012-08-10-Run3'!BF30</f>
        <v>3.9787966277088022E-3</v>
      </c>
      <c r="AE26" s="55">
        <f>'LUC-2012-08-10-Run3'!BG30</f>
        <v>4.0106619326187015E-3</v>
      </c>
      <c r="AF26" s="55">
        <f>'LUC-2012-08-10-Run3'!BH30</f>
        <v>4.0425272375286016E-3</v>
      </c>
      <c r="AG26" s="55">
        <f>'LUC-2012-08-10-Run3'!BI30</f>
        <v>4.0743925424385008E-3</v>
      </c>
      <c r="AH26" s="55">
        <f>'LUC-2012-08-10-Run3'!BJ30</f>
        <v>4.1062578473483992E-3</v>
      </c>
      <c r="AI26" s="55">
        <f>'LUC-2012-08-10-Run3'!BK30</f>
        <v>4.1381231522582993E-3</v>
      </c>
      <c r="AJ26" s="55">
        <f>'LUC-2012-08-10-Run3'!BL30</f>
        <v>4.1699884571681986E-3</v>
      </c>
      <c r="AK26" s="55">
        <f>'LUC-2012-08-10-Run3'!BM30</f>
        <v>4.2018537620780979E-3</v>
      </c>
      <c r="AL26" s="55">
        <f>'LUC-2012-08-10-Run3'!BN30</f>
        <v>4.233719066987998E-3</v>
      </c>
      <c r="AM26" s="55">
        <f>'LUC-2012-08-10-Run3'!BO30</f>
        <v>4.2655843718978972E-3</v>
      </c>
      <c r="AN26" s="55">
        <f>'LUC-2012-08-10-Run3'!BP30</f>
        <v>4.2974496768077956E-3</v>
      </c>
      <c r="AO26" s="55">
        <f>'LUC-2012-08-10-Run3'!BQ30</f>
        <v>4.3293149817176958E-3</v>
      </c>
      <c r="AP26" s="55">
        <f>'LUC-2012-08-10-Run3'!BR30</f>
        <v>4.3611802866275959E-3</v>
      </c>
      <c r="AQ26" s="55">
        <f>'LUC-2012-08-10-Run3'!BS30</f>
        <v>4.3930455915374969E-3</v>
      </c>
      <c r="AR26" s="55">
        <f>'LUC-2012-08-10-Run3'!BT30</f>
        <v>4.4249108964473944E-3</v>
      </c>
      <c r="AS26" s="55">
        <f>'LUC-2012-08-10-Run3'!BU30</f>
        <v>4.4567762013572945E-3</v>
      </c>
      <c r="AT26" s="55">
        <f>'LUC-2012-08-10-Run3'!BV30</f>
        <v>4.4886415062671938E-3</v>
      </c>
      <c r="AU26" s="55">
        <f>'LUC-2012-08-10-Run3'!BW30</f>
        <v>4.520506811177093E-3</v>
      </c>
      <c r="AV26" s="55">
        <f>'LUC-2012-08-10-Run3'!BX30</f>
        <v>4.5523721160869923E-3</v>
      </c>
      <c r="AW26" s="55">
        <f>'LUC-2012-08-10-Run3'!BY30</f>
        <v>4.5842374209968924E-3</v>
      </c>
      <c r="AX26" s="55">
        <f>'LUC-2012-08-10-Run3'!BZ30</f>
        <v>4.6161027259067908E-3</v>
      </c>
      <c r="AY26" s="55">
        <f>'LUC-2012-08-10-Run3'!CA30</f>
        <v>4.6479680308166918E-3</v>
      </c>
      <c r="AZ26" s="55">
        <f>'LUC-2012-08-10-Run3'!CB30</f>
        <v>4.6798333357265902E-3</v>
      </c>
      <c r="BA26" s="55">
        <f>'LUC-2012-08-10-Run3'!CC30</f>
        <v>4.7116986406364903E-3</v>
      </c>
      <c r="BB26" s="55">
        <f>'LUC-2012-08-10-Run3'!CD30</f>
        <v>4.7435639455463896E-3</v>
      </c>
      <c r="BC26" s="55">
        <f>'LUC-2012-08-10-Run3'!CE30</f>
        <v>4.7754292504562897E-3</v>
      </c>
      <c r="BD26" s="55">
        <f>'LUC-2012-08-10-Run3'!CF30</f>
        <v>4.8072945553661881E-3</v>
      </c>
      <c r="BE26" s="55">
        <f>'LUC-2012-08-10-Run3'!CG30</f>
        <v>4.8391598602760891E-3</v>
      </c>
      <c r="BF26" s="55">
        <f>'LUC-2012-08-10-Run3'!CH30</f>
        <v>4.8710251651859866E-3</v>
      </c>
      <c r="BG26" s="55">
        <f>'LUC-2012-08-10-Run3'!CI30</f>
        <v>4.9028904700958876E-3</v>
      </c>
      <c r="BH26" s="55">
        <f>'LUC-2012-08-10-Run3'!CJ30</f>
        <v>4.9347557750057851E-3</v>
      </c>
      <c r="BI26" s="55">
        <f>'LUC-2012-08-10-Run3'!CK30</f>
        <v>4.9666210799156861E-3</v>
      </c>
      <c r="BJ26" s="55">
        <f>'LUC-2012-08-10-Run3'!CL30</f>
        <v>4.9984863848255862E-3</v>
      </c>
      <c r="BK26" s="55">
        <f>'LUC-2012-08-10-Run3'!CM30</f>
        <v>5.0303516897354846E-3</v>
      </c>
      <c r="BM26" s="103" t="s">
        <v>71</v>
      </c>
      <c r="BN26" s="59" t="s">
        <v>99</v>
      </c>
      <c r="BO26" s="85">
        <f t="shared" ref="BO26:BO32" si="14">D26*1000</f>
        <v>2.8586557155908614</v>
      </c>
      <c r="BP26" s="85">
        <f t="shared" ref="BP26:BP32" si="15">M26*1000</f>
        <v>3.3204292504562889</v>
      </c>
      <c r="BQ26" s="85">
        <f t="shared" ref="BQ26:BQ32" si="16">W26*1000</f>
        <v>3.7557394933395054</v>
      </c>
      <c r="BR26" s="85">
        <f t="shared" ref="BR26:BR32" si="17">AG26*1000</f>
        <v>4.0743925424385008</v>
      </c>
      <c r="BS26" s="85">
        <f t="shared" ref="BS26:BS32" si="18">AQ26*1000</f>
        <v>4.3930455915374971</v>
      </c>
      <c r="BT26" s="85">
        <f t="shared" ref="BT26:BT32" si="19">BA26*1000</f>
        <v>4.7116986406364907</v>
      </c>
      <c r="BU26" s="85">
        <f t="shared" ref="BU26:BU32" si="20">BK26*1000</f>
        <v>5.0303516897354843</v>
      </c>
    </row>
    <row r="27" spans="1:73" x14ac:dyDescent="0.25">
      <c r="A27" s="56" t="s">
        <v>71</v>
      </c>
      <c r="B27" s="54" t="s">
        <v>100</v>
      </c>
      <c r="C27" s="56" t="s">
        <v>107</v>
      </c>
      <c r="D27" s="55">
        <f>'LUC-2012-08-10-Run3'!AF31</f>
        <v>2.21991625074704E-3</v>
      </c>
      <c r="E27" s="55">
        <f>'LUC-2012-08-10-Run3'!AG31</f>
        <v>2.2566263371078163E-3</v>
      </c>
      <c r="F27" s="55">
        <f>'LUC-2012-08-10-Run3'!AH31</f>
        <v>2.2933364234685931E-3</v>
      </c>
      <c r="G27" s="55">
        <f>'LUC-2012-08-10-Run3'!AI31</f>
        <v>2.3300465098293689E-3</v>
      </c>
      <c r="H27" s="55">
        <f>'LUC-2012-08-10-Run3'!AJ31</f>
        <v>2.3667565961901457E-3</v>
      </c>
      <c r="I27" s="55">
        <f>'LUC-2012-08-10-Run3'!AK31</f>
        <v>2.403466682550922E-3</v>
      </c>
      <c r="J27" s="55">
        <f>'LUC-2012-08-10-Run3'!AL31</f>
        <v>2.4401767689116983E-3</v>
      </c>
      <c r="K27" s="55">
        <f>'LUC-2012-08-10-Run3'!AM31</f>
        <v>2.4768868552724754E-3</v>
      </c>
      <c r="L27" s="55">
        <f>'LUC-2012-08-10-Run3'!AN31</f>
        <v>2.5135969416332517E-3</v>
      </c>
      <c r="M27" s="55">
        <f>'LUC-2012-08-10-Run3'!AO31</f>
        <v>2.5503070279940276E-3</v>
      </c>
      <c r="N27" s="55">
        <f>'LUC-2012-08-10-Run3'!AP31</f>
        <v>2.5870171143548043E-3</v>
      </c>
      <c r="O27" s="55">
        <f>'LUC-2012-08-10-Run3'!AQ31</f>
        <v>2.6237272007155811E-3</v>
      </c>
      <c r="P27" s="55">
        <f>'LUC-2012-08-10-Run3'!AR31</f>
        <v>2.6604372870763569E-3</v>
      </c>
      <c r="Q27" s="55">
        <f>'LUC-2012-08-10-Run3'!AS31</f>
        <v>2.6971473734371336E-3</v>
      </c>
      <c r="R27" s="55">
        <f>'LUC-2012-08-10-Run3'!AT31</f>
        <v>2.7338574597979095E-3</v>
      </c>
      <c r="S27" s="55">
        <f>'LUC-2012-08-10-Run3'!AU31</f>
        <v>2.7705675461586858E-3</v>
      </c>
      <c r="T27" s="55">
        <f>'LUC-2012-08-10-Run3'!AV31</f>
        <v>2.7941732069956472E-3</v>
      </c>
      <c r="U27" s="55">
        <f>'LUC-2012-08-10-Run3'!AW31</f>
        <v>2.8177788678326082E-3</v>
      </c>
      <c r="V27" s="55">
        <f>'LUC-2012-08-10-Run3'!AX31</f>
        <v>2.8413845286695688E-3</v>
      </c>
      <c r="W27" s="55">
        <f>'LUC-2012-08-10-Run3'!AY31</f>
        <v>2.8649901895065294E-3</v>
      </c>
      <c r="X27" s="55">
        <f>'LUC-2012-08-10-Run3'!AZ31</f>
        <v>2.8885958503434904E-3</v>
      </c>
      <c r="Y27" s="55">
        <f>'LUC-2012-08-10-Run3'!BA31</f>
        <v>2.9122015111804514E-3</v>
      </c>
      <c r="Z27" s="55">
        <f>'LUC-2012-08-10-Run3'!BB31</f>
        <v>2.9358071720174115E-3</v>
      </c>
      <c r="AA27" s="55">
        <f>'LUC-2012-08-10-Run3'!BC31</f>
        <v>2.9594128328543738E-3</v>
      </c>
      <c r="AB27" s="55">
        <f>'LUC-2012-08-10-Run3'!BD31</f>
        <v>2.9830184936913344E-3</v>
      </c>
      <c r="AC27" s="55">
        <f>'LUC-2012-08-10-Run3'!BE31</f>
        <v>3.0066241545282949E-3</v>
      </c>
      <c r="AD27" s="55">
        <f>'LUC-2012-08-10-Run3'!BF31</f>
        <v>3.030229815365256E-3</v>
      </c>
      <c r="AE27" s="55">
        <f>'LUC-2012-08-10-Run3'!BG31</f>
        <v>3.0538354762022174E-3</v>
      </c>
      <c r="AF27" s="55">
        <f>'LUC-2012-08-10-Run3'!BH31</f>
        <v>3.0774411370391771E-3</v>
      </c>
      <c r="AG27" s="55">
        <f>'LUC-2012-08-10-Run3'!BI31</f>
        <v>3.1010467978761381E-3</v>
      </c>
      <c r="AH27" s="55">
        <f>'LUC-2012-08-10-Run3'!BJ31</f>
        <v>3.1246524587130987E-3</v>
      </c>
      <c r="AI27" s="55">
        <f>'LUC-2012-08-10-Run3'!BK31</f>
        <v>3.1482581195500597E-3</v>
      </c>
      <c r="AJ27" s="55">
        <f>'LUC-2012-08-10-Run3'!BL31</f>
        <v>3.1718637803870211E-3</v>
      </c>
      <c r="AK27" s="55">
        <f>'LUC-2012-08-10-Run3'!BM31</f>
        <v>3.1954694412239821E-3</v>
      </c>
      <c r="AL27" s="55">
        <f>'LUC-2012-08-10-Run3'!BN31</f>
        <v>3.2190751020609435E-3</v>
      </c>
      <c r="AM27" s="55">
        <f>'LUC-2012-08-10-Run3'!BO31</f>
        <v>3.2426807628979037E-3</v>
      </c>
      <c r="AN27" s="55">
        <f>'LUC-2012-08-10-Run3'!BP31</f>
        <v>3.2662864237348651E-3</v>
      </c>
      <c r="AO27" s="55">
        <f>'LUC-2012-08-10-Run3'!BQ31</f>
        <v>3.2898920845718252E-3</v>
      </c>
      <c r="AP27" s="55">
        <f>'LUC-2012-08-10-Run3'!BR31</f>
        <v>3.3134977454087858E-3</v>
      </c>
      <c r="AQ27" s="55">
        <f>'LUC-2012-08-10-Run3'!BS31</f>
        <v>3.3371034062457468E-3</v>
      </c>
      <c r="AR27" s="55">
        <f>'LUC-2012-08-10-Run3'!BT31</f>
        <v>3.3607090670827078E-3</v>
      </c>
      <c r="AS27" s="55">
        <f>'LUC-2012-08-10-Run3'!BU31</f>
        <v>3.3843147279196684E-3</v>
      </c>
      <c r="AT27" s="55">
        <f>'LUC-2012-08-10-Run3'!BV31</f>
        <v>3.4079203887566302E-3</v>
      </c>
      <c r="AU27" s="55">
        <f>'LUC-2012-08-10-Run3'!BW31</f>
        <v>3.4315260495935899E-3</v>
      </c>
      <c r="AV27" s="55">
        <f>'LUC-2012-08-10-Run3'!BX31</f>
        <v>3.4551317104305514E-3</v>
      </c>
      <c r="AW27" s="55">
        <f>'LUC-2012-08-10-Run3'!BY31</f>
        <v>3.4787373712675128E-3</v>
      </c>
      <c r="AX27" s="55">
        <f>'LUC-2012-08-10-Run3'!BZ31</f>
        <v>3.5023430321044729E-3</v>
      </c>
      <c r="AY27" s="55">
        <f>'LUC-2012-08-10-Run3'!CA31</f>
        <v>3.5259486929414339E-3</v>
      </c>
      <c r="AZ27" s="55">
        <f>'LUC-2012-08-10-Run3'!CB31</f>
        <v>3.5495543537783945E-3</v>
      </c>
      <c r="BA27" s="55">
        <f>'LUC-2012-08-10-Run3'!CC31</f>
        <v>3.5731600146153551E-3</v>
      </c>
      <c r="BB27" s="55">
        <f>'LUC-2012-08-10-Run3'!CD31</f>
        <v>3.5967656754523165E-3</v>
      </c>
      <c r="BC27" s="55">
        <f>'LUC-2012-08-10-Run3'!CE31</f>
        <v>3.6203713362892771E-3</v>
      </c>
      <c r="BD27" s="55">
        <f>'LUC-2012-08-10-Run3'!CF31</f>
        <v>3.6439769971262381E-3</v>
      </c>
      <c r="BE27" s="55">
        <f>'LUC-2012-08-10-Run3'!CG31</f>
        <v>3.6675826579631995E-3</v>
      </c>
      <c r="BF27" s="55">
        <f>'LUC-2012-08-10-Run3'!CH31</f>
        <v>3.6911883188001609E-3</v>
      </c>
      <c r="BG27" s="55">
        <f>'LUC-2012-08-10-Run3'!CI31</f>
        <v>3.7147939796371206E-3</v>
      </c>
      <c r="BH27" s="55">
        <f>'LUC-2012-08-10-Run3'!CJ31</f>
        <v>3.7383996404740821E-3</v>
      </c>
      <c r="BI27" s="55">
        <f>'LUC-2012-08-10-Run3'!CK31</f>
        <v>3.7620053013110422E-3</v>
      </c>
      <c r="BJ27" s="55">
        <f>'LUC-2012-08-10-Run3'!CL31</f>
        <v>3.7856109621480032E-3</v>
      </c>
      <c r="BK27" s="55">
        <f>'LUC-2012-08-10-Run3'!CM31</f>
        <v>3.8092166229849646E-3</v>
      </c>
      <c r="BM27" s="104"/>
      <c r="BN27" s="57" t="s">
        <v>100</v>
      </c>
      <c r="BO27" s="83">
        <f t="shared" si="14"/>
        <v>2.21991625074704</v>
      </c>
      <c r="BP27" s="83">
        <f t="shared" si="15"/>
        <v>2.5503070279940276</v>
      </c>
      <c r="BQ27" s="83">
        <f t="shared" si="16"/>
        <v>2.8649901895065293</v>
      </c>
      <c r="BR27" s="83">
        <f t="shared" si="17"/>
        <v>3.1010467978761382</v>
      </c>
      <c r="BS27" s="83">
        <f t="shared" si="18"/>
        <v>3.3371034062457468</v>
      </c>
      <c r="BT27" s="83">
        <f t="shared" si="19"/>
        <v>3.5731600146153553</v>
      </c>
      <c r="BU27" s="83">
        <f t="shared" si="20"/>
        <v>3.8092166229849647</v>
      </c>
    </row>
    <row r="28" spans="1:73" x14ac:dyDescent="0.25">
      <c r="A28" s="56" t="s">
        <v>71</v>
      </c>
      <c r="B28" s="54" t="s">
        <v>101</v>
      </c>
      <c r="C28" s="56" t="s">
        <v>107</v>
      </c>
      <c r="D28" s="55">
        <f>'LUC-2012-08-10-Run3'!AF32</f>
        <v>3.2695631189309741E-3</v>
      </c>
      <c r="E28" s="55">
        <f>'LUC-2012-08-10-Run3'!AG32</f>
        <v>3.3190680876783053E-3</v>
      </c>
      <c r="F28" s="55">
        <f>'LUC-2012-08-10-Run3'!AH32</f>
        <v>3.3685730564256351E-3</v>
      </c>
      <c r="G28" s="55">
        <f>'LUC-2012-08-10-Run3'!AI32</f>
        <v>3.4180780251729654E-3</v>
      </c>
      <c r="H28" s="55">
        <f>'LUC-2012-08-10-Run3'!AJ32</f>
        <v>3.4675829939202975E-3</v>
      </c>
      <c r="I28" s="55">
        <f>'LUC-2012-08-10-Run3'!AK32</f>
        <v>3.5170879626676278E-3</v>
      </c>
      <c r="J28" s="55">
        <f>'LUC-2012-08-10-Run3'!AL32</f>
        <v>3.566592931414959E-3</v>
      </c>
      <c r="K28" s="55">
        <f>'LUC-2012-08-10-Run3'!AM32</f>
        <v>3.6160979001622893E-3</v>
      </c>
      <c r="L28" s="55">
        <f>'LUC-2012-08-10-Run3'!AN32</f>
        <v>3.66560286890962E-3</v>
      </c>
      <c r="M28" s="55">
        <f>'LUC-2012-08-10-Run3'!AO32</f>
        <v>3.7151078376569512E-3</v>
      </c>
      <c r="N28" s="55">
        <f>'LUC-2012-08-10-Run3'!AP32</f>
        <v>3.764612806404282E-3</v>
      </c>
      <c r="O28" s="55">
        <f>'LUC-2012-08-10-Run3'!AQ32</f>
        <v>3.8141177751516123E-3</v>
      </c>
      <c r="P28" s="55">
        <f>'LUC-2012-08-10-Run3'!AR32</f>
        <v>3.8636227438989435E-3</v>
      </c>
      <c r="Q28" s="55">
        <f>'LUC-2012-08-10-Run3'!AS32</f>
        <v>3.9131277126462733E-3</v>
      </c>
      <c r="R28" s="55">
        <f>'LUC-2012-08-10-Run3'!AT32</f>
        <v>3.9626326813936045E-3</v>
      </c>
      <c r="S28" s="55">
        <f>'LUC-2012-08-10-Run3'!AU32</f>
        <v>4.0121376501409357E-3</v>
      </c>
      <c r="T28" s="55">
        <f>'LUC-2012-08-10-Run3'!AV32</f>
        <v>4.0409850921853223E-3</v>
      </c>
      <c r="U28" s="55">
        <f>'LUC-2012-08-10-Run3'!AW32</f>
        <v>4.0698325342297097E-3</v>
      </c>
      <c r="V28" s="55">
        <f>'LUC-2012-08-10-Run3'!AX32</f>
        <v>4.0986799762740963E-3</v>
      </c>
      <c r="W28" s="55">
        <f>'LUC-2012-08-10-Run3'!AY32</f>
        <v>4.127527418318482E-3</v>
      </c>
      <c r="X28" s="55">
        <f>'LUC-2012-08-10-Run3'!AZ32</f>
        <v>4.1563748603628704E-3</v>
      </c>
      <c r="Y28" s="55">
        <f>'LUC-2012-08-10-Run3'!BA32</f>
        <v>4.1852223024072561E-3</v>
      </c>
      <c r="Z28" s="55">
        <f>'LUC-2012-08-10-Run3'!BB32</f>
        <v>4.2140697444516435E-3</v>
      </c>
      <c r="AA28" s="55">
        <f>'LUC-2012-08-10-Run3'!BC32</f>
        <v>4.2429171864960301E-3</v>
      </c>
      <c r="AB28" s="55">
        <f>'LUC-2012-08-10-Run3'!BD32</f>
        <v>4.2717646285404158E-3</v>
      </c>
      <c r="AC28" s="55">
        <f>'LUC-2012-08-10-Run3'!BE32</f>
        <v>4.3006120705848042E-3</v>
      </c>
      <c r="AD28" s="55">
        <f>'LUC-2012-08-10-Run3'!BF32</f>
        <v>4.3294595126291899E-3</v>
      </c>
      <c r="AE28" s="55">
        <f>'LUC-2012-08-10-Run3'!BG32</f>
        <v>4.3583069546735782E-3</v>
      </c>
      <c r="AF28" s="55">
        <f>'LUC-2012-08-10-Run3'!BH32</f>
        <v>4.3871543967179639E-3</v>
      </c>
      <c r="AG28" s="55">
        <f>'LUC-2012-08-10-Run3'!BI32</f>
        <v>4.4160018387623514E-3</v>
      </c>
      <c r="AH28" s="55">
        <f>'LUC-2012-08-10-Run3'!BJ32</f>
        <v>4.444849280806738E-3</v>
      </c>
      <c r="AI28" s="55">
        <f>'LUC-2012-08-10-Run3'!BK32</f>
        <v>4.4736967228511245E-3</v>
      </c>
      <c r="AJ28" s="55">
        <f>'LUC-2012-08-10-Run3'!BL32</f>
        <v>4.5025441648955111E-3</v>
      </c>
      <c r="AK28" s="55">
        <f>'LUC-2012-08-10-Run3'!BM32</f>
        <v>4.5313916069398994E-3</v>
      </c>
      <c r="AL28" s="55">
        <f>'LUC-2012-08-10-Run3'!BN32</f>
        <v>4.5602390489842852E-3</v>
      </c>
      <c r="AM28" s="55">
        <f>'LUC-2012-08-10-Run3'!BO32</f>
        <v>4.5890864910286726E-3</v>
      </c>
      <c r="AN28" s="55">
        <f>'LUC-2012-08-10-Run3'!BP32</f>
        <v>4.6179339330730601E-3</v>
      </c>
      <c r="AO28" s="55">
        <f>'LUC-2012-08-10-Run3'!BQ32</f>
        <v>4.6467813751174458E-3</v>
      </c>
      <c r="AP28" s="55">
        <f>'LUC-2012-08-10-Run3'!BR32</f>
        <v>4.6756288171618332E-3</v>
      </c>
      <c r="AQ28" s="55">
        <f>'LUC-2012-08-10-Run3'!BS32</f>
        <v>4.7044762592062198E-3</v>
      </c>
      <c r="AR28" s="55">
        <f>'LUC-2012-08-10-Run3'!BT32</f>
        <v>4.7333237012506073E-3</v>
      </c>
      <c r="AS28" s="55">
        <f>'LUC-2012-08-10-Run3'!BU32</f>
        <v>4.762171143294993E-3</v>
      </c>
      <c r="AT28" s="55">
        <f>'LUC-2012-08-10-Run3'!BV32</f>
        <v>4.7910185853393805E-3</v>
      </c>
      <c r="AU28" s="55">
        <f>'LUC-2012-08-10-Run3'!BW32</f>
        <v>4.8198660273837679E-3</v>
      </c>
      <c r="AV28" s="55">
        <f>'LUC-2012-08-10-Run3'!BX32</f>
        <v>4.8487134694281545E-3</v>
      </c>
      <c r="AW28" s="55">
        <f>'LUC-2012-08-10-Run3'!BY32</f>
        <v>4.8775609114725419E-3</v>
      </c>
      <c r="AX28" s="55">
        <f>'LUC-2012-08-10-Run3'!BZ32</f>
        <v>4.9064083535169277E-3</v>
      </c>
      <c r="AY28" s="55">
        <f>'LUC-2012-08-10-Run3'!CA32</f>
        <v>4.9352557955613151E-3</v>
      </c>
      <c r="AZ28" s="55">
        <f>'LUC-2012-08-10-Run3'!CB32</f>
        <v>4.9641032376057017E-3</v>
      </c>
      <c r="BA28" s="55">
        <f>'LUC-2012-08-10-Run3'!CC32</f>
        <v>4.9929506796500883E-3</v>
      </c>
      <c r="BB28" s="55">
        <f>'LUC-2012-08-10-Run3'!CD32</f>
        <v>5.0217981216944757E-3</v>
      </c>
      <c r="BC28" s="55">
        <f>'LUC-2012-08-10-Run3'!CE32</f>
        <v>5.0506455637388623E-3</v>
      </c>
      <c r="BD28" s="55">
        <f>'LUC-2012-08-10-Run3'!CF32</f>
        <v>5.0794930057832489E-3</v>
      </c>
      <c r="BE28" s="55">
        <f>'LUC-2012-08-10-Run3'!CG32</f>
        <v>5.1083404478276355E-3</v>
      </c>
      <c r="BF28" s="55">
        <f>'LUC-2012-08-10-Run3'!CH32</f>
        <v>5.1371878898720212E-3</v>
      </c>
      <c r="BG28" s="55">
        <f>'LUC-2012-08-10-Run3'!CI32</f>
        <v>5.1660353319164087E-3</v>
      </c>
      <c r="BH28" s="55">
        <f>'LUC-2012-08-10-Run3'!CJ32</f>
        <v>5.1948827739607961E-3</v>
      </c>
      <c r="BI28" s="55">
        <f>'LUC-2012-08-10-Run3'!CK32</f>
        <v>5.2237302160051836E-3</v>
      </c>
      <c r="BJ28" s="55">
        <f>'LUC-2012-08-10-Run3'!CL32</f>
        <v>5.252577658049571E-3</v>
      </c>
      <c r="BK28" s="55">
        <f>'LUC-2012-08-10-Run3'!CM32</f>
        <v>5.2814251000939559E-3</v>
      </c>
      <c r="BM28" s="104"/>
      <c r="BN28" s="57" t="s">
        <v>101</v>
      </c>
      <c r="BO28" s="83">
        <f t="shared" si="14"/>
        <v>3.2695631189309742</v>
      </c>
      <c r="BP28" s="83">
        <f t="shared" si="15"/>
        <v>3.7151078376569511</v>
      </c>
      <c r="BQ28" s="83">
        <f t="shared" si="16"/>
        <v>4.1275274183184818</v>
      </c>
      <c r="BR28" s="83">
        <f t="shared" si="17"/>
        <v>4.4160018387623516</v>
      </c>
      <c r="BS28" s="83">
        <f t="shared" si="18"/>
        <v>4.7044762592062197</v>
      </c>
      <c r="BT28" s="83">
        <f t="shared" si="19"/>
        <v>4.9929506796500887</v>
      </c>
      <c r="BU28" s="83">
        <f t="shared" si="20"/>
        <v>5.2814251000939558</v>
      </c>
    </row>
    <row r="29" spans="1:73" x14ac:dyDescent="0.25">
      <c r="A29" s="56" t="s">
        <v>71</v>
      </c>
      <c r="B29" s="54" t="s">
        <v>111</v>
      </c>
      <c r="C29" s="56" t="s">
        <v>107</v>
      </c>
      <c r="D29" s="55">
        <f>'LUC-2012-08-10-Run3'!AF33</f>
        <v>1.4251346260975677E-3</v>
      </c>
      <c r="E29" s="55">
        <f>'LUC-2012-08-10-Run3'!AG33</f>
        <v>1.4394010133432365E-3</v>
      </c>
      <c r="F29" s="55">
        <f>'LUC-2012-08-10-Run3'!AH33</f>
        <v>1.4536674005889065E-3</v>
      </c>
      <c r="G29" s="55">
        <f>'LUC-2012-08-10-Run3'!AI33</f>
        <v>1.4679337878345756E-3</v>
      </c>
      <c r="H29" s="55">
        <f>'LUC-2012-08-10-Run3'!AJ33</f>
        <v>1.4822001750802451E-3</v>
      </c>
      <c r="I29" s="55">
        <f>'LUC-2012-08-10-Run3'!AK33</f>
        <v>1.4964665623259147E-3</v>
      </c>
      <c r="J29" s="55">
        <f>'LUC-2012-08-10-Run3'!AL33</f>
        <v>1.5107329495715842E-3</v>
      </c>
      <c r="K29" s="55">
        <f>'LUC-2012-08-10-Run3'!AM33</f>
        <v>1.5249993368172535E-3</v>
      </c>
      <c r="L29" s="55">
        <f>'LUC-2012-08-10-Run3'!AN33</f>
        <v>1.5392657240629226E-3</v>
      </c>
      <c r="M29" s="55">
        <f>'LUC-2012-08-10-Run3'!AO33</f>
        <v>1.5535321113085924E-3</v>
      </c>
      <c r="N29" s="55">
        <f>'LUC-2012-08-10-Run3'!AP33</f>
        <v>1.5677984985542617E-3</v>
      </c>
      <c r="O29" s="55">
        <f>'LUC-2012-08-10-Run3'!AQ33</f>
        <v>1.5820648857999312E-3</v>
      </c>
      <c r="P29" s="55">
        <f>'LUC-2012-08-10-Run3'!AR33</f>
        <v>1.5963312730456008E-3</v>
      </c>
      <c r="Q29" s="55">
        <f>'LUC-2012-08-10-Run3'!AS33</f>
        <v>1.6105976602912699E-3</v>
      </c>
      <c r="R29" s="55">
        <f>'LUC-2012-08-10-Run3'!AT33</f>
        <v>1.6248640475369394E-3</v>
      </c>
      <c r="S29" s="55">
        <f>'LUC-2012-08-10-Run3'!AU33</f>
        <v>1.6391304347826087E-3</v>
      </c>
      <c r="T29" s="55">
        <f>'LUC-2012-08-10-Run3'!AV33</f>
        <v>1.6512056578914661E-3</v>
      </c>
      <c r="U29" s="55">
        <f>'LUC-2012-08-10-Run3'!AW33</f>
        <v>1.6632808810003231E-3</v>
      </c>
      <c r="V29" s="55">
        <f>'LUC-2012-08-10-Run3'!AX33</f>
        <v>1.6753561041091803E-3</v>
      </c>
      <c r="W29" s="55">
        <f>'LUC-2012-08-10-Run3'!AY33</f>
        <v>1.6874313272180379E-3</v>
      </c>
      <c r="X29" s="55">
        <f>'LUC-2012-08-10-Run3'!AZ33</f>
        <v>1.6995065503268951E-3</v>
      </c>
      <c r="Y29" s="55">
        <f>'LUC-2012-08-10-Run3'!BA33</f>
        <v>1.7115817734357521E-3</v>
      </c>
      <c r="Z29" s="55">
        <f>'LUC-2012-08-10-Run3'!BB33</f>
        <v>1.7236569965446093E-3</v>
      </c>
      <c r="AA29" s="55">
        <f>'LUC-2012-08-10-Run3'!BC33</f>
        <v>1.7357322196534667E-3</v>
      </c>
      <c r="AB29" s="55">
        <f>'LUC-2012-08-10-Run3'!BD33</f>
        <v>1.7478074427623236E-3</v>
      </c>
      <c r="AC29" s="55">
        <f>'LUC-2012-08-10-Run3'!BE33</f>
        <v>1.759882665871181E-3</v>
      </c>
      <c r="AD29" s="55">
        <f>'LUC-2012-08-10-Run3'!BF33</f>
        <v>1.7719578889800382E-3</v>
      </c>
      <c r="AE29" s="55">
        <f>'LUC-2012-08-10-Run3'!BG33</f>
        <v>1.7840331120888959E-3</v>
      </c>
      <c r="AF29" s="55">
        <f>'LUC-2012-08-10-Run3'!BH33</f>
        <v>1.7961083351977531E-3</v>
      </c>
      <c r="AG29" s="55">
        <f>'LUC-2012-08-10-Run3'!BI33</f>
        <v>1.8081835583066094E-3</v>
      </c>
      <c r="AH29" s="55">
        <f>'LUC-2012-08-10-Run3'!BJ33</f>
        <v>1.8202587814154672E-3</v>
      </c>
      <c r="AI29" s="55">
        <f>'LUC-2012-08-10-Run3'!BK33</f>
        <v>1.8323340045243244E-3</v>
      </c>
      <c r="AJ29" s="55">
        <f>'LUC-2012-08-10-Run3'!BL33</f>
        <v>1.844409227633182E-3</v>
      </c>
      <c r="AK29" s="55">
        <f>'LUC-2012-08-10-Run3'!BM33</f>
        <v>1.8564844507420388E-3</v>
      </c>
      <c r="AL29" s="55">
        <f>'LUC-2012-08-10-Run3'!BN33</f>
        <v>1.8685596738508962E-3</v>
      </c>
      <c r="AM29" s="55">
        <f>'LUC-2012-08-10-Run3'!BO33</f>
        <v>1.8806348969597534E-3</v>
      </c>
      <c r="AN29" s="55">
        <f>'LUC-2012-08-10-Run3'!BP33</f>
        <v>1.8927101200686108E-3</v>
      </c>
      <c r="AO29" s="55">
        <f>'LUC-2012-08-10-Run3'!BQ33</f>
        <v>1.9047853431774678E-3</v>
      </c>
      <c r="AP29" s="55">
        <f>'LUC-2012-08-10-Run3'!BR33</f>
        <v>1.9168605662863256E-3</v>
      </c>
      <c r="AQ29" s="55">
        <f>'LUC-2012-08-10-Run3'!BS33</f>
        <v>1.9289357893951824E-3</v>
      </c>
      <c r="AR29" s="55">
        <f>'LUC-2012-08-10-Run3'!BT33</f>
        <v>1.9410110125040402E-3</v>
      </c>
      <c r="AS29" s="55">
        <f>'LUC-2012-08-10-Run3'!BU33</f>
        <v>1.9530862356128972E-3</v>
      </c>
      <c r="AT29" s="55">
        <f>'LUC-2012-08-10-Run3'!BV33</f>
        <v>1.9651614587217541E-3</v>
      </c>
      <c r="AU29" s="55">
        <f>'LUC-2012-08-10-Run3'!BW33</f>
        <v>1.9772366818306113E-3</v>
      </c>
      <c r="AV29" s="55">
        <f>'LUC-2012-08-10-Run3'!BX33</f>
        <v>1.989311904939469E-3</v>
      </c>
      <c r="AW29" s="55">
        <f>'LUC-2012-08-10-Run3'!BY33</f>
        <v>2.0013871280483257E-3</v>
      </c>
      <c r="AX29" s="55">
        <f>'LUC-2012-08-10-Run3'!BZ33</f>
        <v>2.0134623511571829E-3</v>
      </c>
      <c r="AY29" s="55">
        <f>'LUC-2012-08-10-Run3'!CA33</f>
        <v>2.0255375742660405E-3</v>
      </c>
      <c r="AZ29" s="55">
        <f>'LUC-2012-08-10-Run3'!CB33</f>
        <v>2.0376127973748973E-3</v>
      </c>
      <c r="BA29" s="55">
        <f>'LUC-2012-08-10-Run3'!CC33</f>
        <v>2.0496880204837549E-3</v>
      </c>
      <c r="BB29" s="55">
        <f>'LUC-2012-08-10-Run3'!CD33</f>
        <v>2.0617632435926121E-3</v>
      </c>
      <c r="BC29" s="55">
        <f>'LUC-2012-08-10-Run3'!CE33</f>
        <v>2.0738384667014697E-3</v>
      </c>
      <c r="BD29" s="55">
        <f>'LUC-2012-08-10-Run3'!CF33</f>
        <v>2.0859136898103261E-3</v>
      </c>
      <c r="BE29" s="55">
        <f>'LUC-2012-08-10-Run3'!CG33</f>
        <v>2.0979889129191837E-3</v>
      </c>
      <c r="BF29" s="55">
        <f>'LUC-2012-08-10-Run3'!CH33</f>
        <v>2.1100641360280409E-3</v>
      </c>
      <c r="BG29" s="55">
        <f>'LUC-2012-08-10-Run3'!CI33</f>
        <v>2.1221393591368985E-3</v>
      </c>
      <c r="BH29" s="55">
        <f>'LUC-2012-08-10-Run3'!CJ33</f>
        <v>2.1342145822457557E-3</v>
      </c>
      <c r="BI29" s="55">
        <f>'LUC-2012-08-10-Run3'!CK33</f>
        <v>2.1462898053546129E-3</v>
      </c>
      <c r="BJ29" s="55">
        <f>'LUC-2012-08-10-Run3'!CL33</f>
        <v>2.1583650284634701E-3</v>
      </c>
      <c r="BK29" s="55">
        <f>'LUC-2012-08-10-Run3'!CM33</f>
        <v>2.1704402515723277E-3</v>
      </c>
      <c r="BM29" s="104"/>
      <c r="BN29" s="57" t="s">
        <v>111</v>
      </c>
      <c r="BO29" s="83">
        <f t="shared" si="14"/>
        <v>1.4251346260975677</v>
      </c>
      <c r="BP29" s="83">
        <f t="shared" si="15"/>
        <v>1.5535321113085925</v>
      </c>
      <c r="BQ29" s="83">
        <f t="shared" si="16"/>
        <v>1.6874313272180379</v>
      </c>
      <c r="BR29" s="83">
        <f t="shared" si="17"/>
        <v>1.8081835583066095</v>
      </c>
      <c r="BS29" s="83">
        <f t="shared" si="18"/>
        <v>1.9289357893951824</v>
      </c>
      <c r="BT29" s="83">
        <f t="shared" si="19"/>
        <v>2.0496880204837549</v>
      </c>
      <c r="BU29" s="83">
        <f t="shared" si="20"/>
        <v>2.1704402515723276</v>
      </c>
    </row>
    <row r="30" spans="1:73" x14ac:dyDescent="0.25">
      <c r="A30" s="56" t="s">
        <v>71</v>
      </c>
      <c r="B30" s="54" t="s">
        <v>102</v>
      </c>
      <c r="C30" s="56" t="s">
        <v>107</v>
      </c>
      <c r="D30" s="55">
        <f>'LUC-2012-08-10-Run3'!AF34</f>
        <v>1.6577549140049134E-3</v>
      </c>
      <c r="E30" s="55">
        <f>'LUC-2012-08-10-Run3'!AG34</f>
        <v>1.6804361179361179E-3</v>
      </c>
      <c r="F30" s="55">
        <f>'LUC-2012-08-10-Run3'!AH34</f>
        <v>1.7031173218673219E-3</v>
      </c>
      <c r="G30" s="55">
        <f>'LUC-2012-08-10-Run3'!AI34</f>
        <v>1.7257985257985258E-3</v>
      </c>
      <c r="H30" s="55">
        <f>'LUC-2012-08-10-Run3'!AJ34</f>
        <v>1.7484797297297294E-3</v>
      </c>
      <c r="I30" s="55">
        <f>'LUC-2012-08-10-Run3'!AK34</f>
        <v>1.7711609336609332E-3</v>
      </c>
      <c r="J30" s="55">
        <f>'LUC-2012-08-10-Run3'!AL34</f>
        <v>1.7938421375921377E-3</v>
      </c>
      <c r="K30" s="55">
        <f>'LUC-2012-08-10-Run3'!AM34</f>
        <v>1.8165233415233415E-3</v>
      </c>
      <c r="L30" s="55">
        <f>'LUC-2012-08-10-Run3'!AN34</f>
        <v>1.8392045454545453E-3</v>
      </c>
      <c r="M30" s="55">
        <f>'LUC-2012-08-10-Run3'!AO34</f>
        <v>1.8618857493857496E-3</v>
      </c>
      <c r="N30" s="55">
        <f>'LUC-2012-08-10-Run3'!AP34</f>
        <v>1.8845669533169532E-3</v>
      </c>
      <c r="O30" s="55">
        <f>'LUC-2012-08-10-Run3'!AQ34</f>
        <v>1.9072481572481575E-3</v>
      </c>
      <c r="P30" s="55">
        <f>'LUC-2012-08-10-Run3'!AR34</f>
        <v>1.9299293611793611E-3</v>
      </c>
      <c r="Q30" s="55">
        <f>'LUC-2012-08-10-Run3'!AS34</f>
        <v>1.9526105651105647E-3</v>
      </c>
      <c r="R30" s="55">
        <f>'LUC-2012-08-10-Run3'!AT34</f>
        <v>1.9752917690417696E-3</v>
      </c>
      <c r="S30" s="55">
        <f>'LUC-2012-08-10-Run3'!AU34</f>
        <v>1.9979729729729728E-3</v>
      </c>
      <c r="T30" s="55">
        <f>'LUC-2012-08-10-Run3'!AV34</f>
        <v>2.0184735872235877E-3</v>
      </c>
      <c r="U30" s="55">
        <f>'LUC-2012-08-10-Run3'!AW34</f>
        <v>2.0389742014742013E-3</v>
      </c>
      <c r="V30" s="55">
        <f>'LUC-2012-08-10-Run3'!AX34</f>
        <v>2.0594748157248153E-3</v>
      </c>
      <c r="W30" s="55">
        <f>'LUC-2012-08-10-Run3'!AY34</f>
        <v>2.0799754299754298E-3</v>
      </c>
      <c r="X30" s="55">
        <f>'LUC-2012-08-10-Run3'!AZ34</f>
        <v>2.1004760442260443E-3</v>
      </c>
      <c r="Y30" s="55">
        <f>'LUC-2012-08-10-Run3'!BA34</f>
        <v>2.1209766584766587E-3</v>
      </c>
      <c r="Z30" s="55">
        <f>'LUC-2012-08-10-Run3'!BB34</f>
        <v>2.1414772727272723E-3</v>
      </c>
      <c r="AA30" s="55">
        <f>'LUC-2012-08-10-Run3'!BC34</f>
        <v>2.1619778869778868E-3</v>
      </c>
      <c r="AB30" s="55">
        <f>'LUC-2012-08-10-Run3'!BD34</f>
        <v>2.1824785012285013E-3</v>
      </c>
      <c r="AC30" s="55">
        <f>'LUC-2012-08-10-Run3'!BE34</f>
        <v>2.2029791154791153E-3</v>
      </c>
      <c r="AD30" s="55">
        <f>'LUC-2012-08-10-Run3'!BF34</f>
        <v>2.2234797297297293E-3</v>
      </c>
      <c r="AE30" s="55">
        <f>'LUC-2012-08-10-Run3'!BG34</f>
        <v>2.2439803439803438E-3</v>
      </c>
      <c r="AF30" s="55">
        <f>'LUC-2012-08-10-Run3'!BH34</f>
        <v>2.2644809582309583E-3</v>
      </c>
      <c r="AG30" s="55">
        <f>'LUC-2012-08-10-Run3'!BI34</f>
        <v>2.2849815724815723E-3</v>
      </c>
      <c r="AH30" s="55">
        <f>'LUC-2012-08-10-Run3'!BJ34</f>
        <v>2.3054821867321868E-3</v>
      </c>
      <c r="AI30" s="55">
        <f>'LUC-2012-08-10-Run3'!BK34</f>
        <v>2.3259828009828008E-3</v>
      </c>
      <c r="AJ30" s="55">
        <f>'LUC-2012-08-10-Run3'!BL34</f>
        <v>2.3464834152334153E-3</v>
      </c>
      <c r="AK30" s="55">
        <f>'LUC-2012-08-10-Run3'!BM34</f>
        <v>2.3669840294840293E-3</v>
      </c>
      <c r="AL30" s="55">
        <f>'LUC-2012-08-10-Run3'!BN34</f>
        <v>2.3874846437346438E-3</v>
      </c>
      <c r="AM30" s="55">
        <f>'LUC-2012-08-10-Run3'!BO34</f>
        <v>2.4079852579852574E-3</v>
      </c>
      <c r="AN30" s="55">
        <f>'LUC-2012-08-10-Run3'!BP34</f>
        <v>2.4284858722358718E-3</v>
      </c>
      <c r="AO30" s="55">
        <f>'LUC-2012-08-10-Run3'!BQ34</f>
        <v>2.4489864864864859E-3</v>
      </c>
      <c r="AP30" s="55">
        <f>'LUC-2012-08-10-Run3'!BR34</f>
        <v>2.4694871007371003E-3</v>
      </c>
      <c r="AQ30" s="55">
        <f>'LUC-2012-08-10-Run3'!BS34</f>
        <v>2.4899877149877148E-3</v>
      </c>
      <c r="AR30" s="55">
        <f>'LUC-2012-08-10-Run3'!BT34</f>
        <v>2.5104883292383293E-3</v>
      </c>
      <c r="AS30" s="55">
        <f>'LUC-2012-08-10-Run3'!BU34</f>
        <v>2.5309889434889433E-3</v>
      </c>
      <c r="AT30" s="55">
        <f>'LUC-2012-08-10-Run3'!BV34</f>
        <v>2.5514895577395573E-3</v>
      </c>
      <c r="AU30" s="55">
        <f>'LUC-2012-08-10-Run3'!BW34</f>
        <v>2.5719901719901722E-3</v>
      </c>
      <c r="AV30" s="55">
        <f>'LUC-2012-08-10-Run3'!BX34</f>
        <v>2.5924907862407863E-3</v>
      </c>
      <c r="AW30" s="55">
        <f>'LUC-2012-08-10-Run3'!BY34</f>
        <v>2.6129914004914007E-3</v>
      </c>
      <c r="AX30" s="55">
        <f>'LUC-2012-08-10-Run3'!BZ34</f>
        <v>2.6334920147420139E-3</v>
      </c>
      <c r="AY30" s="55">
        <f>'LUC-2012-08-10-Run3'!CA34</f>
        <v>2.6539926289926284E-3</v>
      </c>
      <c r="AZ30" s="55">
        <f>'LUC-2012-08-10-Run3'!CB34</f>
        <v>2.6744932432432428E-3</v>
      </c>
      <c r="BA30" s="55">
        <f>'LUC-2012-08-10-Run3'!CC34</f>
        <v>2.6949938574938573E-3</v>
      </c>
      <c r="BB30" s="55">
        <f>'LUC-2012-08-10-Run3'!CD34</f>
        <v>2.7154944717444713E-3</v>
      </c>
      <c r="BC30" s="55">
        <f>'LUC-2012-08-10-Run3'!CE34</f>
        <v>2.7359950859950858E-3</v>
      </c>
      <c r="BD30" s="55">
        <f>'LUC-2012-08-10-Run3'!CF34</f>
        <v>2.7564957002457007E-3</v>
      </c>
      <c r="BE30" s="55">
        <f>'LUC-2012-08-10-Run3'!CG34</f>
        <v>2.7769963144963143E-3</v>
      </c>
      <c r="BF30" s="55">
        <f>'LUC-2012-08-10-Run3'!CH34</f>
        <v>2.7974969287469288E-3</v>
      </c>
      <c r="BG30" s="55">
        <f>'LUC-2012-08-10-Run3'!CI34</f>
        <v>2.8179975429975424E-3</v>
      </c>
      <c r="BH30" s="55">
        <f>'LUC-2012-08-10-Run3'!CJ34</f>
        <v>2.8384981572481573E-3</v>
      </c>
      <c r="BI30" s="55">
        <f>'LUC-2012-08-10-Run3'!CK34</f>
        <v>2.8589987714987713E-3</v>
      </c>
      <c r="BJ30" s="55">
        <f>'LUC-2012-08-10-Run3'!CL34</f>
        <v>2.8794993857493853E-3</v>
      </c>
      <c r="BK30" s="55">
        <f>'LUC-2012-08-10-Run3'!CM34</f>
        <v>2.8999999999999998E-3</v>
      </c>
      <c r="BM30" s="104"/>
      <c r="BN30" s="57" t="s">
        <v>102</v>
      </c>
      <c r="BO30" s="83">
        <f t="shared" si="14"/>
        <v>1.6577549140049135</v>
      </c>
      <c r="BP30" s="83">
        <f t="shared" si="15"/>
        <v>1.8618857493857497</v>
      </c>
      <c r="BQ30" s="83">
        <f t="shared" si="16"/>
        <v>2.0799754299754296</v>
      </c>
      <c r="BR30" s="83">
        <f t="shared" si="17"/>
        <v>2.2849815724815721</v>
      </c>
      <c r="BS30" s="83">
        <f t="shared" si="18"/>
        <v>2.489987714987715</v>
      </c>
      <c r="BT30" s="83">
        <f t="shared" si="19"/>
        <v>2.6949938574938574</v>
      </c>
      <c r="BU30" s="83">
        <f t="shared" si="20"/>
        <v>2.9</v>
      </c>
    </row>
    <row r="31" spans="1:73" x14ac:dyDescent="0.25">
      <c r="A31" s="56" t="s">
        <v>71</v>
      </c>
      <c r="B31" s="54" t="s">
        <v>103</v>
      </c>
      <c r="C31" s="56" t="s">
        <v>107</v>
      </c>
      <c r="D31" s="55">
        <f>'LUC-2012-08-10-Run3'!AF35</f>
        <v>6.1522727272727278E-2</v>
      </c>
      <c r="E31" s="55">
        <f>'LUC-2012-08-10-Run3'!AG35</f>
        <v>6.1954545454545457E-2</v>
      </c>
      <c r="F31" s="55">
        <f>'LUC-2012-08-10-Run3'!AH35</f>
        <v>6.2386363636363643E-2</v>
      </c>
      <c r="G31" s="55">
        <f>'LUC-2012-08-10-Run3'!AI35</f>
        <v>6.2818181818181829E-2</v>
      </c>
      <c r="H31" s="55">
        <f>'LUC-2012-08-10-Run3'!AJ35</f>
        <v>6.3250000000000001E-2</v>
      </c>
      <c r="I31" s="55">
        <f>'LUC-2012-08-10-Run3'!AK35</f>
        <v>6.3681818181818187E-2</v>
      </c>
      <c r="J31" s="55">
        <f>'LUC-2012-08-10-Run3'!AL35</f>
        <v>6.4113636363636373E-2</v>
      </c>
      <c r="K31" s="55">
        <f>'LUC-2012-08-10-Run3'!AM35</f>
        <v>6.4545454545454545E-2</v>
      </c>
      <c r="L31" s="55">
        <f>'LUC-2012-08-10-Run3'!AN35</f>
        <v>6.4977272727272731E-2</v>
      </c>
      <c r="M31" s="55">
        <f>'LUC-2012-08-10-Run3'!AO35</f>
        <v>6.5409090909090917E-2</v>
      </c>
      <c r="N31" s="55">
        <f>'LUC-2012-08-10-Run3'!AP35</f>
        <v>6.5840909090909089E-2</v>
      </c>
      <c r="O31" s="55">
        <f>'LUC-2012-08-10-Run3'!AQ35</f>
        <v>6.6272727272727275E-2</v>
      </c>
      <c r="P31" s="55">
        <f>'LUC-2012-08-10-Run3'!AR35</f>
        <v>6.6704545454545461E-2</v>
      </c>
      <c r="Q31" s="55">
        <f>'LUC-2012-08-10-Run3'!AS35</f>
        <v>6.7136363636363633E-2</v>
      </c>
      <c r="R31" s="55">
        <f>'LUC-2012-08-10-Run3'!AT35</f>
        <v>6.7568181818181819E-2</v>
      </c>
      <c r="S31" s="55">
        <f>'LUC-2012-08-10-Run3'!AU35</f>
        <v>6.8000000000000005E-2</v>
      </c>
      <c r="T31" s="55">
        <f>'LUC-2012-08-10-Run3'!AV35</f>
        <v>6.881818181818182E-2</v>
      </c>
      <c r="U31" s="55">
        <f>'LUC-2012-08-10-Run3'!AW35</f>
        <v>6.9636363636363635E-2</v>
      </c>
      <c r="V31" s="55">
        <f>'LUC-2012-08-10-Run3'!AX35</f>
        <v>7.0454545454545464E-2</v>
      </c>
      <c r="W31" s="55">
        <f>'LUC-2012-08-10-Run3'!AY35</f>
        <v>7.1272727272727279E-2</v>
      </c>
      <c r="X31" s="55">
        <f>'LUC-2012-08-10-Run3'!AZ35</f>
        <v>7.2090909090909094E-2</v>
      </c>
      <c r="Y31" s="55">
        <f>'LUC-2012-08-10-Run3'!BA35</f>
        <v>7.290909090909091E-2</v>
      </c>
      <c r="Z31" s="55">
        <f>'LUC-2012-08-10-Run3'!BB35</f>
        <v>7.3727272727272725E-2</v>
      </c>
      <c r="AA31" s="55">
        <f>'LUC-2012-08-10-Run3'!BC35</f>
        <v>7.4545454545454554E-2</v>
      </c>
      <c r="AB31" s="55">
        <f>'LUC-2012-08-10-Run3'!BD35</f>
        <v>7.5363636363636369E-2</v>
      </c>
      <c r="AC31" s="55">
        <f>'LUC-2012-08-10-Run3'!BE35</f>
        <v>7.6181818181818184E-2</v>
      </c>
      <c r="AD31" s="55">
        <f>'LUC-2012-08-10-Run3'!BF35</f>
        <v>7.6999999999999999E-2</v>
      </c>
      <c r="AE31" s="55">
        <f>'LUC-2012-08-10-Run3'!BG35</f>
        <v>7.7818181818181814E-2</v>
      </c>
      <c r="AF31" s="55">
        <f>'LUC-2012-08-10-Run3'!BH35</f>
        <v>7.8636363636363643E-2</v>
      </c>
      <c r="AG31" s="55">
        <f>'LUC-2012-08-10-Run3'!BI35</f>
        <v>7.9454545454545458E-2</v>
      </c>
      <c r="AH31" s="55">
        <f>'LUC-2012-08-10-Run3'!BJ35</f>
        <v>8.0272727272727273E-2</v>
      </c>
      <c r="AI31" s="55">
        <f>'LUC-2012-08-10-Run3'!BK35</f>
        <v>8.1090909090909088E-2</v>
      </c>
      <c r="AJ31" s="55">
        <f>'LUC-2012-08-10-Run3'!BL35</f>
        <v>8.1909090909090904E-2</v>
      </c>
      <c r="AK31" s="55">
        <f>'LUC-2012-08-10-Run3'!BM35</f>
        <v>8.2727272727272733E-2</v>
      </c>
      <c r="AL31" s="55">
        <f>'LUC-2012-08-10-Run3'!BN35</f>
        <v>8.3545454545454548E-2</v>
      </c>
      <c r="AM31" s="55">
        <f>'LUC-2012-08-10-Run3'!BO35</f>
        <v>8.4363636363636363E-2</v>
      </c>
      <c r="AN31" s="55">
        <f>'LUC-2012-08-10-Run3'!BP35</f>
        <v>8.5181818181818178E-2</v>
      </c>
      <c r="AO31" s="55">
        <f>'LUC-2012-08-10-Run3'!BQ35</f>
        <v>8.5999999999999993E-2</v>
      </c>
      <c r="AP31" s="55">
        <f>'LUC-2012-08-10-Run3'!BR35</f>
        <v>8.6818181818181822E-2</v>
      </c>
      <c r="AQ31" s="55">
        <f>'LUC-2012-08-10-Run3'!BS35</f>
        <v>8.7636363636363637E-2</v>
      </c>
      <c r="AR31" s="55">
        <f>'LUC-2012-08-10-Run3'!BT35</f>
        <v>8.8454545454545452E-2</v>
      </c>
      <c r="AS31" s="55">
        <f>'LUC-2012-08-10-Run3'!BU35</f>
        <v>8.9272727272727267E-2</v>
      </c>
      <c r="AT31" s="55">
        <f>'LUC-2012-08-10-Run3'!BV35</f>
        <v>9.0090909090909083E-2</v>
      </c>
      <c r="AU31" s="55">
        <f>'LUC-2012-08-10-Run3'!BW35</f>
        <v>9.0909090909090912E-2</v>
      </c>
      <c r="AV31" s="55">
        <f>'LUC-2012-08-10-Run3'!BX35</f>
        <v>9.1727272727272727E-2</v>
      </c>
      <c r="AW31" s="55">
        <f>'LUC-2012-08-10-Run3'!BY35</f>
        <v>9.2545454545454542E-2</v>
      </c>
      <c r="AX31" s="55">
        <f>'LUC-2012-08-10-Run3'!BZ35</f>
        <v>9.3363636363636357E-2</v>
      </c>
      <c r="AY31" s="55">
        <f>'LUC-2012-08-10-Run3'!CA35</f>
        <v>9.4181818181818172E-2</v>
      </c>
      <c r="AZ31" s="55">
        <f>'LUC-2012-08-10-Run3'!CB35</f>
        <v>9.5000000000000001E-2</v>
      </c>
      <c r="BA31" s="55">
        <f>'LUC-2012-08-10-Run3'!CC35</f>
        <v>9.5818181818181816E-2</v>
      </c>
      <c r="BB31" s="55">
        <f>'LUC-2012-08-10-Run3'!CD35</f>
        <v>9.6636363636363631E-2</v>
      </c>
      <c r="BC31" s="55">
        <f>'LUC-2012-08-10-Run3'!CE35</f>
        <v>9.7454545454545446E-2</v>
      </c>
      <c r="BD31" s="55">
        <f>'LUC-2012-08-10-Run3'!CF35</f>
        <v>9.8272727272727262E-2</v>
      </c>
      <c r="BE31" s="55">
        <f>'LUC-2012-08-10-Run3'!CG35</f>
        <v>9.9090909090909091E-2</v>
      </c>
      <c r="BF31" s="55">
        <f>'LUC-2012-08-10-Run3'!CH35</f>
        <v>9.9909090909090906E-2</v>
      </c>
      <c r="BG31" s="55">
        <f>'LUC-2012-08-10-Run3'!CI35</f>
        <v>0.10072727272727272</v>
      </c>
      <c r="BH31" s="55">
        <f>'LUC-2012-08-10-Run3'!CJ35</f>
        <v>0.10154545454545455</v>
      </c>
      <c r="BI31" s="55">
        <f>'LUC-2012-08-10-Run3'!CK35</f>
        <v>0.10236363636363635</v>
      </c>
      <c r="BJ31" s="55">
        <f>'LUC-2012-08-10-Run3'!CL35</f>
        <v>0.10318181818181818</v>
      </c>
      <c r="BK31" s="55">
        <f>'LUC-2012-08-10-Run3'!CM35</f>
        <v>0.104</v>
      </c>
      <c r="BM31" s="104"/>
      <c r="BN31" s="57" t="s">
        <v>103</v>
      </c>
      <c r="BO31" s="67">
        <f t="shared" si="14"/>
        <v>61.52272727272728</v>
      </c>
      <c r="BP31" s="67">
        <f t="shared" si="15"/>
        <v>65.409090909090921</v>
      </c>
      <c r="BQ31" s="67">
        <f t="shared" si="16"/>
        <v>71.27272727272728</v>
      </c>
      <c r="BR31" s="67">
        <f t="shared" si="17"/>
        <v>79.454545454545453</v>
      </c>
      <c r="BS31" s="67">
        <f t="shared" si="18"/>
        <v>87.63636363636364</v>
      </c>
      <c r="BT31" s="67">
        <f t="shared" si="19"/>
        <v>95.818181818181813</v>
      </c>
      <c r="BU31" s="67">
        <f t="shared" si="20"/>
        <v>104</v>
      </c>
    </row>
    <row r="32" spans="1:73" x14ac:dyDescent="0.25">
      <c r="A32" s="56" t="s">
        <v>71</v>
      </c>
      <c r="B32" s="54" t="s">
        <v>104</v>
      </c>
      <c r="C32" s="56" t="s">
        <v>107</v>
      </c>
      <c r="D32" s="55">
        <f>'LUC-2012-08-10-Run3'!AF39</f>
        <v>8.6618671127481966E-4</v>
      </c>
      <c r="E32" s="55">
        <f>'LUC-2012-08-10-Run3'!AG39</f>
        <v>8.7332065560907562E-4</v>
      </c>
      <c r="F32" s="55">
        <f>'LUC-2012-08-10-Run3'!AH39</f>
        <v>8.8045459994333169E-4</v>
      </c>
      <c r="G32" s="55">
        <f>'LUC-2012-08-10-Run3'!AI39</f>
        <v>8.8758854427758765E-4</v>
      </c>
      <c r="H32" s="55">
        <f>'LUC-2012-08-10-Run3'!AJ39</f>
        <v>8.9472248861184372E-4</v>
      </c>
      <c r="I32" s="55">
        <f>'LUC-2012-08-10-Run3'!AK39</f>
        <v>9.0185643294609969E-4</v>
      </c>
      <c r="J32" s="55">
        <f>'LUC-2012-08-10-Run3'!AL39</f>
        <v>9.0899037728035576E-4</v>
      </c>
      <c r="K32" s="55">
        <f>'LUC-2012-08-10-Run3'!AM39</f>
        <v>9.1612432161461172E-4</v>
      </c>
      <c r="L32" s="55">
        <f>'LUC-2012-08-10-Run3'!AN39</f>
        <v>9.2325826594886768E-4</v>
      </c>
      <c r="M32" s="55">
        <f>'LUC-2012-08-10-Run3'!AO39</f>
        <v>9.3039221028312375E-4</v>
      </c>
      <c r="N32" s="55">
        <f>'LUC-2012-08-10-Run3'!AP39</f>
        <v>9.3752615461737982E-4</v>
      </c>
      <c r="O32" s="55">
        <f>'LUC-2012-08-10-Run3'!AQ39</f>
        <v>9.4466009895163578E-4</v>
      </c>
      <c r="P32" s="55">
        <f>'LUC-2012-08-10-Run3'!AR39</f>
        <v>9.5179404328589175E-4</v>
      </c>
      <c r="Q32" s="55">
        <f>'LUC-2012-08-10-Run3'!AS39</f>
        <v>9.5892798762014782E-4</v>
      </c>
      <c r="R32" s="55">
        <f>'LUC-2012-08-10-Run3'!AT39</f>
        <v>9.6606193195440389E-4</v>
      </c>
      <c r="S32" s="55">
        <f>'LUC-2012-08-10-Run3'!AU39</f>
        <v>9.7319587628865985E-4</v>
      </c>
      <c r="T32" s="55">
        <f>'LUC-2012-08-10-Run3'!AV39</f>
        <v>9.9072164948453621E-4</v>
      </c>
      <c r="U32" s="55">
        <f>'LUC-2012-08-10-Run3'!AW39</f>
        <v>1.0082474226804125E-3</v>
      </c>
      <c r="V32" s="55">
        <f>'LUC-2012-08-10-Run3'!AX39</f>
        <v>1.0257731958762887E-3</v>
      </c>
      <c r="W32" s="55">
        <f>'LUC-2012-08-10-Run3'!AY39</f>
        <v>1.043298969072165E-3</v>
      </c>
      <c r="X32" s="55">
        <f>'LUC-2012-08-10-Run3'!AZ39</f>
        <v>1.0608247422680412E-3</v>
      </c>
      <c r="Y32" s="55">
        <f>'LUC-2012-08-10-Run3'!BA39</f>
        <v>1.0783505154639175E-3</v>
      </c>
      <c r="Z32" s="55">
        <f>'LUC-2012-08-10-Run3'!BB39</f>
        <v>1.095876288659794E-3</v>
      </c>
      <c r="AA32" s="55">
        <f>'LUC-2012-08-10-Run3'!BC39</f>
        <v>1.1134020618556702E-3</v>
      </c>
      <c r="AB32" s="55">
        <f>'LUC-2012-08-10-Run3'!BD39</f>
        <v>1.1309278350515465E-3</v>
      </c>
      <c r="AC32" s="55">
        <f>'LUC-2012-08-10-Run3'!BE39</f>
        <v>1.1484536082474227E-3</v>
      </c>
      <c r="AD32" s="55">
        <f>'LUC-2012-08-10-Run3'!BF39</f>
        <v>1.165979381443299E-3</v>
      </c>
      <c r="AE32" s="55">
        <f>'LUC-2012-08-10-Run3'!BG39</f>
        <v>1.1835051546391752E-3</v>
      </c>
      <c r="AF32" s="55">
        <f>'LUC-2012-08-10-Run3'!BH39</f>
        <v>1.2010309278350515E-3</v>
      </c>
      <c r="AG32" s="55">
        <f>'LUC-2012-08-10-Run3'!BI39</f>
        <v>1.2185567010309277E-3</v>
      </c>
      <c r="AH32" s="55">
        <f>'LUC-2012-08-10-Run3'!BJ39</f>
        <v>1.236082474226804E-3</v>
      </c>
      <c r="AI32" s="55">
        <f>'LUC-2012-08-10-Run3'!BK39</f>
        <v>1.2536082474226805E-3</v>
      </c>
      <c r="AJ32" s="55">
        <f>'LUC-2012-08-10-Run3'!BL39</f>
        <v>1.2711340206185567E-3</v>
      </c>
      <c r="AK32" s="55">
        <f>'LUC-2012-08-10-Run3'!BM39</f>
        <v>1.288659793814433E-3</v>
      </c>
      <c r="AL32" s="55">
        <f>'LUC-2012-08-10-Run3'!BN39</f>
        <v>1.3061855670103092E-3</v>
      </c>
      <c r="AM32" s="55">
        <f>'LUC-2012-08-10-Run3'!BO39</f>
        <v>1.3237113402061855E-3</v>
      </c>
      <c r="AN32" s="55">
        <f>'LUC-2012-08-10-Run3'!BP39</f>
        <v>1.3412371134020619E-3</v>
      </c>
      <c r="AO32" s="55">
        <f>'LUC-2012-08-10-Run3'!BQ39</f>
        <v>1.3587628865979382E-3</v>
      </c>
      <c r="AP32" s="55">
        <f>'LUC-2012-08-10-Run3'!BR39</f>
        <v>1.3762886597938145E-3</v>
      </c>
      <c r="AQ32" s="55">
        <f>'LUC-2012-08-10-Run3'!BS39</f>
        <v>1.3938144329896907E-3</v>
      </c>
      <c r="AR32" s="55">
        <f>'LUC-2012-08-10-Run3'!BT39</f>
        <v>1.411340206185567E-3</v>
      </c>
      <c r="AS32" s="55">
        <f>'LUC-2012-08-10-Run3'!BU39</f>
        <v>1.4288659793814432E-3</v>
      </c>
      <c r="AT32" s="55">
        <f>'LUC-2012-08-10-Run3'!BV39</f>
        <v>1.4463917525773195E-3</v>
      </c>
      <c r="AU32" s="55">
        <f>'LUC-2012-08-10-Run3'!BW39</f>
        <v>1.4639175257731957E-3</v>
      </c>
      <c r="AV32" s="55">
        <f>'LUC-2012-08-10-Run3'!BX39</f>
        <v>1.481443298969072E-3</v>
      </c>
      <c r="AW32" s="55">
        <f>'LUC-2012-08-10-Run3'!BY39</f>
        <v>1.4989690721649482E-3</v>
      </c>
      <c r="AX32" s="55">
        <f>'LUC-2012-08-10-Run3'!BZ39</f>
        <v>1.5164948453608247E-3</v>
      </c>
      <c r="AY32" s="55">
        <f>'LUC-2012-08-10-Run3'!CA39</f>
        <v>1.534020618556701E-3</v>
      </c>
      <c r="AZ32" s="55">
        <f>'LUC-2012-08-10-Run3'!CB39</f>
        <v>1.5515463917525772E-3</v>
      </c>
      <c r="BA32" s="55">
        <f>'LUC-2012-08-10-Run3'!CC39</f>
        <v>1.5690721649484537E-3</v>
      </c>
      <c r="BB32" s="55">
        <f>'LUC-2012-08-10-Run3'!CD39</f>
        <v>1.5865979381443299E-3</v>
      </c>
      <c r="BC32" s="55">
        <f>'LUC-2012-08-10-Run3'!CE39</f>
        <v>1.6041237113402062E-3</v>
      </c>
      <c r="BD32" s="55">
        <f>'LUC-2012-08-10-Run3'!CF39</f>
        <v>1.6216494845360824E-3</v>
      </c>
      <c r="BE32" s="55">
        <f>'LUC-2012-08-10-Run3'!CG39</f>
        <v>1.6391752577319587E-3</v>
      </c>
      <c r="BF32" s="55">
        <f>'LUC-2012-08-10-Run3'!CH39</f>
        <v>1.656701030927835E-3</v>
      </c>
      <c r="BG32" s="55">
        <f>'LUC-2012-08-10-Run3'!CI39</f>
        <v>1.6742268041237112E-3</v>
      </c>
      <c r="BH32" s="55">
        <f>'LUC-2012-08-10-Run3'!CJ39</f>
        <v>1.6917525773195875E-3</v>
      </c>
      <c r="BI32" s="55">
        <f>'LUC-2012-08-10-Run3'!CK39</f>
        <v>1.7092783505154637E-3</v>
      </c>
      <c r="BJ32" s="55">
        <f>'LUC-2012-08-10-Run3'!CL39</f>
        <v>1.72680412371134E-3</v>
      </c>
      <c r="BK32" s="55">
        <f>'LUC-2012-08-10-Run3'!CM39</f>
        <v>1.7443298969072164E-3</v>
      </c>
      <c r="BM32" s="105"/>
      <c r="BN32" s="58" t="s">
        <v>104</v>
      </c>
      <c r="BO32" s="83">
        <f t="shared" si="14"/>
        <v>0.86618671127481961</v>
      </c>
      <c r="BP32" s="83">
        <f t="shared" si="15"/>
        <v>0.9303922102831238</v>
      </c>
      <c r="BQ32" s="83">
        <f t="shared" si="16"/>
        <v>1.043298969072165</v>
      </c>
      <c r="BR32" s="83">
        <f t="shared" si="17"/>
        <v>1.2185567010309277</v>
      </c>
      <c r="BS32" s="83">
        <f t="shared" si="18"/>
        <v>1.3938144329896907</v>
      </c>
      <c r="BT32" s="83">
        <f t="shared" si="19"/>
        <v>1.5690721649484536</v>
      </c>
      <c r="BU32" s="83">
        <f t="shared" si="20"/>
        <v>1.7443298969072165</v>
      </c>
    </row>
    <row r="33" spans="1:75" x14ac:dyDescent="0.25">
      <c r="BM33" s="108" t="s">
        <v>38</v>
      </c>
      <c r="BN33" s="57" t="s">
        <v>99</v>
      </c>
      <c r="BO33" s="83">
        <f t="shared" ref="BO33:BO39" si="21">D34*1000</f>
        <v>5.0675000000000008</v>
      </c>
      <c r="BP33" s="83">
        <f t="shared" ref="BP33:BP39" si="22">M34*1000</f>
        <v>5.7650000000000015</v>
      </c>
      <c r="BQ33" s="83">
        <f t="shared" ref="BQ33:BQ39" si="23">W34*1000</f>
        <v>6.34</v>
      </c>
      <c r="BR33" s="83">
        <f t="shared" ref="BR33:BR39" si="24">AG34*1000</f>
        <v>6.6150000000000002</v>
      </c>
      <c r="BS33" s="83">
        <f t="shared" ref="BS33:BS39" si="25">AQ34*1000</f>
        <v>6.8900000000000006</v>
      </c>
      <c r="BT33" s="83">
        <f t="shared" ref="BT33:BT39" si="26">BA34*1000</f>
        <v>7.1649999999999991</v>
      </c>
      <c r="BU33" s="83">
        <f t="shared" ref="BU33:BU39" si="27">BK34*1000</f>
        <v>7.4399999999999995</v>
      </c>
    </row>
    <row r="34" spans="1:75" x14ac:dyDescent="0.25">
      <c r="A34" s="56" t="s">
        <v>38</v>
      </c>
      <c r="B34" s="54" t="s">
        <v>99</v>
      </c>
      <c r="C34" s="56" t="s">
        <v>107</v>
      </c>
      <c r="D34" s="55">
        <f>'LUC-2012-08-10-Run3'!AF41</f>
        <v>5.0675000000000008E-3</v>
      </c>
      <c r="E34" s="55">
        <f>'LUC-2012-08-10-Run3'!AG41</f>
        <v>5.1450000000000003E-3</v>
      </c>
      <c r="F34" s="55">
        <f>'LUC-2012-08-10-Run3'!AH41</f>
        <v>5.2225000000000006E-3</v>
      </c>
      <c r="G34" s="55">
        <f>'LUC-2012-08-10-Run3'!AI41</f>
        <v>5.3000000000000009E-3</v>
      </c>
      <c r="H34" s="55">
        <f>'LUC-2012-08-10-Run3'!AJ41</f>
        <v>5.3775000000000003E-3</v>
      </c>
      <c r="I34" s="55">
        <f>'LUC-2012-08-10-Run3'!AK41</f>
        <v>5.4550000000000006E-3</v>
      </c>
      <c r="J34" s="55">
        <f>'LUC-2012-08-10-Run3'!AL41</f>
        <v>5.532500000000001E-3</v>
      </c>
      <c r="K34" s="55">
        <f>'LUC-2012-08-10-Run3'!AM41</f>
        <v>5.6100000000000004E-3</v>
      </c>
      <c r="L34" s="55">
        <f>'LUC-2012-08-10-Run3'!AN41</f>
        <v>5.6874999999999998E-3</v>
      </c>
      <c r="M34" s="55">
        <f>'LUC-2012-08-10-Run3'!AO41</f>
        <v>5.765000000000001E-3</v>
      </c>
      <c r="N34" s="55">
        <f>'LUC-2012-08-10-Run3'!AP41</f>
        <v>5.8425000000000005E-3</v>
      </c>
      <c r="O34" s="55">
        <f>'LUC-2012-08-10-Run3'!AQ41</f>
        <v>5.9199999999999999E-3</v>
      </c>
      <c r="P34" s="55">
        <f>'LUC-2012-08-10-Run3'!AR41</f>
        <v>5.9975000000000011E-3</v>
      </c>
      <c r="Q34" s="55">
        <f>'LUC-2012-08-10-Run3'!AS41</f>
        <v>6.0750000000000005E-3</v>
      </c>
      <c r="R34" s="55">
        <f>'LUC-2012-08-10-Run3'!AT41</f>
        <v>6.1525E-3</v>
      </c>
      <c r="S34" s="55">
        <f>'LUC-2012-08-10-Run3'!AU41</f>
        <v>6.2300000000000003E-3</v>
      </c>
      <c r="T34" s="55">
        <f>'LUC-2012-08-10-Run3'!AV41</f>
        <v>6.2575E-3</v>
      </c>
      <c r="U34" s="55">
        <f>'LUC-2012-08-10-Run3'!AW41</f>
        <v>6.2850000000000007E-3</v>
      </c>
      <c r="V34" s="55">
        <f>'LUC-2012-08-10-Run3'!AX41</f>
        <v>6.3125000000000004E-3</v>
      </c>
      <c r="W34" s="55">
        <f>'LUC-2012-08-10-Run3'!AY41</f>
        <v>6.3400000000000001E-3</v>
      </c>
      <c r="X34" s="55">
        <f>'LUC-2012-08-10-Run3'!AZ41</f>
        <v>6.3674999999999999E-3</v>
      </c>
      <c r="Y34" s="55">
        <f>'LUC-2012-08-10-Run3'!BA41</f>
        <v>6.3950000000000005E-3</v>
      </c>
      <c r="Z34" s="55">
        <f>'LUC-2012-08-10-Run3'!BB41</f>
        <v>6.4225000000000003E-3</v>
      </c>
      <c r="AA34" s="55">
        <f>'LUC-2012-08-10-Run3'!BC41</f>
        <v>6.45E-3</v>
      </c>
      <c r="AB34" s="55">
        <f>'LUC-2012-08-10-Run3'!BD41</f>
        <v>6.4774999999999998E-3</v>
      </c>
      <c r="AC34" s="55">
        <f>'LUC-2012-08-10-Run3'!BE41</f>
        <v>6.5050000000000004E-3</v>
      </c>
      <c r="AD34" s="55">
        <f>'LUC-2012-08-10-Run3'!BF41</f>
        <v>6.5325000000000001E-3</v>
      </c>
      <c r="AE34" s="55">
        <f>'LUC-2012-08-10-Run3'!BG41</f>
        <v>6.5599999999999999E-3</v>
      </c>
      <c r="AF34" s="55">
        <f>'LUC-2012-08-10-Run3'!BH41</f>
        <v>6.5875000000000005E-3</v>
      </c>
      <c r="AG34" s="55">
        <f>'LUC-2012-08-10-Run3'!BI41</f>
        <v>6.6150000000000002E-3</v>
      </c>
      <c r="AH34" s="55">
        <f>'LUC-2012-08-10-Run3'!BJ41</f>
        <v>6.6425E-3</v>
      </c>
      <c r="AI34" s="55">
        <f>'LUC-2012-08-10-Run3'!BK41</f>
        <v>6.6699999999999997E-3</v>
      </c>
      <c r="AJ34" s="55">
        <f>'LUC-2012-08-10-Run3'!BL41</f>
        <v>6.6975000000000003E-3</v>
      </c>
      <c r="AK34" s="55">
        <f>'LUC-2012-08-10-Run3'!BM41</f>
        <v>6.7250000000000001E-3</v>
      </c>
      <c r="AL34" s="55">
        <f>'LUC-2012-08-10-Run3'!BN41</f>
        <v>6.7524999999999998E-3</v>
      </c>
      <c r="AM34" s="55">
        <f>'LUC-2012-08-10-Run3'!BO41</f>
        <v>6.7799999999999996E-3</v>
      </c>
      <c r="AN34" s="55">
        <f>'LUC-2012-08-10-Run3'!BP41</f>
        <v>6.8075000000000002E-3</v>
      </c>
      <c r="AO34" s="55">
        <f>'LUC-2012-08-10-Run3'!BQ41</f>
        <v>6.8349999999999999E-3</v>
      </c>
      <c r="AP34" s="55">
        <f>'LUC-2012-08-10-Run3'!BR41</f>
        <v>6.8624999999999997E-3</v>
      </c>
      <c r="AQ34" s="55">
        <f>'LUC-2012-08-10-Run3'!BS41</f>
        <v>6.8900000000000003E-3</v>
      </c>
      <c r="AR34" s="55">
        <f>'LUC-2012-08-10-Run3'!BT41</f>
        <v>6.9175E-3</v>
      </c>
      <c r="AS34" s="55">
        <f>'LUC-2012-08-10-Run3'!BU41</f>
        <v>6.9449999999999998E-3</v>
      </c>
      <c r="AT34" s="55">
        <f>'LUC-2012-08-10-Run3'!BV41</f>
        <v>6.9724999999999995E-3</v>
      </c>
      <c r="AU34" s="55">
        <f>'LUC-2012-08-10-Run3'!BW41</f>
        <v>7.0000000000000001E-3</v>
      </c>
      <c r="AV34" s="55">
        <f>'LUC-2012-08-10-Run3'!BX41</f>
        <v>7.0274999999999999E-3</v>
      </c>
      <c r="AW34" s="55">
        <f>'LUC-2012-08-10-Run3'!BY41</f>
        <v>7.0549999999999996E-3</v>
      </c>
      <c r="AX34" s="55">
        <f>'LUC-2012-08-10-Run3'!BZ41</f>
        <v>7.0825000000000003E-3</v>
      </c>
      <c r="AY34" s="55">
        <f>'LUC-2012-08-10-Run3'!CA41</f>
        <v>7.11E-3</v>
      </c>
      <c r="AZ34" s="55">
        <f>'LUC-2012-08-10-Run3'!CB41</f>
        <v>7.1374999999999997E-3</v>
      </c>
      <c r="BA34" s="55">
        <f>'LUC-2012-08-10-Run3'!CC41</f>
        <v>7.1649999999999995E-3</v>
      </c>
      <c r="BB34" s="55">
        <f>'LUC-2012-08-10-Run3'!CD41</f>
        <v>7.1925000000000001E-3</v>
      </c>
      <c r="BC34" s="55">
        <f>'LUC-2012-08-10-Run3'!CE41</f>
        <v>7.2199999999999999E-3</v>
      </c>
      <c r="BD34" s="55">
        <f>'LUC-2012-08-10-Run3'!CF41</f>
        <v>7.2474999999999996E-3</v>
      </c>
      <c r="BE34" s="55">
        <f>'LUC-2012-08-10-Run3'!CG41</f>
        <v>7.2750000000000002E-3</v>
      </c>
      <c r="BF34" s="55">
        <f>'LUC-2012-08-10-Run3'!CH41</f>
        <v>7.3025E-3</v>
      </c>
      <c r="BG34" s="55">
        <f>'LUC-2012-08-10-Run3'!CI41</f>
        <v>7.3299999999999997E-3</v>
      </c>
      <c r="BH34" s="55">
        <f>'LUC-2012-08-10-Run3'!CJ41</f>
        <v>7.3574999999999995E-3</v>
      </c>
      <c r="BI34" s="55">
        <f>'LUC-2012-08-10-Run3'!CK41</f>
        <v>7.3849999999999992E-3</v>
      </c>
      <c r="BJ34" s="55">
        <f>'LUC-2012-08-10-Run3'!CL41</f>
        <v>7.4124999999999998E-3</v>
      </c>
      <c r="BK34" s="55">
        <f>'LUC-2012-08-10-Run3'!CM41</f>
        <v>7.4399999999999996E-3</v>
      </c>
      <c r="BM34" s="108"/>
      <c r="BN34" s="57" t="s">
        <v>100</v>
      </c>
      <c r="BO34" s="83">
        <f t="shared" si="21"/>
        <v>2.3129545454545455</v>
      </c>
      <c r="BP34" s="83">
        <f t="shared" si="22"/>
        <v>2.5931818181818183</v>
      </c>
      <c r="BQ34" s="83">
        <f t="shared" si="23"/>
        <v>2.8572727272727274</v>
      </c>
      <c r="BR34" s="83">
        <f t="shared" si="24"/>
        <v>3.0504545454545458</v>
      </c>
      <c r="BS34" s="83">
        <f t="shared" si="25"/>
        <v>3.2436363636363641</v>
      </c>
      <c r="BT34" s="83">
        <f t="shared" si="26"/>
        <v>3.436818181818182</v>
      </c>
      <c r="BU34" s="83">
        <f t="shared" si="27"/>
        <v>3.63</v>
      </c>
    </row>
    <row r="35" spans="1:75" x14ac:dyDescent="0.25">
      <c r="A35" s="56" t="s">
        <v>38</v>
      </c>
      <c r="B35" s="54" t="s">
        <v>100</v>
      </c>
      <c r="C35" s="56" t="s">
        <v>107</v>
      </c>
      <c r="D35" s="55">
        <f>'LUC-2012-08-10-Run3'!AF42</f>
        <v>2.3129545454545456E-3</v>
      </c>
      <c r="E35" s="55">
        <f>'LUC-2012-08-10-Run3'!AG42</f>
        <v>2.3440909090909094E-3</v>
      </c>
      <c r="F35" s="55">
        <f>'LUC-2012-08-10-Run3'!AH42</f>
        <v>2.3752272727272728E-3</v>
      </c>
      <c r="G35" s="55">
        <f>'LUC-2012-08-10-Run3'!AI42</f>
        <v>2.4063636363636366E-3</v>
      </c>
      <c r="H35" s="55">
        <f>'LUC-2012-08-10-Run3'!AJ42</f>
        <v>2.4375000000000004E-3</v>
      </c>
      <c r="I35" s="55">
        <f>'LUC-2012-08-10-Run3'!AK42</f>
        <v>2.4686363636363638E-3</v>
      </c>
      <c r="J35" s="55">
        <f>'LUC-2012-08-10-Run3'!AL42</f>
        <v>2.4997727272727276E-3</v>
      </c>
      <c r="K35" s="55">
        <f>'LUC-2012-08-10-Run3'!AM42</f>
        <v>2.5309090909090915E-3</v>
      </c>
      <c r="L35" s="55">
        <f>'LUC-2012-08-10-Run3'!AN42</f>
        <v>2.5620454545454549E-3</v>
      </c>
      <c r="M35" s="55">
        <f>'LUC-2012-08-10-Run3'!AO42</f>
        <v>2.5931818181818183E-3</v>
      </c>
      <c r="N35" s="55">
        <f>'LUC-2012-08-10-Run3'!AP42</f>
        <v>2.6243181818181821E-3</v>
      </c>
      <c r="O35" s="55">
        <f>'LUC-2012-08-10-Run3'!AQ42</f>
        <v>2.6554545454545459E-3</v>
      </c>
      <c r="P35" s="55">
        <f>'LUC-2012-08-10-Run3'!AR42</f>
        <v>2.6865909090909093E-3</v>
      </c>
      <c r="Q35" s="55">
        <f>'LUC-2012-08-10-Run3'!AS42</f>
        <v>2.7177272727272731E-3</v>
      </c>
      <c r="R35" s="55">
        <f>'LUC-2012-08-10-Run3'!AT42</f>
        <v>2.748863636363637E-3</v>
      </c>
      <c r="S35" s="55">
        <f>'LUC-2012-08-10-Run3'!AU42</f>
        <v>2.7800000000000004E-3</v>
      </c>
      <c r="T35" s="55">
        <f>'LUC-2012-08-10-Run3'!AV42</f>
        <v>2.7993181818181823E-3</v>
      </c>
      <c r="U35" s="55">
        <f>'LUC-2012-08-10-Run3'!AW42</f>
        <v>2.8186363636363639E-3</v>
      </c>
      <c r="V35" s="55">
        <f>'LUC-2012-08-10-Run3'!AX42</f>
        <v>2.8379545454545459E-3</v>
      </c>
      <c r="W35" s="55">
        <f>'LUC-2012-08-10-Run3'!AY42</f>
        <v>2.8572727272727274E-3</v>
      </c>
      <c r="X35" s="55">
        <f>'LUC-2012-08-10-Run3'!AZ42</f>
        <v>2.8765909090909094E-3</v>
      </c>
      <c r="Y35" s="55">
        <f>'LUC-2012-08-10-Run3'!BA42</f>
        <v>2.8959090909090913E-3</v>
      </c>
      <c r="Z35" s="55">
        <f>'LUC-2012-08-10-Run3'!BB42</f>
        <v>2.9152272727272729E-3</v>
      </c>
      <c r="AA35" s="55">
        <f>'LUC-2012-08-10-Run3'!BC42</f>
        <v>2.9345454545454549E-3</v>
      </c>
      <c r="AB35" s="55">
        <f>'LUC-2012-08-10-Run3'!BD42</f>
        <v>2.9538636363636368E-3</v>
      </c>
      <c r="AC35" s="55">
        <f>'LUC-2012-08-10-Run3'!BE42</f>
        <v>2.9731818181818184E-3</v>
      </c>
      <c r="AD35" s="55">
        <f>'LUC-2012-08-10-Run3'!BF42</f>
        <v>2.9925000000000004E-3</v>
      </c>
      <c r="AE35" s="55">
        <f>'LUC-2012-08-10-Run3'!BG42</f>
        <v>3.0118181818181819E-3</v>
      </c>
      <c r="AF35" s="55">
        <f>'LUC-2012-08-10-Run3'!BH42</f>
        <v>3.0311363636363639E-3</v>
      </c>
      <c r="AG35" s="55">
        <f>'LUC-2012-08-10-Run3'!BI42</f>
        <v>3.0504545454545459E-3</v>
      </c>
      <c r="AH35" s="55">
        <f>'LUC-2012-08-10-Run3'!BJ42</f>
        <v>3.0697727272727274E-3</v>
      </c>
      <c r="AI35" s="55">
        <f>'LUC-2012-08-10-Run3'!BK42</f>
        <v>3.0890909090909094E-3</v>
      </c>
      <c r="AJ35" s="55">
        <f>'LUC-2012-08-10-Run3'!BL42</f>
        <v>3.1084090909090914E-3</v>
      </c>
      <c r="AK35" s="55">
        <f>'LUC-2012-08-10-Run3'!BM42</f>
        <v>3.1277272727272729E-3</v>
      </c>
      <c r="AL35" s="55">
        <f>'LUC-2012-08-10-Run3'!BN42</f>
        <v>3.1470454545454549E-3</v>
      </c>
      <c r="AM35" s="55">
        <f>'LUC-2012-08-10-Run3'!BO42</f>
        <v>3.1663636363636364E-3</v>
      </c>
      <c r="AN35" s="55">
        <f>'LUC-2012-08-10-Run3'!BP42</f>
        <v>3.1856818181818184E-3</v>
      </c>
      <c r="AO35" s="55">
        <f>'LUC-2012-08-10-Run3'!BQ42</f>
        <v>3.2050000000000004E-3</v>
      </c>
      <c r="AP35" s="55">
        <f>'LUC-2012-08-10-Run3'!BR42</f>
        <v>3.2243181818181819E-3</v>
      </c>
      <c r="AQ35" s="55">
        <f>'LUC-2012-08-10-Run3'!BS42</f>
        <v>3.2436363636363639E-3</v>
      </c>
      <c r="AR35" s="55">
        <f>'LUC-2012-08-10-Run3'!BT42</f>
        <v>3.2629545454545454E-3</v>
      </c>
      <c r="AS35" s="55">
        <f>'LUC-2012-08-10-Run3'!BU42</f>
        <v>3.2822727272727274E-3</v>
      </c>
      <c r="AT35" s="55">
        <f>'LUC-2012-08-10-Run3'!BV42</f>
        <v>3.3015909090909094E-3</v>
      </c>
      <c r="AU35" s="55">
        <f>'LUC-2012-08-10-Run3'!BW42</f>
        <v>3.3209090909090909E-3</v>
      </c>
      <c r="AV35" s="55">
        <f>'LUC-2012-08-10-Run3'!BX42</f>
        <v>3.3402272727272729E-3</v>
      </c>
      <c r="AW35" s="55">
        <f>'LUC-2012-08-10-Run3'!BY42</f>
        <v>3.3595454545454545E-3</v>
      </c>
      <c r="AX35" s="55">
        <f>'LUC-2012-08-10-Run3'!BZ42</f>
        <v>3.3788636363636364E-3</v>
      </c>
      <c r="AY35" s="55">
        <f>'LUC-2012-08-10-Run3'!CA42</f>
        <v>3.3981818181818184E-3</v>
      </c>
      <c r="AZ35" s="55">
        <f>'LUC-2012-08-10-Run3'!CB42</f>
        <v>3.4175E-3</v>
      </c>
      <c r="BA35" s="55">
        <f>'LUC-2012-08-10-Run3'!CC42</f>
        <v>3.4368181818181819E-3</v>
      </c>
      <c r="BB35" s="55">
        <f>'LUC-2012-08-10-Run3'!CD42</f>
        <v>3.4561363636363635E-3</v>
      </c>
      <c r="BC35" s="55">
        <f>'LUC-2012-08-10-Run3'!CE42</f>
        <v>3.4754545454545455E-3</v>
      </c>
      <c r="BD35" s="55">
        <f>'LUC-2012-08-10-Run3'!CF42</f>
        <v>3.4947727272727274E-3</v>
      </c>
      <c r="BE35" s="55">
        <f>'LUC-2012-08-10-Run3'!CG42</f>
        <v>3.5140909090909094E-3</v>
      </c>
      <c r="BF35" s="55">
        <f>'LUC-2012-08-10-Run3'!CH42</f>
        <v>3.533409090909091E-3</v>
      </c>
      <c r="BG35" s="55">
        <f>'LUC-2012-08-10-Run3'!CI42</f>
        <v>3.5527272727272729E-3</v>
      </c>
      <c r="BH35" s="55">
        <f>'LUC-2012-08-10-Run3'!CJ42</f>
        <v>3.5720454545454545E-3</v>
      </c>
      <c r="BI35" s="55">
        <f>'LUC-2012-08-10-Run3'!CK42</f>
        <v>3.5913636363636365E-3</v>
      </c>
      <c r="BJ35" s="55">
        <f>'LUC-2012-08-10-Run3'!CL42</f>
        <v>3.6106818181818184E-3</v>
      </c>
      <c r="BK35" s="55">
        <f>'LUC-2012-08-10-Run3'!CM42</f>
        <v>3.63E-3</v>
      </c>
      <c r="BM35" s="108"/>
      <c r="BN35" s="57" t="s">
        <v>101</v>
      </c>
      <c r="BO35" s="83">
        <f t="shared" si="21"/>
        <v>3.4209090909090913</v>
      </c>
      <c r="BP35" s="83">
        <f t="shared" si="22"/>
        <v>3.8463636363636371</v>
      </c>
      <c r="BQ35" s="83">
        <f t="shared" si="23"/>
        <v>4.2418181818181822</v>
      </c>
      <c r="BR35" s="83">
        <f t="shared" si="24"/>
        <v>4.5213636363636365</v>
      </c>
      <c r="BS35" s="83">
        <f t="shared" si="25"/>
        <v>4.8009090909090917</v>
      </c>
      <c r="BT35" s="83">
        <f t="shared" si="26"/>
        <v>5.080454545454546</v>
      </c>
      <c r="BU35" s="83">
        <f t="shared" si="27"/>
        <v>5.36</v>
      </c>
    </row>
    <row r="36" spans="1:75" x14ac:dyDescent="0.25">
      <c r="A36" s="56" t="s">
        <v>38</v>
      </c>
      <c r="B36" s="54" t="s">
        <v>101</v>
      </c>
      <c r="C36" s="56" t="s">
        <v>107</v>
      </c>
      <c r="D36" s="55">
        <f>'LUC-2012-08-10-Run3'!AF43</f>
        <v>3.4209090909090912E-3</v>
      </c>
      <c r="E36" s="55">
        <f>'LUC-2012-08-10-Run3'!AG43</f>
        <v>3.4681818181818186E-3</v>
      </c>
      <c r="F36" s="55">
        <f>'LUC-2012-08-10-Run3'!AH43</f>
        <v>3.5154545454545456E-3</v>
      </c>
      <c r="G36" s="55">
        <f>'LUC-2012-08-10-Run3'!AI43</f>
        <v>3.562727272727273E-3</v>
      </c>
      <c r="H36" s="55">
        <f>'LUC-2012-08-10-Run3'!AJ43</f>
        <v>3.6100000000000004E-3</v>
      </c>
      <c r="I36" s="55">
        <f>'LUC-2012-08-10-Run3'!AK43</f>
        <v>3.6572727272727278E-3</v>
      </c>
      <c r="J36" s="55">
        <f>'LUC-2012-08-10-Run3'!AL43</f>
        <v>3.7045454545454552E-3</v>
      </c>
      <c r="K36" s="55">
        <f>'LUC-2012-08-10-Run3'!AM43</f>
        <v>3.7518181818181826E-3</v>
      </c>
      <c r="L36" s="55">
        <f>'LUC-2012-08-10-Run3'!AN43</f>
        <v>3.7990909090909099E-3</v>
      </c>
      <c r="M36" s="55">
        <f>'LUC-2012-08-10-Run3'!AO43</f>
        <v>3.8463636363636369E-3</v>
      </c>
      <c r="N36" s="55">
        <f>'LUC-2012-08-10-Run3'!AP43</f>
        <v>3.8936363636363643E-3</v>
      </c>
      <c r="O36" s="55">
        <f>'LUC-2012-08-10-Run3'!AQ43</f>
        <v>3.9409090909090913E-3</v>
      </c>
      <c r="P36" s="55">
        <f>'LUC-2012-08-10-Run3'!AR43</f>
        <v>3.9881818181818187E-3</v>
      </c>
      <c r="Q36" s="55">
        <f>'LUC-2012-08-10-Run3'!AS43</f>
        <v>4.0354545454545461E-3</v>
      </c>
      <c r="R36" s="55">
        <f>'LUC-2012-08-10-Run3'!AT43</f>
        <v>4.0827272727272735E-3</v>
      </c>
      <c r="S36" s="55">
        <f>'LUC-2012-08-10-Run3'!AU43</f>
        <v>4.1300000000000009E-3</v>
      </c>
      <c r="T36" s="55">
        <f>'LUC-2012-08-10-Run3'!AV43</f>
        <v>4.1579545454545463E-3</v>
      </c>
      <c r="U36" s="55">
        <f>'LUC-2012-08-10-Run3'!AW43</f>
        <v>4.1859090909090917E-3</v>
      </c>
      <c r="V36" s="55">
        <f>'LUC-2012-08-10-Run3'!AX43</f>
        <v>4.2138636363636371E-3</v>
      </c>
      <c r="W36" s="55">
        <f>'LUC-2012-08-10-Run3'!AY43</f>
        <v>4.2418181818181825E-3</v>
      </c>
      <c r="X36" s="55">
        <f>'LUC-2012-08-10-Run3'!AZ43</f>
        <v>4.269772727272728E-3</v>
      </c>
      <c r="Y36" s="55">
        <f>'LUC-2012-08-10-Run3'!BA43</f>
        <v>4.2977272727272734E-3</v>
      </c>
      <c r="Z36" s="55">
        <f>'LUC-2012-08-10-Run3'!BB43</f>
        <v>4.3256818181818188E-3</v>
      </c>
      <c r="AA36" s="55">
        <f>'LUC-2012-08-10-Run3'!BC43</f>
        <v>4.3536363636363642E-3</v>
      </c>
      <c r="AB36" s="55">
        <f>'LUC-2012-08-10-Run3'!BD43</f>
        <v>4.3815909090909096E-3</v>
      </c>
      <c r="AC36" s="55">
        <f>'LUC-2012-08-10-Run3'!BE43</f>
        <v>4.4095454545454551E-3</v>
      </c>
      <c r="AD36" s="55">
        <f>'LUC-2012-08-10-Run3'!BF43</f>
        <v>4.4375000000000005E-3</v>
      </c>
      <c r="AE36" s="55">
        <f>'LUC-2012-08-10-Run3'!BG43</f>
        <v>4.4654545454545459E-3</v>
      </c>
      <c r="AF36" s="55">
        <f>'LUC-2012-08-10-Run3'!BH43</f>
        <v>4.4934090909090913E-3</v>
      </c>
      <c r="AG36" s="55">
        <f>'LUC-2012-08-10-Run3'!BI43</f>
        <v>4.5213636363636367E-3</v>
      </c>
      <c r="AH36" s="55">
        <f>'LUC-2012-08-10-Run3'!BJ43</f>
        <v>4.5493181818181821E-3</v>
      </c>
      <c r="AI36" s="55">
        <f>'LUC-2012-08-10-Run3'!BK43</f>
        <v>4.5772727272727276E-3</v>
      </c>
      <c r="AJ36" s="55">
        <f>'LUC-2012-08-10-Run3'!BL43</f>
        <v>4.605227272727273E-3</v>
      </c>
      <c r="AK36" s="55">
        <f>'LUC-2012-08-10-Run3'!BM43</f>
        <v>4.6331818181818184E-3</v>
      </c>
      <c r="AL36" s="55">
        <f>'LUC-2012-08-10-Run3'!BN43</f>
        <v>4.6611363636363638E-3</v>
      </c>
      <c r="AM36" s="55">
        <f>'LUC-2012-08-10-Run3'!BO43</f>
        <v>4.6890909090909101E-3</v>
      </c>
      <c r="AN36" s="55">
        <f>'LUC-2012-08-10-Run3'!BP43</f>
        <v>4.7170454545454547E-3</v>
      </c>
      <c r="AO36" s="55">
        <f>'LUC-2012-08-10-Run3'!BQ43</f>
        <v>4.745000000000001E-3</v>
      </c>
      <c r="AP36" s="55">
        <f>'LUC-2012-08-10-Run3'!BR43</f>
        <v>4.7729545454545455E-3</v>
      </c>
      <c r="AQ36" s="55">
        <f>'LUC-2012-08-10-Run3'!BS43</f>
        <v>4.8009090909090918E-3</v>
      </c>
      <c r="AR36" s="55">
        <f>'LUC-2012-08-10-Run3'!BT43</f>
        <v>4.8288636363636372E-3</v>
      </c>
      <c r="AS36" s="55">
        <f>'LUC-2012-08-10-Run3'!BU43</f>
        <v>4.8568181818181826E-3</v>
      </c>
      <c r="AT36" s="55">
        <f>'LUC-2012-08-10-Run3'!BV43</f>
        <v>4.8847727272727281E-3</v>
      </c>
      <c r="AU36" s="55">
        <f>'LUC-2012-08-10-Run3'!BW43</f>
        <v>4.9127272727272735E-3</v>
      </c>
      <c r="AV36" s="55">
        <f>'LUC-2012-08-10-Run3'!BX43</f>
        <v>4.9406818181818189E-3</v>
      </c>
      <c r="AW36" s="55">
        <f>'LUC-2012-08-10-Run3'!BY43</f>
        <v>4.9686363636363643E-3</v>
      </c>
      <c r="AX36" s="55">
        <f>'LUC-2012-08-10-Run3'!BZ43</f>
        <v>4.9965909090909097E-3</v>
      </c>
      <c r="AY36" s="55">
        <f>'LUC-2012-08-10-Run3'!CA43</f>
        <v>5.0245454545454551E-3</v>
      </c>
      <c r="AZ36" s="55">
        <f>'LUC-2012-08-10-Run3'!CB43</f>
        <v>5.0525000000000006E-3</v>
      </c>
      <c r="BA36" s="55">
        <f>'LUC-2012-08-10-Run3'!CC43</f>
        <v>5.080454545454546E-3</v>
      </c>
      <c r="BB36" s="55">
        <f>'LUC-2012-08-10-Run3'!CD43</f>
        <v>5.1084090909090914E-3</v>
      </c>
      <c r="BC36" s="55">
        <f>'LUC-2012-08-10-Run3'!CE43</f>
        <v>5.1363636363636368E-3</v>
      </c>
      <c r="BD36" s="55">
        <f>'LUC-2012-08-10-Run3'!CF43</f>
        <v>5.1643181818181822E-3</v>
      </c>
      <c r="BE36" s="55">
        <f>'LUC-2012-08-10-Run3'!CG43</f>
        <v>5.1922727272727277E-3</v>
      </c>
      <c r="BF36" s="55">
        <f>'LUC-2012-08-10-Run3'!CH43</f>
        <v>5.2202272727272731E-3</v>
      </c>
      <c r="BG36" s="55">
        <f>'LUC-2012-08-10-Run3'!CI43</f>
        <v>5.2481818181818185E-3</v>
      </c>
      <c r="BH36" s="55">
        <f>'LUC-2012-08-10-Run3'!CJ43</f>
        <v>5.2761363636363639E-3</v>
      </c>
      <c r="BI36" s="55">
        <f>'LUC-2012-08-10-Run3'!CK43</f>
        <v>5.3040909090909093E-3</v>
      </c>
      <c r="BJ36" s="55">
        <f>'LUC-2012-08-10-Run3'!CL43</f>
        <v>5.3320454545454548E-3</v>
      </c>
      <c r="BK36" s="55">
        <f>'LUC-2012-08-10-Run3'!CM43</f>
        <v>5.3600000000000002E-3</v>
      </c>
      <c r="BM36" s="108"/>
      <c r="BN36" s="57" t="s">
        <v>111</v>
      </c>
      <c r="BO36" s="83">
        <f t="shared" si="21"/>
        <v>1.4251346260975675</v>
      </c>
      <c r="BP36" s="83">
        <f t="shared" si="22"/>
        <v>1.5535321113085923</v>
      </c>
      <c r="BQ36" s="83">
        <f t="shared" si="23"/>
        <v>1.6874313272180377</v>
      </c>
      <c r="BR36" s="83">
        <f t="shared" si="24"/>
        <v>1.8081835583066099</v>
      </c>
      <c r="BS36" s="83">
        <f t="shared" si="25"/>
        <v>1.9289357893951826</v>
      </c>
      <c r="BT36" s="83">
        <f t="shared" si="26"/>
        <v>2.0496880204837549</v>
      </c>
      <c r="BU36" s="83">
        <f t="shared" si="27"/>
        <v>2.1704402515723271</v>
      </c>
    </row>
    <row r="37" spans="1:75" x14ac:dyDescent="0.25">
      <c r="A37" s="56" t="s">
        <v>38</v>
      </c>
      <c r="B37" s="54" t="s">
        <v>111</v>
      </c>
      <c r="C37" s="56" t="s">
        <v>107</v>
      </c>
      <c r="D37" s="55">
        <f>'LUC-2012-08-10-Run3'!AF44</f>
        <v>1.4251346260975674E-3</v>
      </c>
      <c r="E37" s="55">
        <f>'LUC-2012-08-10-Run3'!AG44</f>
        <v>1.4394010133432368E-3</v>
      </c>
      <c r="F37" s="55">
        <f>'LUC-2012-08-10-Run3'!AH44</f>
        <v>1.4536674005889063E-3</v>
      </c>
      <c r="G37" s="55">
        <f>'LUC-2012-08-10-Run3'!AI44</f>
        <v>1.4679337878345756E-3</v>
      </c>
      <c r="H37" s="55">
        <f>'LUC-2012-08-10-Run3'!AJ44</f>
        <v>1.4822001750802451E-3</v>
      </c>
      <c r="I37" s="55">
        <f>'LUC-2012-08-10-Run3'!AK44</f>
        <v>1.4964665623259145E-3</v>
      </c>
      <c r="J37" s="55">
        <f>'LUC-2012-08-10-Run3'!AL44</f>
        <v>1.510732949571584E-3</v>
      </c>
      <c r="K37" s="55">
        <f>'LUC-2012-08-10-Run3'!AM44</f>
        <v>1.5249993368172533E-3</v>
      </c>
      <c r="L37" s="55">
        <f>'LUC-2012-08-10-Run3'!AN44</f>
        <v>1.5392657240629226E-3</v>
      </c>
      <c r="M37" s="55">
        <f>'LUC-2012-08-10-Run3'!AO44</f>
        <v>1.5535321113085922E-3</v>
      </c>
      <c r="N37" s="55">
        <f>'LUC-2012-08-10-Run3'!AP44</f>
        <v>1.5677984985542617E-3</v>
      </c>
      <c r="O37" s="55">
        <f>'LUC-2012-08-10-Run3'!AQ44</f>
        <v>1.582064885799931E-3</v>
      </c>
      <c r="P37" s="55">
        <f>'LUC-2012-08-10-Run3'!AR44</f>
        <v>1.5963312730456003E-3</v>
      </c>
      <c r="Q37" s="55">
        <f>'LUC-2012-08-10-Run3'!AS44</f>
        <v>1.6105976602912699E-3</v>
      </c>
      <c r="R37" s="55">
        <f>'LUC-2012-08-10-Run3'!AT44</f>
        <v>1.6248640475369394E-3</v>
      </c>
      <c r="S37" s="55">
        <f>'LUC-2012-08-10-Run3'!AU44</f>
        <v>1.6391304347826087E-3</v>
      </c>
      <c r="T37" s="55">
        <f>'LUC-2012-08-10-Run3'!AV44</f>
        <v>1.6512056578914659E-3</v>
      </c>
      <c r="U37" s="55">
        <f>'LUC-2012-08-10-Run3'!AW44</f>
        <v>1.6632808810003231E-3</v>
      </c>
      <c r="V37" s="55">
        <f>'LUC-2012-08-10-Run3'!AX44</f>
        <v>1.6753561041091805E-3</v>
      </c>
      <c r="W37" s="55">
        <f>'LUC-2012-08-10-Run3'!AY44</f>
        <v>1.6874313272180377E-3</v>
      </c>
      <c r="X37" s="55">
        <f>'LUC-2012-08-10-Run3'!AZ44</f>
        <v>1.6995065503268949E-3</v>
      </c>
      <c r="Y37" s="55">
        <f>'LUC-2012-08-10-Run3'!BA44</f>
        <v>1.7115817734357521E-3</v>
      </c>
      <c r="Z37" s="55">
        <f>'LUC-2012-08-10-Run3'!BB44</f>
        <v>1.7236569965446095E-3</v>
      </c>
      <c r="AA37" s="55">
        <f>'LUC-2012-08-10-Run3'!BC44</f>
        <v>1.7357322196534667E-3</v>
      </c>
      <c r="AB37" s="55">
        <f>'LUC-2012-08-10-Run3'!BD44</f>
        <v>1.7478074427623239E-3</v>
      </c>
      <c r="AC37" s="55">
        <f>'LUC-2012-08-10-Run3'!BE44</f>
        <v>1.759882665871181E-3</v>
      </c>
      <c r="AD37" s="55">
        <f>'LUC-2012-08-10-Run3'!BF44</f>
        <v>1.7719578889800382E-3</v>
      </c>
      <c r="AE37" s="55">
        <f>'LUC-2012-08-10-Run3'!BG44</f>
        <v>1.7840331120888956E-3</v>
      </c>
      <c r="AF37" s="55">
        <f>'LUC-2012-08-10-Run3'!BH44</f>
        <v>1.7961083351977528E-3</v>
      </c>
      <c r="AG37" s="55">
        <f>'LUC-2012-08-10-Run3'!BI44</f>
        <v>1.80818355830661E-3</v>
      </c>
      <c r="AH37" s="55">
        <f>'LUC-2012-08-10-Run3'!BJ44</f>
        <v>1.8202587814154672E-3</v>
      </c>
      <c r="AI37" s="55">
        <f>'LUC-2012-08-10-Run3'!BK44</f>
        <v>1.8323340045243246E-3</v>
      </c>
      <c r="AJ37" s="55">
        <f>'LUC-2012-08-10-Run3'!BL44</f>
        <v>1.8444092276331818E-3</v>
      </c>
      <c r="AK37" s="55">
        <f>'LUC-2012-08-10-Run3'!BM44</f>
        <v>1.856484450742039E-3</v>
      </c>
      <c r="AL37" s="55">
        <f>'LUC-2012-08-10-Run3'!BN44</f>
        <v>1.8685596738508962E-3</v>
      </c>
      <c r="AM37" s="55">
        <f>'LUC-2012-08-10-Run3'!BO44</f>
        <v>1.8806348969597534E-3</v>
      </c>
      <c r="AN37" s="55">
        <f>'LUC-2012-08-10-Run3'!BP44</f>
        <v>1.8927101200686108E-3</v>
      </c>
      <c r="AO37" s="55">
        <f>'LUC-2012-08-10-Run3'!BQ44</f>
        <v>1.904785343177468E-3</v>
      </c>
      <c r="AP37" s="55">
        <f>'LUC-2012-08-10-Run3'!BR44</f>
        <v>1.9168605662863252E-3</v>
      </c>
      <c r="AQ37" s="55">
        <f>'LUC-2012-08-10-Run3'!BS44</f>
        <v>1.9289357893951826E-3</v>
      </c>
      <c r="AR37" s="55">
        <f>'LUC-2012-08-10-Run3'!BT44</f>
        <v>1.9410110125040398E-3</v>
      </c>
      <c r="AS37" s="55">
        <f>'LUC-2012-08-10-Run3'!BU44</f>
        <v>1.953086235612897E-3</v>
      </c>
      <c r="AT37" s="55">
        <f>'LUC-2012-08-10-Run3'!BV44</f>
        <v>1.9651614587217541E-3</v>
      </c>
      <c r="AU37" s="55">
        <f>'LUC-2012-08-10-Run3'!BW44</f>
        <v>1.9772366818306113E-3</v>
      </c>
      <c r="AV37" s="55">
        <f>'LUC-2012-08-10-Run3'!BX44</f>
        <v>1.9893119049394685E-3</v>
      </c>
      <c r="AW37" s="55">
        <f>'LUC-2012-08-10-Run3'!BY44</f>
        <v>2.0013871280483257E-3</v>
      </c>
      <c r="AX37" s="55">
        <f>'LUC-2012-08-10-Run3'!BZ44</f>
        <v>2.0134623511571829E-3</v>
      </c>
      <c r="AY37" s="55">
        <f>'LUC-2012-08-10-Run3'!CA44</f>
        <v>2.0255375742660405E-3</v>
      </c>
      <c r="AZ37" s="55">
        <f>'LUC-2012-08-10-Run3'!CB44</f>
        <v>2.0376127973748977E-3</v>
      </c>
      <c r="BA37" s="55">
        <f>'LUC-2012-08-10-Run3'!CC44</f>
        <v>2.0496880204837549E-3</v>
      </c>
      <c r="BB37" s="55">
        <f>'LUC-2012-08-10-Run3'!CD44</f>
        <v>2.0617632435926121E-3</v>
      </c>
      <c r="BC37" s="55">
        <f>'LUC-2012-08-10-Run3'!CE44</f>
        <v>2.0738384667014693E-3</v>
      </c>
      <c r="BD37" s="55">
        <f>'LUC-2012-08-10-Run3'!CF44</f>
        <v>2.0859136898103265E-3</v>
      </c>
      <c r="BE37" s="55">
        <f>'LUC-2012-08-10-Run3'!CG44</f>
        <v>2.0979889129191837E-3</v>
      </c>
      <c r="BF37" s="55">
        <f>'LUC-2012-08-10-Run3'!CH44</f>
        <v>2.1100641360280409E-3</v>
      </c>
      <c r="BG37" s="55">
        <f>'LUC-2012-08-10-Run3'!CI44</f>
        <v>2.1221393591368985E-3</v>
      </c>
      <c r="BH37" s="55">
        <f>'LUC-2012-08-10-Run3'!CJ44</f>
        <v>2.1342145822457557E-3</v>
      </c>
      <c r="BI37" s="55">
        <f>'LUC-2012-08-10-Run3'!CK44</f>
        <v>2.1462898053546129E-3</v>
      </c>
      <c r="BJ37" s="55">
        <f>'LUC-2012-08-10-Run3'!CL44</f>
        <v>2.1583650284634701E-3</v>
      </c>
      <c r="BK37" s="55">
        <f>'LUC-2012-08-10-Run3'!CM44</f>
        <v>2.1704402515723272E-3</v>
      </c>
      <c r="BM37" s="108"/>
      <c r="BN37" s="57" t="s">
        <v>102</v>
      </c>
      <c r="BO37" s="83">
        <f t="shared" si="21"/>
        <v>1.6577549140049139</v>
      </c>
      <c r="BP37" s="83">
        <f t="shared" si="22"/>
        <v>1.8618857493857495</v>
      </c>
      <c r="BQ37" s="83">
        <f t="shared" si="23"/>
        <v>2.0799754299754296</v>
      </c>
      <c r="BR37" s="83">
        <f t="shared" si="24"/>
        <v>2.2849815724815721</v>
      </c>
      <c r="BS37" s="83">
        <f t="shared" si="25"/>
        <v>2.489987714987715</v>
      </c>
      <c r="BT37" s="83">
        <f t="shared" si="26"/>
        <v>2.6949938574938574</v>
      </c>
      <c r="BU37" s="83">
        <f t="shared" si="27"/>
        <v>2.9</v>
      </c>
    </row>
    <row r="38" spans="1:75" x14ac:dyDescent="0.25">
      <c r="A38" s="56" t="s">
        <v>38</v>
      </c>
      <c r="B38" s="54" t="s">
        <v>102</v>
      </c>
      <c r="C38" s="56" t="s">
        <v>107</v>
      </c>
      <c r="D38" s="55">
        <f>'LUC-2012-08-10-Run3'!AF45</f>
        <v>1.6577549140049139E-3</v>
      </c>
      <c r="E38" s="55">
        <f>'LUC-2012-08-10-Run3'!AG45</f>
        <v>1.6804361179361179E-3</v>
      </c>
      <c r="F38" s="55">
        <f>'LUC-2012-08-10-Run3'!AH45</f>
        <v>1.7031173218673219E-3</v>
      </c>
      <c r="G38" s="55">
        <f>'LUC-2012-08-10-Run3'!AI45</f>
        <v>1.7257985257985258E-3</v>
      </c>
      <c r="H38" s="55">
        <f>'LUC-2012-08-10-Run3'!AJ45</f>
        <v>1.7484797297297296E-3</v>
      </c>
      <c r="I38" s="55">
        <f>'LUC-2012-08-10-Run3'!AK45</f>
        <v>1.7711609336609336E-3</v>
      </c>
      <c r="J38" s="55">
        <f>'LUC-2012-08-10-Run3'!AL45</f>
        <v>1.7938421375921377E-3</v>
      </c>
      <c r="K38" s="55">
        <f>'LUC-2012-08-10-Run3'!AM45</f>
        <v>1.8165233415233415E-3</v>
      </c>
      <c r="L38" s="55">
        <f>'LUC-2012-08-10-Run3'!AN45</f>
        <v>1.8392045454545453E-3</v>
      </c>
      <c r="M38" s="55">
        <f>'LUC-2012-08-10-Run3'!AO45</f>
        <v>1.8618857493857494E-3</v>
      </c>
      <c r="N38" s="55">
        <f>'LUC-2012-08-10-Run3'!AP45</f>
        <v>1.8845669533169532E-3</v>
      </c>
      <c r="O38" s="55">
        <f>'LUC-2012-08-10-Run3'!AQ45</f>
        <v>1.907248157248157E-3</v>
      </c>
      <c r="P38" s="55">
        <f>'LUC-2012-08-10-Run3'!AR45</f>
        <v>1.9299293611793611E-3</v>
      </c>
      <c r="Q38" s="55">
        <f>'LUC-2012-08-10-Run3'!AS45</f>
        <v>1.9526105651105651E-3</v>
      </c>
      <c r="R38" s="55">
        <f>'LUC-2012-08-10-Run3'!AT45</f>
        <v>1.9752917690417692E-3</v>
      </c>
      <c r="S38" s="55">
        <f>'LUC-2012-08-10-Run3'!AU45</f>
        <v>1.9979729729729728E-3</v>
      </c>
      <c r="T38" s="55">
        <f>'LUC-2012-08-10-Run3'!AV45</f>
        <v>2.0184735872235873E-3</v>
      </c>
      <c r="U38" s="55">
        <f>'LUC-2012-08-10-Run3'!AW45</f>
        <v>2.0389742014742013E-3</v>
      </c>
      <c r="V38" s="55">
        <f>'LUC-2012-08-10-Run3'!AX45</f>
        <v>2.0594748157248153E-3</v>
      </c>
      <c r="W38" s="55">
        <f>'LUC-2012-08-10-Run3'!AY45</f>
        <v>2.0799754299754298E-3</v>
      </c>
      <c r="X38" s="55">
        <f>'LUC-2012-08-10-Run3'!AZ45</f>
        <v>2.1004760442260443E-3</v>
      </c>
      <c r="Y38" s="55">
        <f>'LUC-2012-08-10-Run3'!BA45</f>
        <v>2.1209766584766583E-3</v>
      </c>
      <c r="Z38" s="55">
        <f>'LUC-2012-08-10-Run3'!BB45</f>
        <v>2.1414772727272723E-3</v>
      </c>
      <c r="AA38" s="55">
        <f>'LUC-2012-08-10-Run3'!BC45</f>
        <v>2.1619778869778868E-3</v>
      </c>
      <c r="AB38" s="55">
        <f>'LUC-2012-08-10-Run3'!BD45</f>
        <v>2.1824785012285013E-3</v>
      </c>
      <c r="AC38" s="55">
        <f>'LUC-2012-08-10-Run3'!BE45</f>
        <v>2.2029791154791153E-3</v>
      </c>
      <c r="AD38" s="55">
        <f>'LUC-2012-08-10-Run3'!BF45</f>
        <v>2.2234797297297293E-3</v>
      </c>
      <c r="AE38" s="55">
        <f>'LUC-2012-08-10-Run3'!BG45</f>
        <v>2.2439803439803438E-3</v>
      </c>
      <c r="AF38" s="55">
        <f>'LUC-2012-08-10-Run3'!BH45</f>
        <v>2.2644809582309583E-3</v>
      </c>
      <c r="AG38" s="55">
        <f>'LUC-2012-08-10-Run3'!BI45</f>
        <v>2.2849815724815723E-3</v>
      </c>
      <c r="AH38" s="55">
        <f>'LUC-2012-08-10-Run3'!BJ45</f>
        <v>2.3054821867321863E-3</v>
      </c>
      <c r="AI38" s="55">
        <f>'LUC-2012-08-10-Run3'!BK45</f>
        <v>2.3259828009828008E-3</v>
      </c>
      <c r="AJ38" s="55">
        <f>'LUC-2012-08-10-Run3'!BL45</f>
        <v>2.3464834152334153E-3</v>
      </c>
      <c r="AK38" s="55">
        <f>'LUC-2012-08-10-Run3'!BM45</f>
        <v>2.3669840294840293E-3</v>
      </c>
      <c r="AL38" s="55">
        <f>'LUC-2012-08-10-Run3'!BN45</f>
        <v>2.3874846437346433E-3</v>
      </c>
      <c r="AM38" s="55">
        <f>'LUC-2012-08-10-Run3'!BO45</f>
        <v>2.4079852579852578E-3</v>
      </c>
      <c r="AN38" s="55">
        <f>'LUC-2012-08-10-Run3'!BP45</f>
        <v>2.4284858722358723E-3</v>
      </c>
      <c r="AO38" s="55">
        <f>'LUC-2012-08-10-Run3'!BQ45</f>
        <v>2.4489864864864863E-3</v>
      </c>
      <c r="AP38" s="55">
        <f>'LUC-2012-08-10-Run3'!BR45</f>
        <v>2.4694871007371003E-3</v>
      </c>
      <c r="AQ38" s="55">
        <f>'LUC-2012-08-10-Run3'!BS45</f>
        <v>2.4899877149877148E-3</v>
      </c>
      <c r="AR38" s="55">
        <f>'LUC-2012-08-10-Run3'!BT45</f>
        <v>2.5104883292383293E-3</v>
      </c>
      <c r="AS38" s="55">
        <f>'LUC-2012-08-10-Run3'!BU45</f>
        <v>2.5309889434889433E-3</v>
      </c>
      <c r="AT38" s="55">
        <f>'LUC-2012-08-10-Run3'!BV45</f>
        <v>2.5514895577395573E-3</v>
      </c>
      <c r="AU38" s="55">
        <f>'LUC-2012-08-10-Run3'!BW45</f>
        <v>2.5719901719901718E-3</v>
      </c>
      <c r="AV38" s="55">
        <f>'LUC-2012-08-10-Run3'!BX45</f>
        <v>2.5924907862407863E-3</v>
      </c>
      <c r="AW38" s="55">
        <f>'LUC-2012-08-10-Run3'!BY45</f>
        <v>2.6129914004914003E-3</v>
      </c>
      <c r="AX38" s="55">
        <f>'LUC-2012-08-10-Run3'!BZ45</f>
        <v>2.6334920147420143E-3</v>
      </c>
      <c r="AY38" s="55">
        <f>'LUC-2012-08-10-Run3'!CA45</f>
        <v>2.6539926289926288E-3</v>
      </c>
      <c r="AZ38" s="55">
        <f>'LUC-2012-08-10-Run3'!CB45</f>
        <v>2.6744932432432433E-3</v>
      </c>
      <c r="BA38" s="55">
        <f>'LUC-2012-08-10-Run3'!CC45</f>
        <v>2.6949938574938573E-3</v>
      </c>
      <c r="BB38" s="55">
        <f>'LUC-2012-08-10-Run3'!CD45</f>
        <v>2.7154944717444713E-3</v>
      </c>
      <c r="BC38" s="55">
        <f>'LUC-2012-08-10-Run3'!CE45</f>
        <v>2.7359950859950858E-3</v>
      </c>
      <c r="BD38" s="55">
        <f>'LUC-2012-08-10-Run3'!CF45</f>
        <v>2.7564957002457003E-3</v>
      </c>
      <c r="BE38" s="55">
        <f>'LUC-2012-08-10-Run3'!CG45</f>
        <v>2.7769963144963143E-3</v>
      </c>
      <c r="BF38" s="55">
        <f>'LUC-2012-08-10-Run3'!CH45</f>
        <v>2.7974969287469283E-3</v>
      </c>
      <c r="BG38" s="55">
        <f>'LUC-2012-08-10-Run3'!CI45</f>
        <v>2.8179975429975428E-3</v>
      </c>
      <c r="BH38" s="55">
        <f>'LUC-2012-08-10-Run3'!CJ45</f>
        <v>2.8384981572481573E-3</v>
      </c>
      <c r="BI38" s="55">
        <f>'LUC-2012-08-10-Run3'!CK45</f>
        <v>2.8589987714987713E-3</v>
      </c>
      <c r="BJ38" s="55">
        <f>'LUC-2012-08-10-Run3'!CL45</f>
        <v>2.8794993857493853E-3</v>
      </c>
      <c r="BK38" s="55">
        <f>'LUC-2012-08-10-Run3'!CM45</f>
        <v>2.8999999999999998E-3</v>
      </c>
      <c r="BM38" s="108"/>
      <c r="BN38" s="57" t="s">
        <v>103</v>
      </c>
      <c r="BO38" s="67">
        <f t="shared" si="21"/>
        <v>61.52272727272728</v>
      </c>
      <c r="BP38" s="67">
        <f t="shared" si="22"/>
        <v>65.409090909090921</v>
      </c>
      <c r="BQ38" s="67">
        <f t="shared" si="23"/>
        <v>71.27272727272728</v>
      </c>
      <c r="BR38" s="67">
        <f t="shared" si="24"/>
        <v>79.454545454545453</v>
      </c>
      <c r="BS38" s="67">
        <f t="shared" si="25"/>
        <v>87.63636363636364</v>
      </c>
      <c r="BT38" s="67">
        <f t="shared" si="26"/>
        <v>95.818181818181813</v>
      </c>
      <c r="BU38" s="67">
        <f t="shared" si="27"/>
        <v>104</v>
      </c>
    </row>
    <row r="39" spans="1:75" x14ac:dyDescent="0.25">
      <c r="A39" s="56" t="s">
        <v>38</v>
      </c>
      <c r="B39" s="54" t="s">
        <v>103</v>
      </c>
      <c r="C39" s="56" t="s">
        <v>107</v>
      </c>
      <c r="D39" s="55">
        <f>'LUC-2012-08-10-Run3'!AF46</f>
        <v>6.1522727272727278E-2</v>
      </c>
      <c r="E39" s="55">
        <f>'LUC-2012-08-10-Run3'!AG46</f>
        <v>6.1954545454545457E-2</v>
      </c>
      <c r="F39" s="55">
        <f>'LUC-2012-08-10-Run3'!AH46</f>
        <v>6.2386363636363643E-2</v>
      </c>
      <c r="G39" s="55">
        <f>'LUC-2012-08-10-Run3'!AI46</f>
        <v>6.2818181818181829E-2</v>
      </c>
      <c r="H39" s="55">
        <f>'LUC-2012-08-10-Run3'!AJ46</f>
        <v>6.3250000000000001E-2</v>
      </c>
      <c r="I39" s="55">
        <f>'LUC-2012-08-10-Run3'!AK46</f>
        <v>6.3681818181818187E-2</v>
      </c>
      <c r="J39" s="55">
        <f>'LUC-2012-08-10-Run3'!AL46</f>
        <v>6.4113636363636373E-2</v>
      </c>
      <c r="K39" s="55">
        <f>'LUC-2012-08-10-Run3'!AM46</f>
        <v>6.4545454545454545E-2</v>
      </c>
      <c r="L39" s="55">
        <f>'LUC-2012-08-10-Run3'!AN46</f>
        <v>6.4977272727272731E-2</v>
      </c>
      <c r="M39" s="55">
        <f>'LUC-2012-08-10-Run3'!AO46</f>
        <v>6.5409090909090917E-2</v>
      </c>
      <c r="N39" s="55">
        <f>'LUC-2012-08-10-Run3'!AP46</f>
        <v>6.5840909090909089E-2</v>
      </c>
      <c r="O39" s="55">
        <f>'LUC-2012-08-10-Run3'!AQ46</f>
        <v>6.6272727272727275E-2</v>
      </c>
      <c r="P39" s="55">
        <f>'LUC-2012-08-10-Run3'!AR46</f>
        <v>6.6704545454545461E-2</v>
      </c>
      <c r="Q39" s="55">
        <f>'LUC-2012-08-10-Run3'!AS46</f>
        <v>6.7136363636363633E-2</v>
      </c>
      <c r="R39" s="55">
        <f>'LUC-2012-08-10-Run3'!AT46</f>
        <v>6.7568181818181819E-2</v>
      </c>
      <c r="S39" s="55">
        <f>'LUC-2012-08-10-Run3'!AU46</f>
        <v>6.8000000000000005E-2</v>
      </c>
      <c r="T39" s="55">
        <f>'LUC-2012-08-10-Run3'!AV46</f>
        <v>6.881818181818182E-2</v>
      </c>
      <c r="U39" s="55">
        <f>'LUC-2012-08-10-Run3'!AW46</f>
        <v>6.9636363636363635E-2</v>
      </c>
      <c r="V39" s="55">
        <f>'LUC-2012-08-10-Run3'!AX46</f>
        <v>7.0454545454545464E-2</v>
      </c>
      <c r="W39" s="55">
        <f>'LUC-2012-08-10-Run3'!AY46</f>
        <v>7.1272727272727279E-2</v>
      </c>
      <c r="X39" s="55">
        <f>'LUC-2012-08-10-Run3'!AZ46</f>
        <v>7.2090909090909094E-2</v>
      </c>
      <c r="Y39" s="55">
        <f>'LUC-2012-08-10-Run3'!BA46</f>
        <v>7.290909090909091E-2</v>
      </c>
      <c r="Z39" s="55">
        <f>'LUC-2012-08-10-Run3'!BB46</f>
        <v>7.3727272727272725E-2</v>
      </c>
      <c r="AA39" s="55">
        <f>'LUC-2012-08-10-Run3'!BC46</f>
        <v>7.4545454545454554E-2</v>
      </c>
      <c r="AB39" s="55">
        <f>'LUC-2012-08-10-Run3'!BD46</f>
        <v>7.5363636363636369E-2</v>
      </c>
      <c r="AC39" s="55">
        <f>'LUC-2012-08-10-Run3'!BE46</f>
        <v>7.6181818181818184E-2</v>
      </c>
      <c r="AD39" s="55">
        <f>'LUC-2012-08-10-Run3'!BF46</f>
        <v>7.6999999999999999E-2</v>
      </c>
      <c r="AE39" s="55">
        <f>'LUC-2012-08-10-Run3'!BG46</f>
        <v>7.7818181818181814E-2</v>
      </c>
      <c r="AF39" s="55">
        <f>'LUC-2012-08-10-Run3'!BH46</f>
        <v>7.8636363636363643E-2</v>
      </c>
      <c r="AG39" s="55">
        <f>'LUC-2012-08-10-Run3'!BI46</f>
        <v>7.9454545454545458E-2</v>
      </c>
      <c r="AH39" s="55">
        <f>'LUC-2012-08-10-Run3'!BJ46</f>
        <v>8.0272727272727273E-2</v>
      </c>
      <c r="AI39" s="55">
        <f>'LUC-2012-08-10-Run3'!BK46</f>
        <v>8.1090909090909088E-2</v>
      </c>
      <c r="AJ39" s="55">
        <f>'LUC-2012-08-10-Run3'!BL46</f>
        <v>8.1909090909090904E-2</v>
      </c>
      <c r="AK39" s="55">
        <f>'LUC-2012-08-10-Run3'!BM46</f>
        <v>8.2727272727272733E-2</v>
      </c>
      <c r="AL39" s="55">
        <f>'LUC-2012-08-10-Run3'!BN46</f>
        <v>8.3545454545454548E-2</v>
      </c>
      <c r="AM39" s="55">
        <f>'LUC-2012-08-10-Run3'!BO46</f>
        <v>8.4363636363636363E-2</v>
      </c>
      <c r="AN39" s="55">
        <f>'LUC-2012-08-10-Run3'!BP46</f>
        <v>8.5181818181818178E-2</v>
      </c>
      <c r="AO39" s="55">
        <f>'LUC-2012-08-10-Run3'!BQ46</f>
        <v>8.5999999999999993E-2</v>
      </c>
      <c r="AP39" s="55">
        <f>'LUC-2012-08-10-Run3'!BR46</f>
        <v>8.6818181818181822E-2</v>
      </c>
      <c r="AQ39" s="55">
        <f>'LUC-2012-08-10-Run3'!BS46</f>
        <v>8.7636363636363637E-2</v>
      </c>
      <c r="AR39" s="55">
        <f>'LUC-2012-08-10-Run3'!BT46</f>
        <v>8.8454545454545452E-2</v>
      </c>
      <c r="AS39" s="55">
        <f>'LUC-2012-08-10-Run3'!BU46</f>
        <v>8.9272727272727267E-2</v>
      </c>
      <c r="AT39" s="55">
        <f>'LUC-2012-08-10-Run3'!BV46</f>
        <v>9.0090909090909083E-2</v>
      </c>
      <c r="AU39" s="55">
        <f>'LUC-2012-08-10-Run3'!BW46</f>
        <v>9.0909090909090912E-2</v>
      </c>
      <c r="AV39" s="55">
        <f>'LUC-2012-08-10-Run3'!BX46</f>
        <v>9.1727272727272727E-2</v>
      </c>
      <c r="AW39" s="55">
        <f>'LUC-2012-08-10-Run3'!BY46</f>
        <v>9.2545454545454542E-2</v>
      </c>
      <c r="AX39" s="55">
        <f>'LUC-2012-08-10-Run3'!BZ46</f>
        <v>9.3363636363636357E-2</v>
      </c>
      <c r="AY39" s="55">
        <f>'LUC-2012-08-10-Run3'!CA46</f>
        <v>9.4181818181818172E-2</v>
      </c>
      <c r="AZ39" s="55">
        <f>'LUC-2012-08-10-Run3'!CB46</f>
        <v>9.5000000000000001E-2</v>
      </c>
      <c r="BA39" s="55">
        <f>'LUC-2012-08-10-Run3'!CC46</f>
        <v>9.5818181818181816E-2</v>
      </c>
      <c r="BB39" s="55">
        <f>'LUC-2012-08-10-Run3'!CD46</f>
        <v>9.6636363636363631E-2</v>
      </c>
      <c r="BC39" s="55">
        <f>'LUC-2012-08-10-Run3'!CE46</f>
        <v>9.7454545454545446E-2</v>
      </c>
      <c r="BD39" s="55">
        <f>'LUC-2012-08-10-Run3'!CF46</f>
        <v>9.8272727272727262E-2</v>
      </c>
      <c r="BE39" s="55">
        <f>'LUC-2012-08-10-Run3'!CG46</f>
        <v>9.9090909090909091E-2</v>
      </c>
      <c r="BF39" s="55">
        <f>'LUC-2012-08-10-Run3'!CH46</f>
        <v>9.9909090909090906E-2</v>
      </c>
      <c r="BG39" s="55">
        <f>'LUC-2012-08-10-Run3'!CI46</f>
        <v>0.10072727272727272</v>
      </c>
      <c r="BH39" s="55">
        <f>'LUC-2012-08-10-Run3'!CJ46</f>
        <v>0.10154545454545455</v>
      </c>
      <c r="BI39" s="55">
        <f>'LUC-2012-08-10-Run3'!CK46</f>
        <v>0.10236363636363635</v>
      </c>
      <c r="BJ39" s="55">
        <f>'LUC-2012-08-10-Run3'!CL46</f>
        <v>0.10318181818181818</v>
      </c>
      <c r="BK39" s="55">
        <f>'LUC-2012-08-10-Run3'!CM46</f>
        <v>0.104</v>
      </c>
      <c r="BM39" s="109"/>
      <c r="BN39" s="58" t="s">
        <v>104</v>
      </c>
      <c r="BO39" s="84">
        <f t="shared" si="21"/>
        <v>0.86618671127481961</v>
      </c>
      <c r="BP39" s="84">
        <f t="shared" si="22"/>
        <v>0.9303922102831238</v>
      </c>
      <c r="BQ39" s="84">
        <f t="shared" si="23"/>
        <v>1.043298969072165</v>
      </c>
      <c r="BR39" s="84">
        <f t="shared" si="24"/>
        <v>1.2185567010309277</v>
      </c>
      <c r="BS39" s="84">
        <f t="shared" si="25"/>
        <v>1.3938144329896907</v>
      </c>
      <c r="BT39" s="84">
        <f t="shared" si="26"/>
        <v>1.5690721649484536</v>
      </c>
      <c r="BU39" s="84">
        <f t="shared" si="27"/>
        <v>1.7443298969072165</v>
      </c>
    </row>
    <row r="40" spans="1:75" x14ac:dyDescent="0.25">
      <c r="A40" s="56" t="s">
        <v>38</v>
      </c>
      <c r="B40" s="54" t="s">
        <v>104</v>
      </c>
      <c r="C40" s="56" t="s">
        <v>107</v>
      </c>
      <c r="D40" s="55">
        <f>'LUC-2012-08-10-Run3'!AF50</f>
        <v>8.6618671127481966E-4</v>
      </c>
      <c r="E40" s="55">
        <f>'LUC-2012-08-10-Run3'!AG50</f>
        <v>8.7332065560907562E-4</v>
      </c>
      <c r="F40" s="55">
        <f>'LUC-2012-08-10-Run3'!AH50</f>
        <v>8.8045459994333169E-4</v>
      </c>
      <c r="G40" s="55">
        <f>'LUC-2012-08-10-Run3'!AI50</f>
        <v>8.8758854427758765E-4</v>
      </c>
      <c r="H40" s="55">
        <f>'LUC-2012-08-10-Run3'!AJ50</f>
        <v>8.9472248861184372E-4</v>
      </c>
      <c r="I40" s="55">
        <f>'LUC-2012-08-10-Run3'!AK50</f>
        <v>9.0185643294609969E-4</v>
      </c>
      <c r="J40" s="55">
        <f>'LUC-2012-08-10-Run3'!AL50</f>
        <v>9.0899037728035576E-4</v>
      </c>
      <c r="K40" s="55">
        <f>'LUC-2012-08-10-Run3'!AM50</f>
        <v>9.1612432161461172E-4</v>
      </c>
      <c r="L40" s="55">
        <f>'LUC-2012-08-10-Run3'!AN50</f>
        <v>9.2325826594886768E-4</v>
      </c>
      <c r="M40" s="55">
        <f>'LUC-2012-08-10-Run3'!AO50</f>
        <v>9.3039221028312375E-4</v>
      </c>
      <c r="N40" s="55">
        <f>'LUC-2012-08-10-Run3'!AP50</f>
        <v>9.3752615461737982E-4</v>
      </c>
      <c r="O40" s="55">
        <f>'LUC-2012-08-10-Run3'!AQ50</f>
        <v>9.4466009895163578E-4</v>
      </c>
      <c r="P40" s="55">
        <f>'LUC-2012-08-10-Run3'!AR50</f>
        <v>9.5179404328589175E-4</v>
      </c>
      <c r="Q40" s="55">
        <f>'LUC-2012-08-10-Run3'!AS50</f>
        <v>9.5892798762014782E-4</v>
      </c>
      <c r="R40" s="55">
        <f>'LUC-2012-08-10-Run3'!AT50</f>
        <v>9.6606193195440389E-4</v>
      </c>
      <c r="S40" s="55">
        <f>'LUC-2012-08-10-Run3'!AU50</f>
        <v>9.7319587628865985E-4</v>
      </c>
      <c r="T40" s="55">
        <f>'LUC-2012-08-10-Run3'!AV50</f>
        <v>9.9072164948453621E-4</v>
      </c>
      <c r="U40" s="55">
        <f>'LUC-2012-08-10-Run3'!AW50</f>
        <v>1.0082474226804125E-3</v>
      </c>
      <c r="V40" s="55">
        <f>'LUC-2012-08-10-Run3'!AX50</f>
        <v>1.0257731958762887E-3</v>
      </c>
      <c r="W40" s="55">
        <f>'LUC-2012-08-10-Run3'!AY50</f>
        <v>1.043298969072165E-3</v>
      </c>
      <c r="X40" s="55">
        <f>'LUC-2012-08-10-Run3'!AZ50</f>
        <v>1.0608247422680412E-3</v>
      </c>
      <c r="Y40" s="55">
        <f>'LUC-2012-08-10-Run3'!BA50</f>
        <v>1.0783505154639175E-3</v>
      </c>
      <c r="Z40" s="55">
        <f>'LUC-2012-08-10-Run3'!BB50</f>
        <v>1.095876288659794E-3</v>
      </c>
      <c r="AA40" s="55">
        <f>'LUC-2012-08-10-Run3'!BC50</f>
        <v>1.1134020618556702E-3</v>
      </c>
      <c r="AB40" s="55">
        <f>'LUC-2012-08-10-Run3'!BD50</f>
        <v>1.1309278350515465E-3</v>
      </c>
      <c r="AC40" s="55">
        <f>'LUC-2012-08-10-Run3'!BE50</f>
        <v>1.1484536082474227E-3</v>
      </c>
      <c r="AD40" s="55">
        <f>'LUC-2012-08-10-Run3'!BF50</f>
        <v>1.165979381443299E-3</v>
      </c>
      <c r="AE40" s="55">
        <f>'LUC-2012-08-10-Run3'!BG50</f>
        <v>1.1835051546391752E-3</v>
      </c>
      <c r="AF40" s="55">
        <f>'LUC-2012-08-10-Run3'!BH50</f>
        <v>1.2010309278350515E-3</v>
      </c>
      <c r="AG40" s="55">
        <f>'LUC-2012-08-10-Run3'!BI50</f>
        <v>1.2185567010309277E-3</v>
      </c>
      <c r="AH40" s="55">
        <f>'LUC-2012-08-10-Run3'!BJ50</f>
        <v>1.236082474226804E-3</v>
      </c>
      <c r="AI40" s="55">
        <f>'LUC-2012-08-10-Run3'!BK50</f>
        <v>1.2536082474226805E-3</v>
      </c>
      <c r="AJ40" s="55">
        <f>'LUC-2012-08-10-Run3'!BL50</f>
        <v>1.2711340206185567E-3</v>
      </c>
      <c r="AK40" s="55">
        <f>'LUC-2012-08-10-Run3'!BM50</f>
        <v>1.288659793814433E-3</v>
      </c>
      <c r="AL40" s="55">
        <f>'LUC-2012-08-10-Run3'!BN50</f>
        <v>1.3061855670103092E-3</v>
      </c>
      <c r="AM40" s="55">
        <f>'LUC-2012-08-10-Run3'!BO50</f>
        <v>1.3237113402061855E-3</v>
      </c>
      <c r="AN40" s="55">
        <f>'LUC-2012-08-10-Run3'!BP50</f>
        <v>1.3412371134020619E-3</v>
      </c>
      <c r="AO40" s="55">
        <f>'LUC-2012-08-10-Run3'!BQ50</f>
        <v>1.3587628865979382E-3</v>
      </c>
      <c r="AP40" s="55">
        <f>'LUC-2012-08-10-Run3'!BR50</f>
        <v>1.3762886597938145E-3</v>
      </c>
      <c r="AQ40" s="55">
        <f>'LUC-2012-08-10-Run3'!BS50</f>
        <v>1.3938144329896907E-3</v>
      </c>
      <c r="AR40" s="55">
        <f>'LUC-2012-08-10-Run3'!BT50</f>
        <v>1.411340206185567E-3</v>
      </c>
      <c r="AS40" s="55">
        <f>'LUC-2012-08-10-Run3'!BU50</f>
        <v>1.4288659793814432E-3</v>
      </c>
      <c r="AT40" s="55">
        <f>'LUC-2012-08-10-Run3'!BV50</f>
        <v>1.4463917525773195E-3</v>
      </c>
      <c r="AU40" s="55">
        <f>'LUC-2012-08-10-Run3'!BW50</f>
        <v>1.4639175257731957E-3</v>
      </c>
      <c r="AV40" s="55">
        <f>'LUC-2012-08-10-Run3'!BX50</f>
        <v>1.481443298969072E-3</v>
      </c>
      <c r="AW40" s="55">
        <f>'LUC-2012-08-10-Run3'!BY50</f>
        <v>1.4989690721649482E-3</v>
      </c>
      <c r="AX40" s="55">
        <f>'LUC-2012-08-10-Run3'!BZ50</f>
        <v>1.5164948453608247E-3</v>
      </c>
      <c r="AY40" s="55">
        <f>'LUC-2012-08-10-Run3'!CA50</f>
        <v>1.534020618556701E-3</v>
      </c>
      <c r="AZ40" s="55">
        <f>'LUC-2012-08-10-Run3'!CB50</f>
        <v>1.5515463917525772E-3</v>
      </c>
      <c r="BA40" s="55">
        <f>'LUC-2012-08-10-Run3'!CC50</f>
        <v>1.5690721649484537E-3</v>
      </c>
      <c r="BB40" s="55">
        <f>'LUC-2012-08-10-Run3'!CD50</f>
        <v>1.5865979381443299E-3</v>
      </c>
      <c r="BC40" s="55">
        <f>'LUC-2012-08-10-Run3'!CE50</f>
        <v>1.6041237113402062E-3</v>
      </c>
      <c r="BD40" s="55">
        <f>'LUC-2012-08-10-Run3'!CF50</f>
        <v>1.6216494845360824E-3</v>
      </c>
      <c r="BE40" s="55">
        <f>'LUC-2012-08-10-Run3'!CG50</f>
        <v>1.6391752577319587E-3</v>
      </c>
      <c r="BF40" s="55">
        <f>'LUC-2012-08-10-Run3'!CH50</f>
        <v>1.656701030927835E-3</v>
      </c>
      <c r="BG40" s="55">
        <f>'LUC-2012-08-10-Run3'!CI50</f>
        <v>1.6742268041237112E-3</v>
      </c>
      <c r="BH40" s="55">
        <f>'LUC-2012-08-10-Run3'!CJ50</f>
        <v>1.6917525773195875E-3</v>
      </c>
      <c r="BI40" s="55">
        <f>'LUC-2012-08-10-Run3'!CK50</f>
        <v>1.7092783505154637E-3</v>
      </c>
      <c r="BJ40" s="55">
        <f>'LUC-2012-08-10-Run3'!CL50</f>
        <v>1.72680412371134E-3</v>
      </c>
      <c r="BK40" s="55">
        <f>'LUC-2012-08-10-Run3'!CM50</f>
        <v>1.7443298969072164E-3</v>
      </c>
      <c r="BN40" s="56" t="s">
        <v>113</v>
      </c>
      <c r="BO40" s="51"/>
      <c r="BP40" s="51"/>
      <c r="BQ40" s="51"/>
      <c r="BR40" s="51"/>
      <c r="BS40" s="51"/>
      <c r="BT40" s="51"/>
      <c r="BU40" s="51"/>
    </row>
    <row r="41" spans="1:75" x14ac:dyDescent="0.25">
      <c r="BM41" s="61" t="s">
        <v>93</v>
      </c>
      <c r="BN41" s="61" t="s">
        <v>94</v>
      </c>
      <c r="BO41" s="61">
        <v>1991</v>
      </c>
      <c r="BP41" s="61">
        <v>2000</v>
      </c>
      <c r="BQ41" s="61">
        <v>2010</v>
      </c>
      <c r="BR41" s="61">
        <v>2020</v>
      </c>
      <c r="BS41" s="61">
        <v>2030</v>
      </c>
      <c r="BT41" s="61">
        <v>2040</v>
      </c>
      <c r="BU41" s="61">
        <v>2050</v>
      </c>
    </row>
    <row r="42" spans="1:75" x14ac:dyDescent="0.25">
      <c r="A42" s="54" t="s">
        <v>38</v>
      </c>
      <c r="B42" s="54" t="s">
        <v>105</v>
      </c>
      <c r="C42" s="54" t="s">
        <v>108</v>
      </c>
      <c r="D42" s="54">
        <f>SUM('25% by 2050 Ag'!AF15:AF16)</f>
        <v>264298.13384870189</v>
      </c>
      <c r="E42" s="54">
        <f>SUM('25% by 2050 Ag'!AG15:AG16)</f>
        <v>520633.93324715138</v>
      </c>
      <c r="F42" s="54">
        <f>SUM('25% by 2050 Ag'!AH15:AH16)</f>
        <v>769361.87263473251</v>
      </c>
      <c r="G42" s="54">
        <f>SUM('25% by 2050 Ag'!AI15:AI16)</f>
        <v>1010815.693040224</v>
      </c>
      <c r="H42" s="54">
        <f>SUM('25% by 2050 Ag'!AJ15:AJ16)</f>
        <v>1245309.8961211501</v>
      </c>
      <c r="I42" s="54">
        <f>SUM('25% by 2050 Ag'!AK15:AK16)</f>
        <v>1473141.1108468894</v>
      </c>
      <c r="J42" s="54">
        <f>SUM('25% by 2050 Ag'!AL15:AL16)</f>
        <v>1694589.3453137057</v>
      </c>
      <c r="K42" s="54">
        <f>SUM('25% by 2050 Ag'!AM15:AM16)</f>
        <v>1909919.13479971</v>
      </c>
      <c r="L42" s="54">
        <f>SUM('25% by 2050 Ag'!AN15:AN16)</f>
        <v>2119380.5959568662</v>
      </c>
      <c r="M42" s="54">
        <f>SUM('25% by 2050 Ag'!AO15:AO16)</f>
        <v>2323210.3959727613</v>
      </c>
      <c r="N42" s="54">
        <f>SUM('25% by 2050 Ag'!AP15:AP16)</f>
        <v>2501128.3875601627</v>
      </c>
      <c r="O42" s="54">
        <f>SUM('25% by 2050 Ag'!AQ15:AQ16)</f>
        <v>2992716.5447963728</v>
      </c>
      <c r="P42" s="54">
        <f>SUM('25% by 2050 Ag'!AR15:AR16)</f>
        <v>3870875.3137433636</v>
      </c>
      <c r="Q42" s="54">
        <f>SUM('25% by 2050 Ag'!AS15:AS16)</f>
        <v>4626359.6083531128</v>
      </c>
      <c r="R42" s="54">
        <f>SUM('25% by 2050 Ag'!AT15:AT16)</f>
        <v>5253285.8776954524</v>
      </c>
      <c r="S42" s="54">
        <f>SUM('25% by 2050 Ag'!AU15:AU16)</f>
        <v>6490042.973514053</v>
      </c>
      <c r="T42" s="54">
        <f>SUM('25% by 2050 Ag'!AV15:AV16)</f>
        <v>8626704.6787839495</v>
      </c>
      <c r="U42" s="54">
        <f>SUM('25% by 2050 Ag'!AW15:AW16)</f>
        <v>12227198.579180621</v>
      </c>
      <c r="V42" s="54">
        <f>SUM('25% by 2050 Ag'!AX15:AX16)</f>
        <v>13126471.001578134</v>
      </c>
      <c r="W42" s="54">
        <f>SUM('25% by 2050 Ag'!AY15:AY16)</f>
        <v>14105284.902994657</v>
      </c>
      <c r="X42" s="54">
        <f>SUM('25% by 2050 Ag'!AZ15:AZ16)</f>
        <v>15075644.188851245</v>
      </c>
      <c r="Y42" s="54">
        <f>SUM('25% by 2050 Ag'!BA15:BA16)</f>
        <v>16037657.929637915</v>
      </c>
      <c r="Z42" s="54">
        <f>SUM('25% by 2050 Ag'!BB15:BB16)</f>
        <v>16991433.327763122</v>
      </c>
      <c r="AA42" s="54">
        <f>SUM('25% by 2050 Ag'!BC15:BC16)</f>
        <v>17937075.757377177</v>
      </c>
      <c r="AB42" s="54">
        <f>SUM('25% by 2050 Ag'!BD15:BD16)</f>
        <v>18874688.803181317</v>
      </c>
      <c r="AC42" s="54">
        <f>SUM('25% by 2050 Ag'!BE15:BE16)</f>
        <v>19804374.298252288</v>
      </c>
      <c r="AD42" s="54">
        <f>SUM('25% by 2050 Ag'!BF15:BF16)</f>
        <v>20726232.360911638</v>
      </c>
      <c r="AE42" s="54">
        <f>SUM('25% by 2050 Ag'!BG15:BG16)</f>
        <v>21640361.430667602</v>
      </c>
      <c r="AF42" s="54">
        <f>SUM('25% by 2050 Ag'!BH15:BH16)</f>
        <v>22546858.967190493</v>
      </c>
      <c r="AG42" s="54">
        <f>SUM('25% by 2050 Ag'!BI15:BI16)</f>
        <v>24342282.691129331</v>
      </c>
      <c r="AH42" s="54">
        <f>SUM('25% by 2050 Ag'!BJ15:BJ16)</f>
        <v>26101073.490691878</v>
      </c>
      <c r="AI42" s="54">
        <f>SUM('25% by 2050 Ag'!BK15:BK16)</f>
        <v>27823777.346020684</v>
      </c>
      <c r="AJ42" s="54">
        <f>SUM('25% by 2050 Ag'!BL15:BL16)</f>
        <v>29510933.060536064</v>
      </c>
      <c r="AK42" s="54">
        <f>SUM('25% by 2050 Ag'!BM15:BM16)</f>
        <v>31163072.348484688</v>
      </c>
      <c r="AL42" s="54">
        <f>SUM('25% by 2050 Ag'!BN15:BN16)</f>
        <v>32780719.921488293</v>
      </c>
      <c r="AM42" s="54">
        <f>SUM('25% by 2050 Ag'!BO15:BO16)</f>
        <v>34364393.574103065</v>
      </c>
      <c r="AN42" s="54">
        <f>SUM('25% by 2050 Ag'!BP15:BP16)</f>
        <v>35914604.268399544</v>
      </c>
      <c r="AO42" s="54">
        <f>SUM('25% by 2050 Ag'!BQ15:BQ16)</f>
        <v>37431856.217573404</v>
      </c>
      <c r="AP42" s="54">
        <f>SUM('25% by 2050 Ag'!BR15:BR16)</f>
        <v>38916646.968596838</v>
      </c>
      <c r="AQ42" s="54">
        <f>SUM('25% by 2050 Ag'!BS15:BS16)</f>
        <v>40369467.483920813</v>
      </c>
      <c r="AR42" s="54">
        <f>SUM('25% by 2050 Ag'!BT15:BT16)</f>
        <v>41790802.222237781</v>
      </c>
      <c r="AS42" s="54">
        <f>SUM('25% by 2050 Ag'!BU15:BU16)</f>
        <v>43181129.218314737</v>
      </c>
      <c r="AT42" s="54">
        <f>SUM('25% by 2050 Ag'!BV15:BV16)</f>
        <v>44540920.161906488</v>
      </c>
      <c r="AU42" s="54">
        <f>SUM('25% by 2050 Ag'!BW15:BW16)</f>
        <v>45870640.475758456</v>
      </c>
      <c r="AV42" s="54">
        <f>SUM('25% by 2050 Ag'!BX15:BX16)</f>
        <v>47170749.392708987</v>
      </c>
      <c r="AW42" s="54">
        <f>SUM('25% by 2050 Ag'!BY15:BY16)</f>
        <v>48441700.031900316</v>
      </c>
      <c r="AX42" s="54">
        <f>SUM('25% by 2050 Ag'!BZ15:BZ16)</f>
        <v>49683939.474107847</v>
      </c>
      <c r="AY42" s="54">
        <f>SUM('25% by 2050 Ag'!CA15:CA16)</f>
        <v>50897908.83619687</v>
      </c>
      <c r="AZ42" s="54">
        <f>SUM('25% by 2050 Ag'!CB15:CB16)</f>
        <v>52084043.344716303</v>
      </c>
      <c r="BA42" s="54">
        <f>SUM('25% by 2050 Ag'!CC15:CC16)</f>
        <v>53242772.408638254</v>
      </c>
      <c r="BB42" s="54">
        <f>SUM('25% by 2050 Ag'!CD15:CD16)</f>
        <v>54374519.691252902</v>
      </c>
      <c r="BC42" s="54">
        <f>SUM('25% by 2050 Ag'!CE15:CE16)</f>
        <v>55479703.181227438</v>
      </c>
      <c r="BD42" s="54">
        <f>SUM('25% by 2050 Ag'!CF15:CF16)</f>
        <v>56558735.2628382</v>
      </c>
      <c r="BE42" s="54">
        <f>SUM('25% by 2050 Ag'!CG15:CG16)</f>
        <v>57612022.785384849</v>
      </c>
      <c r="BF42" s="54">
        <f>SUM('25% by 2050 Ag'!CH15:CH16)</f>
        <v>58639967.131795295</v>
      </c>
      <c r="BG42" s="54">
        <f>SUM('25% by 2050 Ag'!CI15:CI16)</f>
        <v>59642964.286430314</v>
      </c>
      <c r="BH42" s="54">
        <f>SUM('25% by 2050 Ag'!CJ15:CJ16)</f>
        <v>60621404.902096272</v>
      </c>
      <c r="BI42" s="54">
        <f>SUM('25% by 2050 Ag'!CK15:CK16)</f>
        <v>61575674.366274685</v>
      </c>
      <c r="BJ42" s="54">
        <f>SUM('25% by 2050 Ag'!CL15:CL16)</f>
        <v>62506152.866577119</v>
      </c>
      <c r="BK42" s="54">
        <f>SUM('25% by 2050 Ag'!CM15:CM16)</f>
        <v>63413215.455433682</v>
      </c>
      <c r="BM42" s="103" t="s">
        <v>38</v>
      </c>
      <c r="BN42" s="59" t="s">
        <v>105</v>
      </c>
      <c r="BO42" s="80">
        <f>D42/1000000</f>
        <v>0.26429813384870188</v>
      </c>
      <c r="BP42" s="79">
        <f>M42/1000000</f>
        <v>2.3232103959727612</v>
      </c>
      <c r="BQ42" s="64">
        <f>W42/1000000</f>
        <v>14.105284902994656</v>
      </c>
      <c r="BR42" s="64">
        <f>AG42/1000000</f>
        <v>24.342282691129331</v>
      </c>
      <c r="BS42" s="64">
        <f>AQ42/1000000</f>
        <v>40.369467483920815</v>
      </c>
      <c r="BT42" s="64">
        <f>BA42/1000000</f>
        <v>53.242772408638253</v>
      </c>
      <c r="BU42" s="64">
        <f>BK42/1000000</f>
        <v>63.413215455433679</v>
      </c>
    </row>
    <row r="43" spans="1:75" x14ac:dyDescent="0.25">
      <c r="A43" s="54" t="s">
        <v>38</v>
      </c>
      <c r="B43" s="54" t="s">
        <v>106</v>
      </c>
      <c r="C43" s="54" t="s">
        <v>108</v>
      </c>
      <c r="D43" s="54">
        <f>'25% by 2050 Ag'!AF23</f>
        <v>0</v>
      </c>
      <c r="E43" s="54">
        <f>'25% by 2050 Ag'!AG23</f>
        <v>0</v>
      </c>
      <c r="F43" s="54">
        <f>'25% by 2050 Ag'!AH23</f>
        <v>0</v>
      </c>
      <c r="G43" s="54">
        <f>'25% by 2050 Ag'!AI23</f>
        <v>0</v>
      </c>
      <c r="H43" s="54">
        <f>'25% by 2050 Ag'!AJ23</f>
        <v>0</v>
      </c>
      <c r="I43" s="54">
        <f>'25% by 2050 Ag'!AK23</f>
        <v>0</v>
      </c>
      <c r="J43" s="54">
        <f>'25% by 2050 Ag'!AL23</f>
        <v>0</v>
      </c>
      <c r="K43" s="54">
        <f>'25% by 2050 Ag'!AM23</f>
        <v>0</v>
      </c>
      <c r="L43" s="54">
        <f>'25% by 2050 Ag'!AN23</f>
        <v>0</v>
      </c>
      <c r="M43" s="54">
        <f>'25% by 2050 Ag'!AO23</f>
        <v>0</v>
      </c>
      <c r="N43" s="54">
        <f>'25% by 2050 Ag'!AP23</f>
        <v>26902.341993431211</v>
      </c>
      <c r="O43" s="54">
        <f>'25% by 2050 Ag'!AQ23</f>
        <v>32526.606109635377</v>
      </c>
      <c r="P43" s="54">
        <f>'25% by 2050 Ag'!AR23</f>
        <v>43564.042547470432</v>
      </c>
      <c r="Q43" s="54">
        <f>'25% by 2050 Ag'!AS23</f>
        <v>84536.761375307266</v>
      </c>
      <c r="R43" s="54">
        <f>'25% by 2050 Ag'!AT23</f>
        <v>271911.14066607878</v>
      </c>
      <c r="S43" s="54">
        <f>'25% by 2050 Ag'!AU23</f>
        <v>741604.83511076646</v>
      </c>
      <c r="T43" s="54">
        <f>'25% by 2050 Ag'!AV23</f>
        <v>1435703.7325092244</v>
      </c>
      <c r="U43" s="54">
        <f>'25% by 2050 Ag'!AW23</f>
        <v>1777556.8524855981</v>
      </c>
      <c r="V43" s="54">
        <f>'25% by 2050 Ag'!AX23</f>
        <v>1863278.5505074349</v>
      </c>
      <c r="W43" s="54">
        <f>'25% by 2050 Ag'!AY23</f>
        <v>1947310.4713917852</v>
      </c>
      <c r="X43" s="54">
        <f>'25% by 2050 Ag'!AZ23</f>
        <v>2029702.0917361467</v>
      </c>
      <c r="Y43" s="54">
        <f>'25% by 2050 Ag'!BA23</f>
        <v>2110500.9752444732</v>
      </c>
      <c r="Z43" s="54">
        <f>'25% by 2050 Ag'!BB23</f>
        <v>2189752.8642889517</v>
      </c>
      <c r="AA43" s="54">
        <f>'25% by 2050 Ag'!BC23</f>
        <v>2267501.7662624517</v>
      </c>
      <c r="AB43" s="54">
        <f>'25% by 2050 Ag'!BD23</f>
        <v>2343790.0350641971</v>
      </c>
      <c r="AC43" s="54">
        <f>'25% by 2050 Ag'!BE23</f>
        <v>2418658.4480356607</v>
      </c>
      <c r="AD43" s="54">
        <f>'25% by 2050 Ag'!BF23</f>
        <v>2492146.2786403401</v>
      </c>
      <c r="AE43" s="54">
        <f>'25% by 2050 Ag'!BG23</f>
        <v>2564291.3651595972</v>
      </c>
      <c r="AF43" s="54">
        <f>'25% by 2050 Ag'!BH23</f>
        <v>2635128.1051006331</v>
      </c>
      <c r="AG43" s="54">
        <f>'25% by 2050 Ag'!BI23</f>
        <v>3380614.92258952</v>
      </c>
      <c r="AH43" s="54">
        <f>'25% by 2050 Ag'!BJ23</f>
        <v>4112843.8300739746</v>
      </c>
      <c r="AI43" s="54">
        <f>'25% by 2050 Ag'!BK23</f>
        <v>4832165.3829819951</v>
      </c>
      <c r="AJ43" s="54">
        <f>'25% by 2050 Ag'!BL23</f>
        <v>5538917.885895811</v>
      </c>
      <c r="AK43" s="54">
        <f>'25% by 2050 Ag'!BM23</f>
        <v>6233427.9230790483</v>
      </c>
      <c r="AL43" s="54">
        <f>'25% by 2050 Ag'!BN23</f>
        <v>6916010.861671024</v>
      </c>
      <c r="AM43" s="54">
        <f>'25% by 2050 Ag'!BO23</f>
        <v>7586971.3291770834</v>
      </c>
      <c r="AN43" s="54">
        <f>'25% by 2050 Ag'!BP23</f>
        <v>8246603.6667738743</v>
      </c>
      <c r="AO43" s="54">
        <f>'25% by 2050 Ag'!BQ23</f>
        <v>8895192.3598467596</v>
      </c>
      <c r="AP43" s="54">
        <f>'25% by 2050 Ag'!BR23</f>
        <v>9533012.4470824003</v>
      </c>
      <c r="AQ43" s="54">
        <f>'25% by 2050 Ag'!BS23</f>
        <v>10160329.909352459</v>
      </c>
      <c r="AR43" s="54">
        <f>'25% by 2050 Ag'!BT23</f>
        <v>10777402.039543582</v>
      </c>
      <c r="AS43" s="54">
        <f>'25% by 2050 Ag'!BU23</f>
        <v>11384477.794413984</v>
      </c>
      <c r="AT43" s="54">
        <f>'25% by 2050 Ag'!BV23</f>
        <v>11981798.12948755</v>
      </c>
      <c r="AU43" s="54">
        <f>'25% by 2050 Ag'!BW23</f>
        <v>12569596.31793182</v>
      </c>
      <c r="AV43" s="54">
        <f>'25% by 2050 Ag'!BX23</f>
        <v>13148098.254306495</v>
      </c>
      <c r="AW43" s="54">
        <f>'25% by 2050 Ag'!BY23</f>
        <v>13717522.744013244</v>
      </c>
      <c r="AX43" s="54">
        <f>'25% by 2050 Ag'!BZ23</f>
        <v>14278081.779226134</v>
      </c>
      <c r="AY43" s="54">
        <f>'25% by 2050 Ag'!CA23</f>
        <v>14829980.802033508</v>
      </c>
      <c r="AZ43" s="54">
        <f>'25% by 2050 Ag'!CB23</f>
        <v>15373418.955477731</v>
      </c>
      <c r="BA43" s="54">
        <f>'25% by 2050 Ag'!CC23</f>
        <v>15908589.32313695</v>
      </c>
      <c r="BB43" s="54">
        <f>'25% by 2050 Ag'!CD23</f>
        <v>16435679.157854637</v>
      </c>
      <c r="BC43" s="54">
        <f>'25% by 2050 Ag'!CE23</f>
        <v>16954870.100185946</v>
      </c>
      <c r="BD43" s="54">
        <f>'25% by 2050 Ag'!CF23</f>
        <v>17466338.387096308</v>
      </c>
      <c r="BE43" s="54">
        <f>'25% by 2050 Ag'!CG23</f>
        <v>17970255.051416021</v>
      </c>
      <c r="BF43" s="54">
        <f>'25% by 2050 Ag'!CH23</f>
        <v>18466786.112524856</v>
      </c>
      <c r="BG43" s="54">
        <f>'25% by 2050 Ag'!CI23</f>
        <v>18956092.758713588</v>
      </c>
      <c r="BH43" s="54">
        <f>'25% by 2050 Ag'!CJ23</f>
        <v>19438331.521642867</v>
      </c>
      <c r="BI43" s="54">
        <f>'25% by 2050 Ag'!CK23</f>
        <v>19913654.443296492</v>
      </c>
      <c r="BJ43" s="54">
        <f>'25% by 2050 Ag'!CL23</f>
        <v>20382209.235802721</v>
      </c>
      <c r="BK43" s="54">
        <f>'25% by 2050 Ag'!CM23</f>
        <v>20844139.434476919</v>
      </c>
      <c r="BM43" s="104"/>
      <c r="BN43" s="57" t="s">
        <v>106</v>
      </c>
      <c r="BO43" s="65">
        <f t="shared" ref="BO43:BO45" si="28">D43/1000000</f>
        <v>0</v>
      </c>
      <c r="BP43" s="65">
        <f>M43/1000000</f>
        <v>0</v>
      </c>
      <c r="BQ43" s="77">
        <f>W43/1000000</f>
        <v>1.9473104713917853</v>
      </c>
      <c r="BR43" s="77">
        <f>AG43/1000000</f>
        <v>3.3806149225895199</v>
      </c>
      <c r="BS43" s="65">
        <f>AQ43/1000000</f>
        <v>10.160329909352459</v>
      </c>
      <c r="BT43" s="65">
        <f>BA43/1000000</f>
        <v>15.908589323136949</v>
      </c>
      <c r="BU43" s="65">
        <f>BK43/1000000</f>
        <v>20.844139434476919</v>
      </c>
    </row>
    <row r="44" spans="1:75" x14ac:dyDescent="0.25">
      <c r="A44" s="54" t="s">
        <v>71</v>
      </c>
      <c r="B44" s="54" t="s">
        <v>105</v>
      </c>
      <c r="C44" s="54" t="s">
        <v>108</v>
      </c>
      <c r="D44" s="54">
        <f>SUM('25% by 2050 Ag'!AF17:AF22)</f>
        <v>639775.14095076662</v>
      </c>
      <c r="E44" s="54">
        <f>SUM('25% by 2050 Ag'!AG17:AG22)</f>
        <v>1261564.3955121778</v>
      </c>
      <c r="F44" s="54">
        <f>SUM('25% by 2050 Ag'!AH17:AH22)</f>
        <v>1866165.2287806324</v>
      </c>
      <c r="G44" s="54">
        <f>SUM('25% by 2050 Ag'!AI17:AI22)</f>
        <v>2454326.7097856458</v>
      </c>
      <c r="H44" s="54">
        <f>SUM('25% by 2050 Ag'!AJ17:AJ22)</f>
        <v>3026753.2265974297</v>
      </c>
      <c r="I44" s="54">
        <f>SUM('25% by 2050 Ag'!AK17:AK22)</f>
        <v>3584107.8585047484</v>
      </c>
      <c r="J44" s="54">
        <f>SUM('25% by 2050 Ag'!AL17:AL22)</f>
        <v>4127015.44203889</v>
      </c>
      <c r="K44" s="54">
        <f>SUM('25% by 2050 Ag'!AM17:AM22)</f>
        <v>4656065.3631483382</v>
      </c>
      <c r="L44" s="54">
        <f>SUM('25% by 2050 Ag'!AN17:AN22)</f>
        <v>5171814.103962685</v>
      </c>
      <c r="M44" s="54">
        <f>SUM('25% by 2050 Ag'!AO17:AO22)</f>
        <v>5674787.5692337193</v>
      </c>
      <c r="N44" s="54">
        <f>SUM('25% by 2050 Ag'!AP17:AP22)</f>
        <v>5987186.5592947425</v>
      </c>
      <c r="O44" s="54">
        <f>SUM('25% by 2050 Ag'!AQ17:AQ22)</f>
        <v>6646565.032981636</v>
      </c>
      <c r="P44" s="54">
        <f>SUM('25% by 2050 Ag'!AR17:AR22)</f>
        <v>7493689.1952211857</v>
      </c>
      <c r="Q44" s="54">
        <f>SUM('25% by 2050 Ag'!AS17:AS22)</f>
        <v>7044951.5862929411</v>
      </c>
      <c r="R44" s="54">
        <f>SUM('25% by 2050 Ag'!AT17:AT22)</f>
        <v>7915663.2393809231</v>
      </c>
      <c r="S44" s="54">
        <f>SUM('25% by 2050 Ag'!AU17:AU22)</f>
        <v>9212256.2733300738</v>
      </c>
      <c r="T44" s="54">
        <f>SUM('25% by 2050 Ag'!AV17:AV22)</f>
        <v>11085966.479006425</v>
      </c>
      <c r="U44" s="54">
        <f>SUM('25% by 2050 Ag'!AW17:AW22)</f>
        <v>12071020.644982615</v>
      </c>
      <c r="V44" s="54">
        <f>SUM('25% by 2050 Ag'!AX17:AX22)</f>
        <v>16509643.710017523</v>
      </c>
      <c r="W44" s="54">
        <f>SUM('25% by 2050 Ag'!AY17:AY22)</f>
        <v>18389105.21070018</v>
      </c>
      <c r="X44" s="54">
        <f>SUM('25% by 2050 Ag'!AZ17:AZ22)</f>
        <v>20238761.659286596</v>
      </c>
      <c r="Y44" s="54">
        <f>SUM('25% by 2050 Ag'!BA17:BA22)</f>
        <v>22059331.113750409</v>
      </c>
      <c r="Z44" s="54">
        <f>SUM('25% by 2050 Ag'!BB17:BB22)</f>
        <v>23851508.415274251</v>
      </c>
      <c r="AA44" s="54">
        <f>SUM('25% by 2050 Ag'!BC17:BC22)</f>
        <v>25615966.1348009</v>
      </c>
      <c r="AB44" s="54">
        <f>SUM('25% by 2050 Ag'!BD17:BD22)</f>
        <v>27353355.472757764</v>
      </c>
      <c r="AC44" s="54">
        <f>SUM('25% by 2050 Ag'!BE17:BE22)</f>
        <v>29064307.11469413</v>
      </c>
      <c r="AD44" s="54">
        <f>SUM('25% by 2050 Ag'!BF17:BF22)</f>
        <v>30749432.045384534</v>
      </c>
      <c r="AE44" s="54">
        <f>SUM('25% by 2050 Ag'!BG17:BG22)</f>
        <v>32409322.323779803</v>
      </c>
      <c r="AF44" s="54">
        <f>SUM('25% by 2050 Ag'!BH17:BH22)</f>
        <v>34044549.100456543</v>
      </c>
      <c r="AG44" s="54">
        <f>SUM('25% by 2050 Ag'!BI17:BI22)</f>
        <v>38082841.403496012</v>
      </c>
      <c r="AH44" s="54">
        <f>SUM('25% by 2050 Ag'!BJ17:BJ22)</f>
        <v>39292013.182219692</v>
      </c>
      <c r="AI44" s="54">
        <f>SUM('25% by 2050 Ag'!BK17:BK22)</f>
        <v>40475602.303126752</v>
      </c>
      <c r="AJ44" s="54">
        <f>SUM('25% by 2050 Ag'!BL17:BL22)</f>
        <v>41633962.586526401</v>
      </c>
      <c r="AK44" s="54">
        <f>SUM('25% by 2050 Ag'!BM17:BM22)</f>
        <v>42767444.580654174</v>
      </c>
      <c r="AL44" s="54">
        <f>SUM('25% by 2050 Ag'!BN17:BN22)</f>
        <v>43876395.537723362</v>
      </c>
      <c r="AM44" s="54">
        <f>SUM('25% by 2050 Ag'!BO17:BO22)</f>
        <v>44961159.393543325</v>
      </c>
      <c r="AN44" s="54">
        <f>SUM('25% by 2050 Ag'!BP17:BP22)</f>
        <v>46022076.750473008</v>
      </c>
      <c r="AO44" s="54">
        <f>SUM('25% by 2050 Ag'!BQ17:BQ22)</f>
        <v>47059484.863493562</v>
      </c>
      <c r="AP44" s="54">
        <f>SUM('25% by 2050 Ag'!BR17:BR22)</f>
        <v>48073717.629197642</v>
      </c>
      <c r="AQ44" s="54">
        <f>SUM('25% by 2050 Ag'!BS17:BS22)</f>
        <v>49065105.577506348</v>
      </c>
      <c r="AR44" s="54">
        <f>SUM('25% by 2050 Ag'!BT17:BT22)</f>
        <v>50033975.865936562</v>
      </c>
      <c r="AS44" s="54">
        <f>SUM('25% by 2050 Ag'!BU17:BU22)</f>
        <v>50980652.276252985</v>
      </c>
      <c r="AT44" s="54">
        <f>SUM('25% by 2050 Ag'!BV17:BV22)</f>
        <v>51905455.213349357</v>
      </c>
      <c r="AU44" s="54">
        <f>SUM('25% by 2050 Ag'!BW17:BW22)</f>
        <v>52808701.706213526</v>
      </c>
      <c r="AV44" s="54">
        <f>SUM('25% by 2050 Ag'!BX17:BX22)</f>
        <v>53690705.410839409</v>
      </c>
      <c r="AW44" s="54">
        <f>SUM('25% by 2050 Ag'!BY17:BY22)</f>
        <v>54551776.6149581</v>
      </c>
      <c r="AX44" s="54">
        <f>SUM('25% by 2050 Ag'!BZ17:BZ22)</f>
        <v>55392222.244467899</v>
      </c>
      <c r="AY44" s="54">
        <f>SUM('25% by 2050 Ag'!CA17:CA22)</f>
        <v>56212345.871450067</v>
      </c>
      <c r="AZ44" s="54">
        <f>SUM('25% by 2050 Ag'!CB17:CB22)</f>
        <v>57012447.72366479</v>
      </c>
      <c r="BA44" s="54">
        <f>SUM('25% by 2050 Ag'!CC17:CC22)</f>
        <v>57792824.695427522</v>
      </c>
      <c r="BB44" s="54">
        <f>SUM('25% by 2050 Ag'!CD17:CD22)</f>
        <v>58553770.359772064</v>
      </c>
      <c r="BC44" s="54">
        <f>SUM('25% by 2050 Ag'!CE17:CE22)</f>
        <v>59295574.981812716</v>
      </c>
      <c r="BD44" s="54">
        <f>SUM('25% by 2050 Ag'!CF17:CF22)</f>
        <v>60018525.533222347</v>
      </c>
      <c r="BE44" s="54">
        <f>SUM('25% by 2050 Ag'!CG17:CG22)</f>
        <v>60722905.707749024</v>
      </c>
      <c r="BF44" s="54">
        <f>SUM('25% by 2050 Ag'!CH17:CH22)</f>
        <v>61408995.937697619</v>
      </c>
      <c r="BG44" s="54">
        <f>SUM('25% by 2050 Ag'!CI17:CI22)</f>
        <v>62077073.411307558</v>
      </c>
      <c r="BH44" s="54">
        <f>SUM('25% by 2050 Ag'!CJ17:CJ22)</f>
        <v>62727412.090962142</v>
      </c>
      <c r="BI44" s="54">
        <f>SUM('25% by 2050 Ag'!CK17:CK22)</f>
        <v>63360282.732167773</v>
      </c>
      <c r="BJ44" s="54">
        <f>SUM('25% by 2050 Ag'!CL17:CL22)</f>
        <v>63975952.903246164</v>
      </c>
      <c r="BK44" s="54">
        <f>SUM('25% by 2050 Ag'!CM17:CM22)</f>
        <v>64574687.005684897</v>
      </c>
      <c r="BM44" s="104" t="s">
        <v>71</v>
      </c>
      <c r="BN44" s="57" t="s">
        <v>105</v>
      </c>
      <c r="BO44" s="82">
        <f t="shared" si="28"/>
        <v>0.6397751409507666</v>
      </c>
      <c r="BP44" s="77">
        <f>M44/1000000</f>
        <v>5.6747875692337191</v>
      </c>
      <c r="BQ44" s="65">
        <f>W44/1000000</f>
        <v>18.38910521070018</v>
      </c>
      <c r="BR44" s="65">
        <f>AG44/1000000</f>
        <v>38.082841403496012</v>
      </c>
      <c r="BS44" s="65">
        <f>AQ44/1000000</f>
        <v>49.065105577506351</v>
      </c>
      <c r="BT44" s="65">
        <f>BA44/1000000</f>
        <v>57.79282469542752</v>
      </c>
      <c r="BU44" s="65">
        <f>BK44/1000000</f>
        <v>64.574687005684893</v>
      </c>
    </row>
    <row r="45" spans="1:75" x14ac:dyDescent="0.25">
      <c r="A45" s="54" t="s">
        <v>71</v>
      </c>
      <c r="B45" s="54" t="s">
        <v>106</v>
      </c>
      <c r="C45" s="54" t="s">
        <v>108</v>
      </c>
      <c r="D45" s="54">
        <f>'25% by 2050 Ag'!AF24</f>
        <v>138599.56472198345</v>
      </c>
      <c r="E45" s="54">
        <f>'25% by 2050 Ag'!AG24</f>
        <v>273457.71379753767</v>
      </c>
      <c r="F45" s="54">
        <f>'25% by 2050 Ag'!AH24</f>
        <v>404723.92573324346</v>
      </c>
      <c r="G45" s="54">
        <f>'25% by 2050 Ag'!AI24</f>
        <v>532539.82098634238</v>
      </c>
      <c r="H45" s="54">
        <f>'25% by 2050 Ag'!AJ24</f>
        <v>657039.67163612996</v>
      </c>
      <c r="I45" s="54">
        <f>'25% by 2050 Ag'!AK24</f>
        <v>778350.87189472397</v>
      </c>
      <c r="J45" s="54">
        <f>'25% by 2050 Ag'!AL24</f>
        <v>896594.37292321946</v>
      </c>
      <c r="K45" s="54">
        <f>'25% by 2050 Ag'!AM24</f>
        <v>1011885.0850730242</v>
      </c>
      <c r="L45" s="54">
        <f>'25% by 2050 Ag'!AN24</f>
        <v>1124332.2503643718</v>
      </c>
      <c r="M45" s="54">
        <f>'25% by 2050 Ag'!AO24</f>
        <v>1234039.7877399891</v>
      </c>
      <c r="N45" s="54">
        <f>'25% by 2050 Ag'!AP24</f>
        <v>1527995.2742244024</v>
      </c>
      <c r="O45" s="54">
        <f>'25% by 2050 Ag'!AQ24</f>
        <v>1967130.5156948098</v>
      </c>
      <c r="P45" s="54">
        <f>'25% by 2050 Ag'!AR24</f>
        <v>2598021.0199561203</v>
      </c>
      <c r="Q45" s="54">
        <f>'25% by 2050 Ag'!AS24</f>
        <v>3251413.8990502795</v>
      </c>
      <c r="R45" s="54">
        <f>'25% by 2050 Ag'!AT24</f>
        <v>4998965.2574780276</v>
      </c>
      <c r="S45" s="54">
        <f>'25% by 2050 Ag'!AU24</f>
        <v>8192818.5498469528</v>
      </c>
      <c r="T45" s="54">
        <f>'25% by 2050 Ag'!AV24</f>
        <v>10999483.226062525</v>
      </c>
      <c r="U45" s="54">
        <f>'25% by 2050 Ag'!AW24</f>
        <v>16417552.904479241</v>
      </c>
      <c r="V45" s="54">
        <f>'25% by 2050 Ag'!AX24</f>
        <v>19071444.584975265</v>
      </c>
      <c r="W45" s="54">
        <f>'25% by 2050 Ag'!AY24</f>
        <v>21673021.79211675</v>
      </c>
      <c r="X45" s="54">
        <f>'25% by 2050 Ag'!AZ24</f>
        <v>24223816.291296955</v>
      </c>
      <c r="Y45" s="54">
        <f>'25% by 2050 Ag'!BA24</f>
        <v>26725300.625887387</v>
      </c>
      <c r="Z45" s="54">
        <f>'25% by 2050 Ag'!BB24</f>
        <v>29178890.951934762</v>
      </c>
      <c r="AA45" s="54">
        <f>'25% by 2050 Ag'!BC24</f>
        <v>31585949.711580537</v>
      </c>
      <c r="AB45" s="54">
        <f>'25% by 2050 Ag'!BD24</f>
        <v>33947788.155807592</v>
      </c>
      <c r="AC45" s="54">
        <f>'25% by 2050 Ag'!BE24</f>
        <v>36265668.726328865</v>
      </c>
      <c r="AD45" s="54">
        <f>'25% by 2050 Ag'!BF24</f>
        <v>38540807.305709042</v>
      </c>
      <c r="AE45" s="54">
        <f>'25% by 2050 Ag'!BG24</f>
        <v>40774375.344146028</v>
      </c>
      <c r="AF45" s="54">
        <f>'25% by 2050 Ag'!BH24</f>
        <v>42967496.11918278</v>
      </c>
      <c r="AG45" s="54">
        <f>'25% by 2050 Ag'!BI24</f>
        <v>63445631.558931202</v>
      </c>
      <c r="AH45" s="54">
        <f>'25% by 2050 Ag'!BJ24</f>
        <v>83559579.101121262</v>
      </c>
      <c r="AI45" s="54">
        <f>'25% by 2050 Ag'!BK24</f>
        <v>103318968.32117303</v>
      </c>
      <c r="AJ45" s="54">
        <f>'25% by 2050 Ag'!BL24</f>
        <v>122733092.27014014</v>
      </c>
      <c r="AK45" s="54">
        <f>'25% by 2050 Ag'!BM24</f>
        <v>141810922.04801551</v>
      </c>
      <c r="AL45" s="54">
        <f>'25% by 2050 Ag'!BN24</f>
        <v>160561120.62621683</v>
      </c>
      <c r="AM45" s="54">
        <f>'25% by 2050 Ag'!BO24</f>
        <v>178992055.96399805</v>
      </c>
      <c r="AN45" s="54">
        <f>'25% by 2050 Ag'!BP24</f>
        <v>197111813.46050981</v>
      </c>
      <c r="AO45" s="54">
        <f>'25% by 2050 Ag'!BQ24</f>
        <v>214928207.78143814</v>
      </c>
      <c r="AP45" s="54">
        <f>'25% by 2050 Ag'!BR24</f>
        <v>232448794.09656546</v>
      </c>
      <c r="AQ45" s="54">
        <f>'25% by 2050 Ag'!BS24</f>
        <v>249680878.76220351</v>
      </c>
      <c r="AR45" s="54">
        <f>'25% by 2050 Ag'!BT24</f>
        <v>266631529.48023075</v>
      </c>
      <c r="AS45" s="54">
        <f>'25% by 2050 Ag'!BU24</f>
        <v>283307584.96341038</v>
      </c>
      <c r="AT45" s="54">
        <f>'25% by 2050 Ag'!BV24</f>
        <v>299715664.13475633</v>
      </c>
      <c r="AU45" s="54">
        <f>'25% by 2050 Ag'!BW24</f>
        <v>315862174.8869468</v>
      </c>
      <c r="AV45" s="54">
        <f>'25% by 2050 Ag'!BX24</f>
        <v>331753322.42613709</v>
      </c>
      <c r="AW45" s="54">
        <f>'25% by 2050 Ag'!BY24</f>
        <v>347395117.22299582</v>
      </c>
      <c r="AX45" s="54">
        <f>'25% by 2050 Ag'!BZ24</f>
        <v>362793382.59237021</v>
      </c>
      <c r="AY45" s="54">
        <f>'25% by 2050 Ag'!CA24</f>
        <v>377953761.92165697</v>
      </c>
      <c r="AZ45" s="54">
        <f>'25% by 2050 Ag'!CB24</f>
        <v>392881725.56673294</v>
      </c>
      <c r="BA45" s="54">
        <f>'25% by 2050 Ag'!CC24</f>
        <v>407582577.43314278</v>
      </c>
      <c r="BB45" s="54">
        <f>'25% by 2050 Ag'!CD24</f>
        <v>422061461.25917965</v>
      </c>
      <c r="BC45" s="54">
        <f>'25% by 2050 Ag'!CE24</f>
        <v>436323366.61649287</v>
      </c>
      <c r="BD45" s="54">
        <f>'25% by 2050 Ag'!CF24</f>
        <v>450373134.64293116</v>
      </c>
      <c r="BE45" s="54">
        <f>'25% by 2050 Ag'!CG24</f>
        <v>464215463.52145505</v>
      </c>
      <c r="BF45" s="54">
        <f>'25% by 2050 Ag'!CH24</f>
        <v>477854913.71814525</v>
      </c>
      <c r="BG45" s="54">
        <f>'25% by 2050 Ag'!CI24</f>
        <v>491295912.99157792</v>
      </c>
      <c r="BH45" s="54">
        <f>'25% by 2050 Ag'!CJ24</f>
        <v>504542761.18512064</v>
      </c>
      <c r="BI45" s="54">
        <f>'25% by 2050 Ag'!CK24</f>
        <v>517599634.81305027</v>
      </c>
      <c r="BJ45" s="54">
        <f>'25% by 2050 Ag'!CL24</f>
        <v>530470591.45076257</v>
      </c>
      <c r="BK45" s="54">
        <f>'25% by 2050 Ag'!CM24</f>
        <v>543159573.93877423</v>
      </c>
      <c r="BM45" s="105"/>
      <c r="BN45" s="58" t="s">
        <v>106</v>
      </c>
      <c r="BO45" s="81">
        <f t="shared" si="28"/>
        <v>0.13859956472198345</v>
      </c>
      <c r="BP45" s="78">
        <f>M45/1000000</f>
        <v>1.2340397877399891</v>
      </c>
      <c r="BQ45" s="66">
        <f>W45/1000000</f>
        <v>21.673021792116749</v>
      </c>
      <c r="BR45" s="66">
        <f>AG45/1000000</f>
        <v>63.445631558931204</v>
      </c>
      <c r="BS45" s="66">
        <f>AQ45/1000000</f>
        <v>249.68087876220352</v>
      </c>
      <c r="BT45" s="66">
        <f>BA45/1000000</f>
        <v>407.58257743314277</v>
      </c>
      <c r="BU45" s="66">
        <f>BK45/1000000</f>
        <v>543.1595739387742</v>
      </c>
      <c r="BV45" s="51">
        <f>SUM(BU42:BU45)</f>
        <v>691.99161583436967</v>
      </c>
      <c r="BW45" s="51"/>
    </row>
    <row r="46" spans="1:75" x14ac:dyDescent="0.25">
      <c r="BN46" s="54" t="s">
        <v>110</v>
      </c>
    </row>
    <row r="47" spans="1:75" x14ac:dyDescent="0.25">
      <c r="A47" s="54" t="s">
        <v>38</v>
      </c>
      <c r="B47" s="54" t="s">
        <v>105</v>
      </c>
      <c r="C47" s="54" t="s">
        <v>109</v>
      </c>
      <c r="D47" s="54">
        <f>D52*$D$61</f>
        <v>20945863829.462044</v>
      </c>
      <c r="E47" s="54">
        <f t="shared" ref="E47:BK47" si="29">E52*$D$61</f>
        <v>41891727658.924088</v>
      </c>
      <c r="F47" s="54">
        <f t="shared" si="29"/>
        <v>62837591488.386124</v>
      </c>
      <c r="G47" s="54">
        <f t="shared" si="29"/>
        <v>83783455317.848175</v>
      </c>
      <c r="H47" s="54">
        <f t="shared" si="29"/>
        <v>104729319147.31021</v>
      </c>
      <c r="I47" s="54">
        <f t="shared" si="29"/>
        <v>125675182976.77226</v>
      </c>
      <c r="J47" s="54">
        <f t="shared" si="29"/>
        <v>146621046806.23428</v>
      </c>
      <c r="K47" s="54">
        <f t="shared" si="29"/>
        <v>167566910635.69635</v>
      </c>
      <c r="L47" s="54">
        <f t="shared" si="29"/>
        <v>188512774465.15839</v>
      </c>
      <c r="M47" s="54">
        <f t="shared" si="29"/>
        <v>209458638294.62042</v>
      </c>
      <c r="N47" s="54">
        <f t="shared" si="29"/>
        <v>228531004354.98901</v>
      </c>
      <c r="O47" s="54">
        <f t="shared" si="29"/>
        <v>277075236804.16864</v>
      </c>
      <c r="P47" s="54">
        <f t="shared" si="29"/>
        <v>363069578260.54443</v>
      </c>
      <c r="Q47" s="54">
        <f t="shared" si="29"/>
        <v>439537659874.07227</v>
      </c>
      <c r="R47" s="54">
        <f t="shared" si="29"/>
        <v>505467316536.44946</v>
      </c>
      <c r="S47" s="54">
        <f t="shared" si="29"/>
        <v>632333281993.57776</v>
      </c>
      <c r="T47" s="54">
        <f t="shared" si="29"/>
        <v>844221116548.12439</v>
      </c>
      <c r="U47" s="54">
        <f t="shared" si="29"/>
        <v>1201828972498.7693</v>
      </c>
      <c r="V47" s="54">
        <f t="shared" si="29"/>
        <v>1295865108043.647</v>
      </c>
      <c r="W47" s="54">
        <f t="shared" si="29"/>
        <v>1398561414890.4773</v>
      </c>
      <c r="X47" s="54">
        <f t="shared" si="29"/>
        <v>1501257721737.3079</v>
      </c>
      <c r="Y47" s="54">
        <f t="shared" si="29"/>
        <v>1603954028584.1382</v>
      </c>
      <c r="Z47" s="54">
        <f t="shared" si="29"/>
        <v>1706650335430.969</v>
      </c>
      <c r="AA47" s="54">
        <f t="shared" si="29"/>
        <v>1809346642277.7991</v>
      </c>
      <c r="AB47" s="54">
        <f t="shared" si="29"/>
        <v>1912042949124.6296</v>
      </c>
      <c r="AC47" s="54">
        <f t="shared" si="29"/>
        <v>2014739255971.46</v>
      </c>
      <c r="AD47" s="54">
        <f t="shared" si="29"/>
        <v>2117435562818.2905</v>
      </c>
      <c r="AE47" s="54">
        <f t="shared" si="29"/>
        <v>2220131869665.1211</v>
      </c>
      <c r="AF47" s="54">
        <f t="shared" si="29"/>
        <v>2322828244911.9058</v>
      </c>
      <c r="AG47" s="54">
        <f t="shared" si="29"/>
        <v>2661665417062.3276</v>
      </c>
      <c r="AH47" s="54">
        <f t="shared" si="29"/>
        <v>3000502589212.7495</v>
      </c>
      <c r="AI47" s="54">
        <f t="shared" si="29"/>
        <v>3339339761363.1714</v>
      </c>
      <c r="AJ47" s="54">
        <f t="shared" si="29"/>
        <v>3678176933513.5937</v>
      </c>
      <c r="AK47" s="54">
        <f t="shared" si="29"/>
        <v>4017014105664.0156</v>
      </c>
      <c r="AL47" s="54">
        <f t="shared" si="29"/>
        <v>4355851277814.4375</v>
      </c>
      <c r="AM47" s="54">
        <f t="shared" si="29"/>
        <v>4694688449964.8594</v>
      </c>
      <c r="AN47" s="54">
        <f t="shared" si="29"/>
        <v>5033525622115.2812</v>
      </c>
      <c r="AO47" s="54">
        <f t="shared" si="29"/>
        <v>5372362794265.7031</v>
      </c>
      <c r="AP47" s="54">
        <f t="shared" si="29"/>
        <v>5711199966416.125</v>
      </c>
      <c r="AQ47" s="54">
        <f t="shared" si="29"/>
        <v>6050037138566.5469</v>
      </c>
      <c r="AR47" s="54">
        <f t="shared" si="29"/>
        <v>6388874310716.9687</v>
      </c>
      <c r="AS47" s="54">
        <f t="shared" si="29"/>
        <v>6727711482867.3906</v>
      </c>
      <c r="AT47" s="54">
        <f t="shared" si="29"/>
        <v>7066548655017.8135</v>
      </c>
      <c r="AU47" s="54">
        <f t="shared" si="29"/>
        <v>7405385827168.2354</v>
      </c>
      <c r="AV47" s="54">
        <f t="shared" si="29"/>
        <v>7744222999318.6572</v>
      </c>
      <c r="AW47" s="54">
        <f t="shared" si="29"/>
        <v>8083060171469.0791</v>
      </c>
      <c r="AX47" s="54">
        <f t="shared" si="29"/>
        <v>8421897343619.501</v>
      </c>
      <c r="AY47" s="54">
        <f t="shared" si="29"/>
        <v>8760734515769.9229</v>
      </c>
      <c r="AZ47" s="54">
        <f t="shared" si="29"/>
        <v>9099571687920.3437</v>
      </c>
      <c r="BA47" s="54">
        <f t="shared" si="29"/>
        <v>9438408860070.7656</v>
      </c>
      <c r="BB47" s="54">
        <f t="shared" si="29"/>
        <v>9777246032221.1875</v>
      </c>
      <c r="BC47" s="54">
        <f t="shared" si="29"/>
        <v>10116083204371.607</v>
      </c>
      <c r="BD47" s="54">
        <f t="shared" si="29"/>
        <v>10454920376522.029</v>
      </c>
      <c r="BE47" s="54">
        <f t="shared" si="29"/>
        <v>10793757548672.449</v>
      </c>
      <c r="BF47" s="54">
        <f t="shared" si="29"/>
        <v>11132594720822.871</v>
      </c>
      <c r="BG47" s="54">
        <f t="shared" si="29"/>
        <v>11471431892973.291</v>
      </c>
      <c r="BH47" s="54">
        <f t="shared" si="29"/>
        <v>11810269065123.713</v>
      </c>
      <c r="BI47" s="54">
        <f t="shared" si="29"/>
        <v>12149106237274.133</v>
      </c>
      <c r="BJ47" s="54">
        <f t="shared" si="29"/>
        <v>12487943409424.555</v>
      </c>
      <c r="BK47" s="54">
        <f t="shared" si="29"/>
        <v>12826780581574.98</v>
      </c>
      <c r="BM47" s="61" t="s">
        <v>93</v>
      </c>
      <c r="BN47" s="61" t="s">
        <v>94</v>
      </c>
      <c r="BO47" s="61">
        <v>1991</v>
      </c>
      <c r="BP47" s="61">
        <v>2000</v>
      </c>
      <c r="BQ47" s="61">
        <v>2010</v>
      </c>
      <c r="BR47" s="61">
        <v>2020</v>
      </c>
      <c r="BS47" s="61">
        <v>2030</v>
      </c>
      <c r="BT47" s="61">
        <v>2040</v>
      </c>
      <c r="BU47" s="61">
        <v>2050</v>
      </c>
    </row>
    <row r="48" spans="1:75" x14ac:dyDescent="0.25">
      <c r="A48" s="54" t="s">
        <v>38</v>
      </c>
      <c r="B48" s="54" t="s">
        <v>106</v>
      </c>
      <c r="C48" s="54" t="s">
        <v>109</v>
      </c>
      <c r="D48" s="54">
        <f>D53*$D$62</f>
        <v>0</v>
      </c>
      <c r="E48" s="54">
        <f t="shared" ref="E48:BK48" si="30">E53*$D$62</f>
        <v>0</v>
      </c>
      <c r="F48" s="54">
        <f t="shared" si="30"/>
        <v>0</v>
      </c>
      <c r="G48" s="54">
        <f t="shared" si="30"/>
        <v>0</v>
      </c>
      <c r="H48" s="54">
        <f t="shared" si="30"/>
        <v>0</v>
      </c>
      <c r="I48" s="54">
        <f t="shared" si="30"/>
        <v>0</v>
      </c>
      <c r="J48" s="54">
        <f t="shared" si="30"/>
        <v>0</v>
      </c>
      <c r="K48" s="54">
        <f t="shared" si="30"/>
        <v>0</v>
      </c>
      <c r="L48" s="54">
        <f t="shared" si="30"/>
        <v>0</v>
      </c>
      <c r="M48" s="54">
        <f t="shared" si="30"/>
        <v>0</v>
      </c>
      <c r="N48" s="54">
        <f t="shared" si="30"/>
        <v>1209973112.2397101</v>
      </c>
      <c r="O48" s="54">
        <f t="shared" si="30"/>
        <v>1480539550.5759602</v>
      </c>
      <c r="P48" s="54">
        <f t="shared" si="30"/>
        <v>2006520706.7016301</v>
      </c>
      <c r="Q48" s="54">
        <f t="shared" si="30"/>
        <v>3939447342.1758003</v>
      </c>
      <c r="R48" s="54">
        <f t="shared" si="30"/>
        <v>12818355582.618181</v>
      </c>
      <c r="S48" s="54">
        <f t="shared" si="30"/>
        <v>35361951224.794533</v>
      </c>
      <c r="T48" s="54">
        <f t="shared" si="30"/>
        <v>69161110701.758881</v>
      </c>
      <c r="U48" s="54">
        <f t="shared" si="30"/>
        <v>86498642090.850327</v>
      </c>
      <c r="V48" s="54">
        <f t="shared" si="30"/>
        <v>91581621587.894943</v>
      </c>
      <c r="W48" s="54">
        <f t="shared" si="30"/>
        <v>96664601084.939575</v>
      </c>
      <c r="X48" s="54">
        <f t="shared" si="30"/>
        <v>101747580581.98418</v>
      </c>
      <c r="Y48" s="54">
        <f t="shared" si="30"/>
        <v>106830560079.02878</v>
      </c>
      <c r="Z48" s="54">
        <f t="shared" si="30"/>
        <v>111913539576.07339</v>
      </c>
      <c r="AA48" s="54">
        <f t="shared" si="30"/>
        <v>116996519073.11803</v>
      </c>
      <c r="AB48" s="54">
        <f t="shared" si="30"/>
        <v>122079498570.16263</v>
      </c>
      <c r="AC48" s="54">
        <f t="shared" si="30"/>
        <v>127162478067.20724</v>
      </c>
      <c r="AD48" s="54">
        <f t="shared" si="30"/>
        <v>132245457564.25186</v>
      </c>
      <c r="AE48" s="54">
        <f t="shared" si="30"/>
        <v>137328437061.29648</v>
      </c>
      <c r="AF48" s="54">
        <f t="shared" si="30"/>
        <v>142411304658.41595</v>
      </c>
      <c r="AG48" s="54">
        <f t="shared" si="30"/>
        <v>184353957584.67859</v>
      </c>
      <c r="AH48" s="54">
        <f t="shared" si="30"/>
        <v>226296610510.94125</v>
      </c>
      <c r="AI48" s="54">
        <f t="shared" si="30"/>
        <v>268239263437.20392</v>
      </c>
      <c r="AJ48" s="54">
        <f t="shared" si="30"/>
        <v>310181916363.46655</v>
      </c>
      <c r="AK48" s="54">
        <f t="shared" si="30"/>
        <v>352124569289.72925</v>
      </c>
      <c r="AL48" s="54">
        <f t="shared" si="30"/>
        <v>394067222215.99188</v>
      </c>
      <c r="AM48" s="54">
        <f t="shared" si="30"/>
        <v>436009875142.25452</v>
      </c>
      <c r="AN48" s="54">
        <f t="shared" si="30"/>
        <v>477952528068.51721</v>
      </c>
      <c r="AO48" s="54">
        <f t="shared" si="30"/>
        <v>519895180994.77985</v>
      </c>
      <c r="AP48" s="54">
        <f t="shared" si="30"/>
        <v>561837833921.04248</v>
      </c>
      <c r="AQ48" s="54">
        <f t="shared" si="30"/>
        <v>603780486847.30518</v>
      </c>
      <c r="AR48" s="54">
        <f t="shared" si="30"/>
        <v>645723139773.56787</v>
      </c>
      <c r="AS48" s="54">
        <f t="shared" si="30"/>
        <v>687665792699.83044</v>
      </c>
      <c r="AT48" s="54">
        <f t="shared" si="30"/>
        <v>729608445626.09302</v>
      </c>
      <c r="AU48" s="54">
        <f t="shared" si="30"/>
        <v>771551098552.35559</v>
      </c>
      <c r="AV48" s="54">
        <f t="shared" si="30"/>
        <v>813493751478.61816</v>
      </c>
      <c r="AW48" s="54">
        <f t="shared" si="30"/>
        <v>855436404404.88074</v>
      </c>
      <c r="AX48" s="54">
        <f t="shared" si="30"/>
        <v>897379057331.14331</v>
      </c>
      <c r="AY48" s="54">
        <f t="shared" si="30"/>
        <v>939321710257.40601</v>
      </c>
      <c r="AZ48" s="54">
        <f t="shared" si="30"/>
        <v>981264363183.66858</v>
      </c>
      <c r="BA48" s="54">
        <f t="shared" si="30"/>
        <v>1023207016109.9312</v>
      </c>
      <c r="BB48" s="54">
        <f t="shared" si="30"/>
        <v>1065149669036.1937</v>
      </c>
      <c r="BC48" s="54">
        <f t="shared" si="30"/>
        <v>1107092321962.4563</v>
      </c>
      <c r="BD48" s="54">
        <f t="shared" si="30"/>
        <v>1149034974888.719</v>
      </c>
      <c r="BE48" s="54">
        <f t="shared" si="30"/>
        <v>1190977627814.9814</v>
      </c>
      <c r="BF48" s="54">
        <f t="shared" si="30"/>
        <v>1232920280741.2441</v>
      </c>
      <c r="BG48" s="54">
        <f t="shared" si="30"/>
        <v>1274862933667.5068</v>
      </c>
      <c r="BH48" s="54">
        <f t="shared" si="30"/>
        <v>1316805586593.7695</v>
      </c>
      <c r="BI48" s="54">
        <f t="shared" si="30"/>
        <v>1358748239520.0322</v>
      </c>
      <c r="BJ48" s="54">
        <f t="shared" si="30"/>
        <v>1400690892446.2949</v>
      </c>
      <c r="BK48" s="54">
        <f t="shared" si="30"/>
        <v>1442633545372.5579</v>
      </c>
      <c r="BM48" s="103" t="s">
        <v>38</v>
      </c>
      <c r="BN48" s="59" t="s">
        <v>105</v>
      </c>
      <c r="BO48" s="70">
        <f>D47/1000000000000</f>
        <v>2.0945863829462043E-2</v>
      </c>
      <c r="BP48" s="70">
        <f>M47/1000000000000</f>
        <v>0.20945863829462041</v>
      </c>
      <c r="BQ48" s="71">
        <f>W47/1000000000000</f>
        <v>1.3985614148904773</v>
      </c>
      <c r="BR48" s="71">
        <f>AG47/1000000000000</f>
        <v>2.6616654170623275</v>
      </c>
      <c r="BS48" s="71">
        <f>AQ47/1000000000000</f>
        <v>6.0500371385665472</v>
      </c>
      <c r="BT48" s="62">
        <f>BA47/1000000000000</f>
        <v>9.4384088600707656</v>
      </c>
      <c r="BU48" s="62">
        <f>BK47/1000000000000</f>
        <v>12.826780581574981</v>
      </c>
    </row>
    <row r="49" spans="1:74" x14ac:dyDescent="0.25">
      <c r="A49" s="54" t="s">
        <v>71</v>
      </c>
      <c r="B49" s="54" t="s">
        <v>105</v>
      </c>
      <c r="C49" s="54" t="s">
        <v>109</v>
      </c>
      <c r="D49" s="54">
        <f>D54*$D$61</f>
        <v>38467632636.660408</v>
      </c>
      <c r="E49" s="54">
        <f t="shared" ref="E49:BK49" si="31">E54*$D$61</f>
        <v>76935265273.320816</v>
      </c>
      <c r="F49" s="54">
        <f t="shared" si="31"/>
        <v>115402897909.9812</v>
      </c>
      <c r="G49" s="54">
        <f t="shared" si="31"/>
        <v>153870530546.64163</v>
      </c>
      <c r="H49" s="54">
        <f t="shared" si="31"/>
        <v>192338163183.30203</v>
      </c>
      <c r="I49" s="54">
        <f t="shared" si="31"/>
        <v>230805795819.9624</v>
      </c>
      <c r="J49" s="54">
        <f t="shared" si="31"/>
        <v>269273428456.62283</v>
      </c>
      <c r="K49" s="54">
        <f t="shared" si="31"/>
        <v>307741061093.28326</v>
      </c>
      <c r="L49" s="54">
        <f t="shared" si="31"/>
        <v>346208693729.94366</v>
      </c>
      <c r="M49" s="54">
        <f t="shared" si="31"/>
        <v>384676326366.60406</v>
      </c>
      <c r="N49" s="54">
        <f t="shared" si="31"/>
        <v>413014964761.60956</v>
      </c>
      <c r="O49" s="54">
        <f t="shared" si="31"/>
        <v>473042309596.35553</v>
      </c>
      <c r="P49" s="54">
        <f t="shared" si="31"/>
        <v>560404066267.67346</v>
      </c>
      <c r="Q49" s="54">
        <f t="shared" si="31"/>
        <v>574487053735.35046</v>
      </c>
      <c r="R49" s="54">
        <f t="shared" si="31"/>
        <v>655601171659.73401</v>
      </c>
      <c r="S49" s="54">
        <f t="shared" si="31"/>
        <v>788161062010.43115</v>
      </c>
      <c r="T49" s="54">
        <f t="shared" si="31"/>
        <v>990135632416.01428</v>
      </c>
      <c r="U49" s="54">
        <f t="shared" si="31"/>
        <v>1207767007800.8113</v>
      </c>
      <c r="V49" s="54">
        <f t="shared" si="31"/>
        <v>1506726640075.9741</v>
      </c>
      <c r="W49" s="54">
        <f t="shared" si="31"/>
        <v>1667034381553.0754</v>
      </c>
      <c r="X49" s="54">
        <f t="shared" si="31"/>
        <v>1827342123030.177</v>
      </c>
      <c r="Y49" s="54">
        <f t="shared" si="31"/>
        <v>1987649864507.2786</v>
      </c>
      <c r="Z49" s="54">
        <f t="shared" si="31"/>
        <v>2147957605984.3799</v>
      </c>
      <c r="AA49" s="54">
        <f t="shared" si="31"/>
        <v>2308265347461.481</v>
      </c>
      <c r="AB49" s="54">
        <f t="shared" si="31"/>
        <v>2468573088938.583</v>
      </c>
      <c r="AC49" s="54">
        <f t="shared" si="31"/>
        <v>2628880830415.6846</v>
      </c>
      <c r="AD49" s="54">
        <f t="shared" si="31"/>
        <v>2789188571892.7856</v>
      </c>
      <c r="AE49" s="54">
        <f t="shared" si="31"/>
        <v>2949496313369.8872</v>
      </c>
      <c r="AF49" s="54">
        <f t="shared" si="31"/>
        <v>3109803918047.0796</v>
      </c>
      <c r="AG49" s="54">
        <f t="shared" si="31"/>
        <v>3320733124110.478</v>
      </c>
      <c r="AH49" s="54">
        <f t="shared" si="31"/>
        <v>3531662330173.8765</v>
      </c>
      <c r="AI49" s="54">
        <f t="shared" si="31"/>
        <v>3742591536237.2749</v>
      </c>
      <c r="AJ49" s="54">
        <f t="shared" si="31"/>
        <v>3953520742300.6733</v>
      </c>
      <c r="AK49" s="54">
        <f t="shared" si="31"/>
        <v>4164449948364.0718</v>
      </c>
      <c r="AL49" s="54">
        <f t="shared" si="31"/>
        <v>4375379154427.4702</v>
      </c>
      <c r="AM49" s="54">
        <f t="shared" si="31"/>
        <v>4586308360490.8682</v>
      </c>
      <c r="AN49" s="54">
        <f t="shared" si="31"/>
        <v>4797237566554.2666</v>
      </c>
      <c r="AO49" s="54">
        <f t="shared" si="31"/>
        <v>5008166772617.665</v>
      </c>
      <c r="AP49" s="54">
        <f t="shared" si="31"/>
        <v>5219095978681.0635</v>
      </c>
      <c r="AQ49" s="54">
        <f t="shared" si="31"/>
        <v>5430025184744.4619</v>
      </c>
      <c r="AR49" s="54">
        <f t="shared" si="31"/>
        <v>5640954390807.8604</v>
      </c>
      <c r="AS49" s="54">
        <f t="shared" si="31"/>
        <v>5851883596871.2588</v>
      </c>
      <c r="AT49" s="54">
        <f t="shared" si="31"/>
        <v>6062812802934.6572</v>
      </c>
      <c r="AU49" s="54">
        <f t="shared" si="31"/>
        <v>6273742008998.0557</v>
      </c>
      <c r="AV49" s="54">
        <f t="shared" si="31"/>
        <v>6484671215061.4541</v>
      </c>
      <c r="AW49" s="54">
        <f t="shared" si="31"/>
        <v>6695600421124.8525</v>
      </c>
      <c r="AX49" s="54">
        <f t="shared" si="31"/>
        <v>6906529627188.251</v>
      </c>
      <c r="AY49" s="54">
        <f t="shared" si="31"/>
        <v>7117458833251.6494</v>
      </c>
      <c r="AZ49" s="54">
        <f t="shared" si="31"/>
        <v>7328388039315.0479</v>
      </c>
      <c r="BA49" s="54">
        <f t="shared" si="31"/>
        <v>7539317245378.4463</v>
      </c>
      <c r="BB49" s="54">
        <f t="shared" si="31"/>
        <v>7750246451441.8447</v>
      </c>
      <c r="BC49" s="54">
        <f t="shared" si="31"/>
        <v>7961175657505.2432</v>
      </c>
      <c r="BD49" s="54">
        <f t="shared" si="31"/>
        <v>8172104863568.6416</v>
      </c>
      <c r="BE49" s="54">
        <f t="shared" si="31"/>
        <v>8383034069632.04</v>
      </c>
      <c r="BF49" s="54">
        <f t="shared" si="31"/>
        <v>8593963275695.4385</v>
      </c>
      <c r="BG49" s="54">
        <f t="shared" si="31"/>
        <v>8804892481758.8379</v>
      </c>
      <c r="BH49" s="54">
        <f t="shared" si="31"/>
        <v>9015821687822.2363</v>
      </c>
      <c r="BI49" s="54">
        <f t="shared" si="31"/>
        <v>9226750893885.6348</v>
      </c>
      <c r="BJ49" s="54">
        <f t="shared" si="31"/>
        <v>9437680099949.0332</v>
      </c>
      <c r="BK49" s="54">
        <f t="shared" si="31"/>
        <v>9648609306012.4395</v>
      </c>
      <c r="BM49" s="104"/>
      <c r="BN49" s="57" t="s">
        <v>106</v>
      </c>
      <c r="BO49" s="72">
        <f>D48/1000000000000</f>
        <v>0</v>
      </c>
      <c r="BP49" s="72">
        <f>M48/1000000000000</f>
        <v>0</v>
      </c>
      <c r="BQ49" s="73">
        <f>W48/1000000000000</f>
        <v>9.6664601084939572E-2</v>
      </c>
      <c r="BR49" s="73">
        <f>AG48/1000000000000</f>
        <v>0.1843539575846786</v>
      </c>
      <c r="BS49" s="73">
        <f>AQ48/1000000000000</f>
        <v>0.60378048684730523</v>
      </c>
      <c r="BT49" s="74">
        <f>BA48/1000000000000</f>
        <v>1.0232070161099311</v>
      </c>
      <c r="BU49" s="74">
        <f>BK48/1000000000000</f>
        <v>1.4426335453725578</v>
      </c>
    </row>
    <row r="50" spans="1:74" x14ac:dyDescent="0.25">
      <c r="A50" s="54" t="s">
        <v>71</v>
      </c>
      <c r="B50" s="54" t="s">
        <v>106</v>
      </c>
      <c r="C50" s="54" t="s">
        <v>109</v>
      </c>
      <c r="D50" s="54">
        <f>D55*$D$62</f>
        <v>3290087890.1688004</v>
      </c>
      <c r="E50" s="54">
        <f t="shared" ref="E50:BK50" si="32">E55*$D$62</f>
        <v>6580175780.3376007</v>
      </c>
      <c r="F50" s="54">
        <f t="shared" si="32"/>
        <v>9870263670.506403</v>
      </c>
      <c r="G50" s="54">
        <f t="shared" si="32"/>
        <v>13160351560.675201</v>
      </c>
      <c r="H50" s="54">
        <f t="shared" si="32"/>
        <v>16450439450.844002</v>
      </c>
      <c r="I50" s="54">
        <f t="shared" si="32"/>
        <v>19740527341.012802</v>
      </c>
      <c r="J50" s="54">
        <f t="shared" si="32"/>
        <v>23030615231.181599</v>
      </c>
      <c r="K50" s="54">
        <f t="shared" si="32"/>
        <v>26320703121.350399</v>
      </c>
      <c r="L50" s="54">
        <f t="shared" si="32"/>
        <v>29610791011.519199</v>
      </c>
      <c r="M50" s="54">
        <f t="shared" si="32"/>
        <v>32900878901.688004</v>
      </c>
      <c r="N50" s="54">
        <f t="shared" si="32"/>
        <v>41234325202.444504</v>
      </c>
      <c r="O50" s="54">
        <f t="shared" si="32"/>
        <v>53723671996.045807</v>
      </c>
      <c r="P50" s="54">
        <f t="shared" si="32"/>
        <v>71797510076.907303</v>
      </c>
      <c r="Q50" s="54">
        <f t="shared" si="32"/>
        <v>90910323280.980011</v>
      </c>
      <c r="R50" s="54">
        <f t="shared" si="32"/>
        <v>141395856143.01758</v>
      </c>
      <c r="S50" s="54">
        <f t="shared" si="32"/>
        <v>234394952327.95343</v>
      </c>
      <c r="T50" s="54">
        <f t="shared" si="32"/>
        <v>317922058639.61383</v>
      </c>
      <c r="U50" s="54">
        <f t="shared" si="32"/>
        <v>479341979089.91705</v>
      </c>
      <c r="V50" s="54">
        <f t="shared" si="32"/>
        <v>562425994966.79285</v>
      </c>
      <c r="W50" s="54">
        <f t="shared" si="32"/>
        <v>645510010843.6687</v>
      </c>
      <c r="X50" s="54">
        <f t="shared" si="32"/>
        <v>728594026720.54443</v>
      </c>
      <c r="Y50" s="54">
        <f t="shared" si="32"/>
        <v>811678042597.42029</v>
      </c>
      <c r="Z50" s="54">
        <f t="shared" si="32"/>
        <v>894762058474.29614</v>
      </c>
      <c r="AA50" s="54">
        <f t="shared" si="32"/>
        <v>977846074351.17212</v>
      </c>
      <c r="AB50" s="54">
        <f t="shared" si="32"/>
        <v>1060930090228.048</v>
      </c>
      <c r="AC50" s="54">
        <f t="shared" si="32"/>
        <v>1144014106104.9241</v>
      </c>
      <c r="AD50" s="54">
        <f t="shared" si="32"/>
        <v>1227098121981.7996</v>
      </c>
      <c r="AE50" s="54">
        <f t="shared" si="32"/>
        <v>1310182137858.6755</v>
      </c>
      <c r="AF50" s="54">
        <f t="shared" si="32"/>
        <v>1393265967235.6758</v>
      </c>
      <c r="AG50" s="54">
        <f t="shared" si="32"/>
        <v>2075915808900.6438</v>
      </c>
      <c r="AH50" s="54">
        <f t="shared" si="32"/>
        <v>2758565650565.6113</v>
      </c>
      <c r="AI50" s="54">
        <f t="shared" si="32"/>
        <v>3441215492230.5796</v>
      </c>
      <c r="AJ50" s="54">
        <f t="shared" si="32"/>
        <v>4123865333895.5469</v>
      </c>
      <c r="AK50" s="54">
        <f t="shared" si="32"/>
        <v>4806515175560.5146</v>
      </c>
      <c r="AL50" s="54">
        <f t="shared" si="32"/>
        <v>5489165017225.4824</v>
      </c>
      <c r="AM50" s="54">
        <f t="shared" si="32"/>
        <v>6171814858890.4502</v>
      </c>
      <c r="AN50" s="54">
        <f t="shared" si="32"/>
        <v>6854464700555.417</v>
      </c>
      <c r="AO50" s="54">
        <f t="shared" si="32"/>
        <v>7537114542220.3848</v>
      </c>
      <c r="AP50" s="54">
        <f t="shared" si="32"/>
        <v>8219764383885.3525</v>
      </c>
      <c r="AQ50" s="54">
        <f t="shared" si="32"/>
        <v>8902414225550.3203</v>
      </c>
      <c r="AR50" s="54">
        <f t="shared" si="32"/>
        <v>9585064067215.2871</v>
      </c>
      <c r="AS50" s="54">
        <f t="shared" si="32"/>
        <v>10267713908880.256</v>
      </c>
      <c r="AT50" s="54">
        <f t="shared" si="32"/>
        <v>10950363750545.223</v>
      </c>
      <c r="AU50" s="54">
        <f t="shared" si="32"/>
        <v>11633013592210.191</v>
      </c>
      <c r="AV50" s="54">
        <f t="shared" si="32"/>
        <v>12315663433875.158</v>
      </c>
      <c r="AW50" s="54">
        <f t="shared" si="32"/>
        <v>12998313275540.127</v>
      </c>
      <c r="AX50" s="54">
        <f t="shared" si="32"/>
        <v>13680963117205.094</v>
      </c>
      <c r="AY50" s="54">
        <f t="shared" si="32"/>
        <v>14363612958870.061</v>
      </c>
      <c r="AZ50" s="54">
        <f t="shared" si="32"/>
        <v>15046262800535.029</v>
      </c>
      <c r="BA50" s="54">
        <f t="shared" si="32"/>
        <v>15728912642199.996</v>
      </c>
      <c r="BB50" s="54">
        <f t="shared" si="32"/>
        <v>16411562483864.965</v>
      </c>
      <c r="BC50" s="54">
        <f t="shared" si="32"/>
        <v>17094212325529.932</v>
      </c>
      <c r="BD50" s="54">
        <f t="shared" si="32"/>
        <v>17776862167194.898</v>
      </c>
      <c r="BE50" s="54">
        <f t="shared" si="32"/>
        <v>18459512008859.867</v>
      </c>
      <c r="BF50" s="54">
        <f t="shared" si="32"/>
        <v>19142161850524.836</v>
      </c>
      <c r="BG50" s="54">
        <f t="shared" si="32"/>
        <v>19824811692189.805</v>
      </c>
      <c r="BH50" s="54">
        <f t="shared" si="32"/>
        <v>20507461533854.77</v>
      </c>
      <c r="BI50" s="54">
        <f t="shared" si="32"/>
        <v>21190111375519.738</v>
      </c>
      <c r="BJ50" s="54">
        <f t="shared" si="32"/>
        <v>21872761217184.707</v>
      </c>
      <c r="BK50" s="54">
        <f t="shared" si="32"/>
        <v>22555411058849.68</v>
      </c>
      <c r="BM50" s="104" t="s">
        <v>71</v>
      </c>
      <c r="BN50" s="57" t="s">
        <v>105</v>
      </c>
      <c r="BO50" s="73">
        <f>D49/1000000000000</f>
        <v>3.8467632636660407E-2</v>
      </c>
      <c r="BP50" s="73">
        <f>M49/1000000000000</f>
        <v>0.38467632636660404</v>
      </c>
      <c r="BQ50" s="74">
        <f>W49/1000000000000</f>
        <v>1.6670343815530755</v>
      </c>
      <c r="BR50" s="74">
        <f>AG49/1000000000000</f>
        <v>3.3207331241104781</v>
      </c>
      <c r="BS50" s="74">
        <f>AQ49/1000000000000</f>
        <v>5.4300251847444621</v>
      </c>
      <c r="BT50" s="74">
        <f>BA49/1000000000000</f>
        <v>7.5393172453784461</v>
      </c>
      <c r="BU50" s="74">
        <f>BK49/1000000000000</f>
        <v>9.6486093060124389</v>
      </c>
    </row>
    <row r="51" spans="1:74" x14ac:dyDescent="0.25">
      <c r="BM51" s="105"/>
      <c r="BN51" s="58" t="s">
        <v>106</v>
      </c>
      <c r="BO51" s="75">
        <f>D50/1000000000000</f>
        <v>3.2900878901688003E-3</v>
      </c>
      <c r="BP51" s="75">
        <f>M50/1000000000000</f>
        <v>3.2900878901688003E-2</v>
      </c>
      <c r="BQ51" s="75">
        <f>W50/1000000000000</f>
        <v>0.64551001084366866</v>
      </c>
      <c r="BR51" s="76">
        <f>AG50/1000000000000</f>
        <v>2.075915808900644</v>
      </c>
      <c r="BS51" s="63">
        <f>AQ50/1000000000000</f>
        <v>8.90241422555032</v>
      </c>
      <c r="BT51" s="63">
        <f>BA50/1000000000000</f>
        <v>15.728912642199996</v>
      </c>
      <c r="BU51" s="63">
        <f>BK50/1000000000000</f>
        <v>22.555411058849678</v>
      </c>
      <c r="BV51" s="51">
        <f>SUM(BU48:BU51)</f>
        <v>46.473434491809655</v>
      </c>
    </row>
    <row r="52" spans="1:74" x14ac:dyDescent="0.25">
      <c r="A52" s="54" t="s">
        <v>38</v>
      </c>
      <c r="B52" s="54" t="s">
        <v>105</v>
      </c>
      <c r="C52" s="54" t="s">
        <v>114</v>
      </c>
      <c r="D52" s="54">
        <v>161792820</v>
      </c>
      <c r="E52" s="54">
        <v>323585640</v>
      </c>
      <c r="F52" s="54">
        <v>485378460</v>
      </c>
      <c r="G52" s="54">
        <v>647171280</v>
      </c>
      <c r="H52" s="54">
        <v>808964100</v>
      </c>
      <c r="I52" s="54">
        <v>970756920.00000012</v>
      </c>
      <c r="J52" s="54">
        <v>1132549740</v>
      </c>
      <c r="K52" s="54">
        <v>1294342560</v>
      </c>
      <c r="L52" s="54">
        <v>1456135380</v>
      </c>
      <c r="M52" s="54">
        <v>1617928200</v>
      </c>
      <c r="N52" s="54">
        <v>1765249500</v>
      </c>
      <c r="O52" s="54">
        <v>2140221300</v>
      </c>
      <c r="P52" s="54">
        <v>2804470200</v>
      </c>
      <c r="Q52" s="54">
        <v>3395135100</v>
      </c>
      <c r="R52" s="54">
        <v>3904397700</v>
      </c>
      <c r="S52" s="54">
        <v>4884352620</v>
      </c>
      <c r="T52" s="54">
        <v>6521044740</v>
      </c>
      <c r="U52" s="54">
        <v>9283326780</v>
      </c>
      <c r="V52" s="54">
        <v>10009693172.696001</v>
      </c>
      <c r="W52" s="54">
        <v>10802953609.392</v>
      </c>
      <c r="X52" s="54">
        <v>11596214046.088001</v>
      </c>
      <c r="Y52" s="54">
        <v>12389474482.784</v>
      </c>
      <c r="Z52" s="54">
        <v>13182734919.480001</v>
      </c>
      <c r="AA52" s="54">
        <v>13975995356.175999</v>
      </c>
      <c r="AB52" s="54">
        <v>14769255792.872</v>
      </c>
      <c r="AC52" s="54">
        <v>15562516229.567999</v>
      </c>
      <c r="AD52" s="54">
        <v>16355776666.264</v>
      </c>
      <c r="AE52" s="54">
        <v>17149037102.959999</v>
      </c>
      <c r="AF52" s="54">
        <v>17942298068</v>
      </c>
      <c r="AG52" s="54">
        <v>20559589102.13398</v>
      </c>
      <c r="AH52" s="54">
        <v>23176880136.26796</v>
      </c>
      <c r="AI52" s="54">
        <v>25794171170.401939</v>
      </c>
      <c r="AJ52" s="54">
        <v>28411462204.535919</v>
      </c>
      <c r="AK52" s="54">
        <v>31028753238.669899</v>
      </c>
      <c r="AL52" s="54">
        <v>33646044272.803879</v>
      </c>
      <c r="AM52" s="54">
        <v>36263335306.937859</v>
      </c>
      <c r="AN52" s="54">
        <v>38880626341.071838</v>
      </c>
      <c r="AO52" s="54">
        <v>41497917375.205818</v>
      </c>
      <c r="AP52" s="54">
        <v>44115208409.339798</v>
      </c>
      <c r="AQ52" s="54">
        <v>46732499443.473778</v>
      </c>
      <c r="AR52" s="54">
        <v>49349790477.607758</v>
      </c>
      <c r="AS52" s="54">
        <v>51967081511.741737</v>
      </c>
      <c r="AT52" s="54">
        <v>54584372545.875717</v>
      </c>
      <c r="AU52" s="54">
        <v>57201663580.009697</v>
      </c>
      <c r="AV52" s="54">
        <v>59818954614.143677</v>
      </c>
      <c r="AW52" s="54">
        <v>62436245648.277657</v>
      </c>
      <c r="AX52" s="54">
        <v>65053536682.411636</v>
      </c>
      <c r="AY52" s="54">
        <v>67670827716.545616</v>
      </c>
      <c r="AZ52" s="54">
        <v>70288118750.679596</v>
      </c>
      <c r="BA52" s="54">
        <v>72905409784.813568</v>
      </c>
      <c r="BB52" s="54">
        <v>75522700818.94754</v>
      </c>
      <c r="BC52" s="54">
        <v>78139991853.081512</v>
      </c>
      <c r="BD52" s="54">
        <v>80757282887.215485</v>
      </c>
      <c r="BE52" s="54">
        <v>83374573921.349457</v>
      </c>
      <c r="BF52" s="54">
        <v>85991864955.483429</v>
      </c>
      <c r="BG52" s="54">
        <v>88609155989.617401</v>
      </c>
      <c r="BH52" s="54">
        <v>91226447023.751373</v>
      </c>
      <c r="BI52" s="54">
        <v>93843738057.885345</v>
      </c>
      <c r="BJ52" s="54">
        <v>96461029092.019318</v>
      </c>
      <c r="BK52" s="54">
        <v>99078320126.153336</v>
      </c>
      <c r="BM52" s="69" t="s">
        <v>120</v>
      </c>
    </row>
    <row r="53" spans="1:74" x14ac:dyDescent="0.25">
      <c r="A53" s="54" t="s">
        <v>38</v>
      </c>
      <c r="B53" s="54" t="s">
        <v>106</v>
      </c>
      <c r="C53" s="54" t="s">
        <v>114</v>
      </c>
      <c r="D53" s="54">
        <v>0</v>
      </c>
      <c r="E53" s="54">
        <v>0</v>
      </c>
      <c r="F53" s="54">
        <v>0</v>
      </c>
      <c r="G53" s="54">
        <v>0</v>
      </c>
      <c r="H53" s="54">
        <v>0</v>
      </c>
      <c r="I53" s="54">
        <v>0</v>
      </c>
      <c r="J53" s="54">
        <v>0</v>
      </c>
      <c r="K53" s="54">
        <v>0</v>
      </c>
      <c r="L53" s="54">
        <v>0</v>
      </c>
      <c r="M53" s="54">
        <v>0</v>
      </c>
      <c r="N53" s="54">
        <v>8569470</v>
      </c>
      <c r="O53" s="54">
        <v>10485720</v>
      </c>
      <c r="P53" s="54">
        <v>14210910</v>
      </c>
      <c r="Q53" s="54">
        <v>27900600</v>
      </c>
      <c r="R53" s="54">
        <v>90784260</v>
      </c>
      <c r="S53" s="54">
        <v>250446210</v>
      </c>
      <c r="T53" s="54">
        <v>489824160</v>
      </c>
      <c r="U53" s="54">
        <v>612614868</v>
      </c>
      <c r="V53" s="54">
        <v>648614378.95600009</v>
      </c>
      <c r="W53" s="54">
        <v>684613889.91200018</v>
      </c>
      <c r="X53" s="54">
        <v>720613400.86800015</v>
      </c>
      <c r="Y53" s="54">
        <v>756612911.82400012</v>
      </c>
      <c r="Z53" s="54">
        <v>792612422.78000021</v>
      </c>
      <c r="AA53" s="54">
        <v>828611933.7360003</v>
      </c>
      <c r="AB53" s="54">
        <v>864611444.69200027</v>
      </c>
      <c r="AC53" s="54">
        <v>900610955.64800036</v>
      </c>
      <c r="AD53" s="54">
        <v>936610466.60400045</v>
      </c>
      <c r="AE53" s="54">
        <v>972609977.56000042</v>
      </c>
      <c r="AF53" s="54">
        <v>1008608696.0000001</v>
      </c>
      <c r="AG53" s="54">
        <v>1305661830.7648768</v>
      </c>
      <c r="AH53" s="54">
        <v>1602714965.5297537</v>
      </c>
      <c r="AI53" s="54">
        <v>1899768100.2946305</v>
      </c>
      <c r="AJ53" s="54">
        <v>2196821235.0595074</v>
      </c>
      <c r="AK53" s="54">
        <v>2493874369.8243842</v>
      </c>
      <c r="AL53" s="54">
        <v>2790927504.5892611</v>
      </c>
      <c r="AM53" s="54">
        <v>3087980639.3541379</v>
      </c>
      <c r="AN53" s="54">
        <v>3385033774.1190147</v>
      </c>
      <c r="AO53" s="54">
        <v>3682086908.8838916</v>
      </c>
      <c r="AP53" s="54">
        <v>3979140043.6487684</v>
      </c>
      <c r="AQ53" s="54">
        <v>4276193178.4136453</v>
      </c>
      <c r="AR53" s="54">
        <v>4573246313.1785221</v>
      </c>
      <c r="AS53" s="54">
        <v>4870299447.9433985</v>
      </c>
      <c r="AT53" s="54">
        <v>5167352582.7082748</v>
      </c>
      <c r="AU53" s="54">
        <v>5464405717.4731512</v>
      </c>
      <c r="AV53" s="54">
        <v>5761458852.2380276</v>
      </c>
      <c r="AW53" s="54">
        <v>6058511987.0029039</v>
      </c>
      <c r="AX53" s="54">
        <v>6355565121.7677803</v>
      </c>
      <c r="AY53" s="54">
        <v>6652618256.5326567</v>
      </c>
      <c r="AZ53" s="54">
        <v>6949671391.297533</v>
      </c>
      <c r="BA53" s="54">
        <v>7246724526.0624094</v>
      </c>
      <c r="BB53" s="54">
        <v>7543777660.8272858</v>
      </c>
      <c r="BC53" s="54">
        <v>7840830795.5921621</v>
      </c>
      <c r="BD53" s="54">
        <v>8137883930.3570385</v>
      </c>
      <c r="BE53" s="54">
        <v>8434937065.1219149</v>
      </c>
      <c r="BF53" s="54">
        <v>8731990199.8867912</v>
      </c>
      <c r="BG53" s="54">
        <v>9029043334.6516685</v>
      </c>
      <c r="BH53" s="54">
        <v>9326096469.4165459</v>
      </c>
      <c r="BI53" s="54">
        <v>9623149604.1814232</v>
      </c>
      <c r="BJ53" s="54">
        <v>9920202738.9463005</v>
      </c>
      <c r="BK53" s="54">
        <v>10217255873.71118</v>
      </c>
    </row>
    <row r="54" spans="1:74" x14ac:dyDescent="0.25">
      <c r="A54" s="54" t="s">
        <v>71</v>
      </c>
      <c r="B54" s="54" t="s">
        <v>105</v>
      </c>
      <c r="C54" s="54" t="s">
        <v>114</v>
      </c>
      <c r="D54" s="54">
        <v>297136791</v>
      </c>
      <c r="E54" s="54">
        <v>594273582</v>
      </c>
      <c r="F54" s="54">
        <v>891410372.99999988</v>
      </c>
      <c r="G54" s="54">
        <v>1188547164</v>
      </c>
      <c r="H54" s="54">
        <v>1485683955</v>
      </c>
      <c r="I54" s="54">
        <v>1782820745.9999998</v>
      </c>
      <c r="J54" s="54">
        <v>2079957537</v>
      </c>
      <c r="K54" s="54">
        <v>2377094328</v>
      </c>
      <c r="L54" s="54">
        <v>2674231119</v>
      </c>
      <c r="M54" s="54">
        <v>2971367910</v>
      </c>
      <c r="N54" s="54">
        <v>3190264979.9999995</v>
      </c>
      <c r="O54" s="54">
        <v>3653936159.9999995</v>
      </c>
      <c r="P54" s="54">
        <v>4328747430</v>
      </c>
      <c r="Q54" s="54">
        <v>4437529110</v>
      </c>
      <c r="R54" s="54">
        <v>5064081540</v>
      </c>
      <c r="S54" s="54">
        <v>6088018230</v>
      </c>
      <c r="T54" s="54">
        <v>7648137000.000001</v>
      </c>
      <c r="U54" s="54">
        <v>9329194140</v>
      </c>
      <c r="V54" s="54">
        <v>11638457790.608002</v>
      </c>
      <c r="W54" s="54">
        <v>12876728113.216002</v>
      </c>
      <c r="X54" s="54">
        <v>14114998435.824003</v>
      </c>
      <c r="Y54" s="54">
        <v>15353268758.432003</v>
      </c>
      <c r="Z54" s="54">
        <v>16591539081.040003</v>
      </c>
      <c r="AA54" s="54">
        <v>17829809403.648003</v>
      </c>
      <c r="AB54" s="54">
        <v>19068079726.256004</v>
      </c>
      <c r="AC54" s="54">
        <v>20306350048.864006</v>
      </c>
      <c r="AD54" s="54">
        <v>21544620371.472004</v>
      </c>
      <c r="AE54" s="54">
        <v>22782890694.080006</v>
      </c>
      <c r="AF54" s="54">
        <v>24021159960</v>
      </c>
      <c r="AG54" s="54">
        <v>25650447314.640213</v>
      </c>
      <c r="AH54" s="54">
        <v>27279734669.280426</v>
      </c>
      <c r="AI54" s="54">
        <v>28909022023.920639</v>
      </c>
      <c r="AJ54" s="54">
        <v>30538309378.560852</v>
      </c>
      <c r="AK54" s="54">
        <v>32167596733.201065</v>
      </c>
      <c r="AL54" s="54">
        <v>33796884087.841278</v>
      </c>
      <c r="AM54" s="54">
        <v>35426171442.481491</v>
      </c>
      <c r="AN54" s="54">
        <v>37055458797.121704</v>
      </c>
      <c r="AO54" s="54">
        <v>38684746151.761917</v>
      </c>
      <c r="AP54" s="54">
        <v>40314033506.40213</v>
      </c>
      <c r="AQ54" s="54">
        <v>41943320861.042343</v>
      </c>
      <c r="AR54" s="54">
        <v>43572608215.682556</v>
      </c>
      <c r="AS54" s="54">
        <v>45201895570.322769</v>
      </c>
      <c r="AT54" s="54">
        <v>46831182924.962982</v>
      </c>
      <c r="AU54" s="54">
        <v>48460470279.603195</v>
      </c>
      <c r="AV54" s="54">
        <v>50089757634.243408</v>
      </c>
      <c r="AW54" s="54">
        <v>51719044988.883621</v>
      </c>
      <c r="AX54" s="54">
        <v>53348332343.523834</v>
      </c>
      <c r="AY54" s="54">
        <v>54977619698.164047</v>
      </c>
      <c r="AZ54" s="54">
        <v>56606907052.80426</v>
      </c>
      <c r="BA54" s="54">
        <v>58236194407.444473</v>
      </c>
      <c r="BB54" s="54">
        <v>59865481762.084686</v>
      </c>
      <c r="BC54" s="54">
        <v>61494769116.724899</v>
      </c>
      <c r="BD54" s="54">
        <v>63124056471.365112</v>
      </c>
      <c r="BE54" s="54">
        <v>64753343826.005325</v>
      </c>
      <c r="BF54" s="54">
        <v>66382631180.645538</v>
      </c>
      <c r="BG54" s="54">
        <v>68011918535.285751</v>
      </c>
      <c r="BH54" s="54">
        <v>69641205889.925964</v>
      </c>
      <c r="BI54" s="54">
        <v>71270493244.566177</v>
      </c>
      <c r="BJ54" s="54">
        <v>72899780599.20639</v>
      </c>
      <c r="BK54" s="54">
        <v>74529067953.846664</v>
      </c>
    </row>
    <row r="55" spans="1:74" x14ac:dyDescent="0.25">
      <c r="A55" s="54" t="s">
        <v>71</v>
      </c>
      <c r="B55" s="54" t="s">
        <v>106</v>
      </c>
      <c r="C55" s="54" t="s">
        <v>114</v>
      </c>
      <c r="D55" s="54">
        <v>23301600</v>
      </c>
      <c r="E55" s="54">
        <v>46603200</v>
      </c>
      <c r="F55" s="54">
        <v>69904800.000000015</v>
      </c>
      <c r="G55" s="54">
        <v>93206400</v>
      </c>
      <c r="H55" s="54">
        <v>116508000</v>
      </c>
      <c r="I55" s="54">
        <v>139809600</v>
      </c>
      <c r="J55" s="54">
        <v>163111199.99999997</v>
      </c>
      <c r="K55" s="54">
        <v>186412799.99999997</v>
      </c>
      <c r="L55" s="54">
        <v>209714399.99999997</v>
      </c>
      <c r="M55" s="54">
        <v>233016000</v>
      </c>
      <c r="N55" s="54">
        <v>292036500</v>
      </c>
      <c r="O55" s="54">
        <v>380490600</v>
      </c>
      <c r="P55" s="54">
        <v>508496100</v>
      </c>
      <c r="Q55" s="54">
        <v>643860000</v>
      </c>
      <c r="R55" s="54">
        <v>1001416920</v>
      </c>
      <c r="S55" s="54">
        <v>1660070370</v>
      </c>
      <c r="T55" s="54">
        <v>2251639740</v>
      </c>
      <c r="U55" s="54">
        <v>3394874372</v>
      </c>
      <c r="V55" s="54">
        <v>3983305614.2600002</v>
      </c>
      <c r="W55" s="54">
        <v>4571736856.5200005</v>
      </c>
      <c r="X55" s="54">
        <v>5160168098.7799997</v>
      </c>
      <c r="Y55" s="54">
        <v>5748599341.04</v>
      </c>
      <c r="Z55" s="54">
        <v>6337030583.3000002</v>
      </c>
      <c r="AA55" s="54">
        <v>6925461825.5600014</v>
      </c>
      <c r="AB55" s="54">
        <v>7513893067.8200016</v>
      </c>
      <c r="AC55" s="54">
        <v>8102324310.0800028</v>
      </c>
      <c r="AD55" s="54">
        <v>8690755552.3400021</v>
      </c>
      <c r="AE55" s="54">
        <v>9279186794.6000023</v>
      </c>
      <c r="AF55" s="54">
        <v>9867616716</v>
      </c>
      <c r="AG55" s="54">
        <v>14702391372.954317</v>
      </c>
      <c r="AH55" s="54">
        <v>19537166029.908634</v>
      </c>
      <c r="AI55" s="54">
        <v>24371940686.862953</v>
      </c>
      <c r="AJ55" s="54">
        <v>29206715343.817268</v>
      </c>
      <c r="AK55" s="54">
        <v>34041490000.771584</v>
      </c>
      <c r="AL55" s="54">
        <v>38876264657.725899</v>
      </c>
      <c r="AM55" s="54">
        <v>43711039314.680214</v>
      </c>
      <c r="AN55" s="54">
        <v>48545813971.634529</v>
      </c>
      <c r="AO55" s="54">
        <v>53380588628.588844</v>
      </c>
      <c r="AP55" s="54">
        <v>58215363285.543159</v>
      </c>
      <c r="AQ55" s="54">
        <v>63050137942.497475</v>
      </c>
      <c r="AR55" s="54">
        <v>67884912599.45179</v>
      </c>
      <c r="AS55" s="54">
        <v>72719687256.406113</v>
      </c>
      <c r="AT55" s="54">
        <v>77554461913.360428</v>
      </c>
      <c r="AU55" s="54">
        <v>82389236570.314743</v>
      </c>
      <c r="AV55" s="54">
        <v>87224011227.269058</v>
      </c>
      <c r="AW55" s="54">
        <v>92058785884.223373</v>
      </c>
      <c r="AX55" s="54">
        <v>96893560541.177689</v>
      </c>
      <c r="AY55" s="54">
        <v>101728335198.132</v>
      </c>
      <c r="AZ55" s="54">
        <v>106563109855.08632</v>
      </c>
      <c r="BA55" s="54">
        <v>111397884512.04063</v>
      </c>
      <c r="BB55" s="54">
        <v>116232659168.99495</v>
      </c>
      <c r="BC55" s="54">
        <v>121067433825.94926</v>
      </c>
      <c r="BD55" s="54">
        <v>125902208482.90358</v>
      </c>
      <c r="BE55" s="54">
        <v>130736983139.85789</v>
      </c>
      <c r="BF55" s="54">
        <v>135571757796.81221</v>
      </c>
      <c r="BG55" s="54">
        <v>140406532453.76654</v>
      </c>
      <c r="BH55" s="54">
        <v>145241307110.72086</v>
      </c>
      <c r="BI55" s="54">
        <v>150076081767.67517</v>
      </c>
      <c r="BJ55" s="54">
        <v>154910856424.62949</v>
      </c>
      <c r="BK55" s="54">
        <v>159745631081.58383</v>
      </c>
    </row>
    <row r="58" spans="1:74" x14ac:dyDescent="0.25">
      <c r="D58" s="54">
        <v>34.200000000000003</v>
      </c>
      <c r="E58" s="54" t="s">
        <v>115</v>
      </c>
      <c r="F58" s="54" t="s">
        <v>116</v>
      </c>
    </row>
    <row r="59" spans="1:74" x14ac:dyDescent="0.25">
      <c r="D59" s="54">
        <v>37.299999999999997</v>
      </c>
      <c r="E59" s="54" t="s">
        <v>115</v>
      </c>
      <c r="F59" s="54" t="s">
        <v>117</v>
      </c>
    </row>
    <row r="60" spans="1:74" x14ac:dyDescent="0.25">
      <c r="D60" s="54">
        <v>3.7854100000000002</v>
      </c>
      <c r="E60" s="54" t="s">
        <v>118</v>
      </c>
    </row>
    <row r="61" spans="1:74" x14ac:dyDescent="0.25">
      <c r="D61" s="54">
        <f>D58*D60</f>
        <v>129.46102200000001</v>
      </c>
      <c r="E61" s="54" t="s">
        <v>119</v>
      </c>
      <c r="F61" s="54" t="s">
        <v>116</v>
      </c>
    </row>
    <row r="62" spans="1:74" x14ac:dyDescent="0.25">
      <c r="D62" s="54">
        <f>D59*D60</f>
        <v>141.19579300000001</v>
      </c>
      <c r="E62" s="54" t="s">
        <v>119</v>
      </c>
      <c r="F62" s="54" t="s">
        <v>117</v>
      </c>
    </row>
    <row r="63" spans="1:74" x14ac:dyDescent="0.25">
      <c r="D63" s="54">
        <v>24</v>
      </c>
      <c r="E63" s="54" t="s">
        <v>115</v>
      </c>
      <c r="F63" s="54" t="s">
        <v>105</v>
      </c>
    </row>
    <row r="64" spans="1:74" x14ac:dyDescent="0.25">
      <c r="D64" s="54">
        <v>33</v>
      </c>
      <c r="E64" s="54" t="s">
        <v>115</v>
      </c>
      <c r="F64" s="54" t="s">
        <v>132</v>
      </c>
    </row>
    <row r="65" spans="4:6" x14ac:dyDescent="0.25">
      <c r="D65" s="54">
        <f>D60*D63</f>
        <v>90.84984</v>
      </c>
      <c r="E65" s="54" t="s">
        <v>119</v>
      </c>
      <c r="F65" s="54" t="s">
        <v>105</v>
      </c>
    </row>
    <row r="66" spans="4:6" x14ac:dyDescent="0.25">
      <c r="D66" s="54">
        <f>D60*D64</f>
        <v>124.91853</v>
      </c>
      <c r="E66" s="54" t="s">
        <v>119</v>
      </c>
      <c r="F66" s="54" t="s">
        <v>132</v>
      </c>
    </row>
  </sheetData>
  <mergeCells count="8">
    <mergeCell ref="BM44:BM45"/>
    <mergeCell ref="BM48:BM49"/>
    <mergeCell ref="BM50:BM51"/>
    <mergeCell ref="BM2:BM12"/>
    <mergeCell ref="BM13:BM23"/>
    <mergeCell ref="BM26:BM32"/>
    <mergeCell ref="BM33:BM39"/>
    <mergeCell ref="BM42:BM4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66"/>
  <sheetViews>
    <sheetView workbookViewId="0">
      <pane xSplit="3" ySplit="1" topLeftCell="D29" activePane="bottomRight" state="frozenSplit"/>
      <selection pane="topRight" activeCell="K1" sqref="K1"/>
      <selection pane="bottomLeft" activeCell="A21" sqref="A21"/>
      <selection pane="bottomRight" activeCell="BM47" sqref="BM47:BU51"/>
    </sheetView>
  </sheetViews>
  <sheetFormatPr defaultRowHeight="15" x14ac:dyDescent="0.25"/>
  <cols>
    <col min="1" max="1" width="8.42578125" style="54" bestFit="1" customWidth="1"/>
    <col min="2" max="2" width="26.140625" style="54" bestFit="1" customWidth="1"/>
    <col min="3" max="3" width="15.7109375" style="54" bestFit="1" customWidth="1"/>
    <col min="4" max="4" width="12" style="54" bestFit="1" customWidth="1"/>
    <col min="5" max="55" width="9.140625" style="54"/>
    <col min="56" max="56" width="12" style="54" bestFit="1" customWidth="1"/>
    <col min="57" max="63" width="9.140625" style="54"/>
    <col min="64" max="64" width="10" style="54" bestFit="1" customWidth="1"/>
    <col min="65" max="65" width="8.42578125" style="54" bestFit="1" customWidth="1"/>
    <col min="66" max="66" width="26.140625" style="54" bestFit="1" customWidth="1"/>
    <col min="67" max="73" width="5" style="54" bestFit="1" customWidth="1"/>
    <col min="74" max="16384" width="9.140625" style="54"/>
  </cols>
  <sheetData>
    <row r="1" spans="1:73" x14ac:dyDescent="0.25">
      <c r="A1" s="54" t="s">
        <v>93</v>
      </c>
      <c r="B1" s="54" t="s">
        <v>94</v>
      </c>
      <c r="C1" s="54" t="s">
        <v>73</v>
      </c>
      <c r="D1" s="54">
        <v>1991</v>
      </c>
      <c r="E1" s="54">
        <v>1992</v>
      </c>
      <c r="F1" s="54">
        <v>1993</v>
      </c>
      <c r="G1" s="54">
        <v>1994</v>
      </c>
      <c r="H1" s="54">
        <v>1995</v>
      </c>
      <c r="I1" s="54">
        <v>1996</v>
      </c>
      <c r="J1" s="54">
        <v>1997</v>
      </c>
      <c r="K1" s="54">
        <v>1998</v>
      </c>
      <c r="L1" s="54">
        <v>1999</v>
      </c>
      <c r="M1" s="54">
        <v>2000</v>
      </c>
      <c r="N1" s="54">
        <v>2001</v>
      </c>
      <c r="O1" s="54">
        <v>2002</v>
      </c>
      <c r="P1" s="54">
        <v>2003</v>
      </c>
      <c r="Q1" s="54">
        <v>2004</v>
      </c>
      <c r="R1" s="54">
        <v>2005</v>
      </c>
      <c r="S1" s="54">
        <v>2006</v>
      </c>
      <c r="T1" s="54">
        <v>2007</v>
      </c>
      <c r="U1" s="54">
        <v>2008</v>
      </c>
      <c r="V1" s="54">
        <v>2009</v>
      </c>
      <c r="W1" s="54">
        <v>2010</v>
      </c>
      <c r="X1" s="54">
        <v>2011</v>
      </c>
      <c r="Y1" s="54">
        <v>2012</v>
      </c>
      <c r="Z1" s="54">
        <v>2013</v>
      </c>
      <c r="AA1" s="54">
        <v>2014</v>
      </c>
      <c r="AB1" s="54">
        <v>2015</v>
      </c>
      <c r="AC1" s="54">
        <v>2016</v>
      </c>
      <c r="AD1" s="54">
        <v>2017</v>
      </c>
      <c r="AE1" s="54">
        <v>2018</v>
      </c>
      <c r="AF1" s="54">
        <v>2019</v>
      </c>
      <c r="AG1" s="54">
        <v>2020</v>
      </c>
      <c r="AH1" s="54">
        <v>2021</v>
      </c>
      <c r="AI1" s="54">
        <v>2022</v>
      </c>
      <c r="AJ1" s="54">
        <v>2023</v>
      </c>
      <c r="AK1" s="54">
        <v>2024</v>
      </c>
      <c r="AL1" s="54">
        <v>2025</v>
      </c>
      <c r="AM1" s="54">
        <v>2026</v>
      </c>
      <c r="AN1" s="54">
        <v>2027</v>
      </c>
      <c r="AO1" s="54">
        <v>2028</v>
      </c>
      <c r="AP1" s="54">
        <v>2029</v>
      </c>
      <c r="AQ1" s="54">
        <v>2030</v>
      </c>
      <c r="AR1" s="54">
        <v>2031</v>
      </c>
      <c r="AS1" s="54">
        <v>2032</v>
      </c>
      <c r="AT1" s="54">
        <v>2033</v>
      </c>
      <c r="AU1" s="54">
        <v>2034</v>
      </c>
      <c r="AV1" s="54">
        <v>2035</v>
      </c>
      <c r="AW1" s="54">
        <v>2036</v>
      </c>
      <c r="AX1" s="54">
        <v>2037</v>
      </c>
      <c r="AY1" s="54">
        <v>2038</v>
      </c>
      <c r="AZ1" s="54">
        <v>2039</v>
      </c>
      <c r="BA1" s="54">
        <v>2040</v>
      </c>
      <c r="BB1" s="54">
        <v>2041</v>
      </c>
      <c r="BC1" s="54">
        <v>2042</v>
      </c>
      <c r="BD1" s="54">
        <v>2043</v>
      </c>
      <c r="BE1" s="54">
        <v>2044</v>
      </c>
      <c r="BF1" s="54">
        <v>2045</v>
      </c>
      <c r="BG1" s="54">
        <v>2046</v>
      </c>
      <c r="BH1" s="54">
        <v>2047</v>
      </c>
      <c r="BI1" s="54">
        <v>2048</v>
      </c>
      <c r="BJ1" s="54">
        <v>2049</v>
      </c>
      <c r="BK1" s="54">
        <v>2050</v>
      </c>
      <c r="BM1" s="60" t="s">
        <v>93</v>
      </c>
      <c r="BN1" s="60" t="s">
        <v>94</v>
      </c>
      <c r="BO1" s="60">
        <v>1991</v>
      </c>
      <c r="BP1" s="60">
        <v>2000</v>
      </c>
      <c r="BQ1" s="60">
        <v>2010</v>
      </c>
      <c r="BR1" s="60">
        <v>2020</v>
      </c>
      <c r="BS1" s="60">
        <v>2030</v>
      </c>
      <c r="BT1" s="60">
        <v>2040</v>
      </c>
      <c r="BU1" s="60">
        <v>2050</v>
      </c>
    </row>
    <row r="2" spans="1:73" x14ac:dyDescent="0.25">
      <c r="A2" s="54" t="s">
        <v>71</v>
      </c>
      <c r="B2" s="54" t="s">
        <v>96</v>
      </c>
      <c r="C2" s="54" t="s">
        <v>92</v>
      </c>
      <c r="D2" s="55">
        <f>'LUC-2012-08-10-Run4'!AF2</f>
        <v>1.0508415631190336E-5</v>
      </c>
      <c r="E2" s="55">
        <f>'LUC-2012-08-10-Run4'!AG2</f>
        <v>1.0527618537027347E-5</v>
      </c>
      <c r="F2" s="55">
        <f>'LUC-2012-08-10-Run4'!AH2</f>
        <v>1.0524144816427411E-5</v>
      </c>
      <c r="G2" s="55">
        <f>'LUC-2012-08-10-Run4'!AI2</f>
        <v>1.0522462802637258E-5</v>
      </c>
      <c r="H2" s="55">
        <f>'LUC-2012-08-10-Run4'!AJ2</f>
        <v>1.05226809524005E-5</v>
      </c>
      <c r="I2" s="55">
        <f>'LUC-2012-08-10-Run4'!AK2</f>
        <v>1.0524797835739828E-5</v>
      </c>
      <c r="J2" s="55">
        <f>'LUC-2012-08-10-Run4'!AL2</f>
        <v>1.0528848568531622E-5</v>
      </c>
      <c r="K2" s="55">
        <f>'LUC-2012-08-10-Run4'!AM2</f>
        <v>1.0535257891350468E-5</v>
      </c>
      <c r="L2" s="55">
        <f>'LUC-2012-08-10-Run4'!AN2</f>
        <v>1.0544407835154982E-5</v>
      </c>
      <c r="M2" s="55">
        <f>'LUC-2012-08-10-Run4'!AO2</f>
        <v>1.0556611219831291E-5</v>
      </c>
      <c r="N2" s="55">
        <f>'LUC-2012-08-10-Run4'!AP2</f>
        <v>1.0571844928448045E-5</v>
      </c>
      <c r="O2" s="55">
        <f>'LUC-2012-08-10-Run4'!AQ2</f>
        <v>1.0589980349233616E-5</v>
      </c>
      <c r="P2" s="55">
        <f>'LUC-2012-08-10-Run4'!AR2</f>
        <v>1.0610719107102551E-5</v>
      </c>
      <c r="Q2" s="55">
        <f>'LUC-2012-08-10-Run4'!AS2</f>
        <v>1.0633798162037924E-5</v>
      </c>
      <c r="R2" s="55">
        <f>'LUC-2012-08-10-Run4'!AT2</f>
        <v>1.0658934712118934E-5</v>
      </c>
      <c r="S2" s="55">
        <f>'LUC-2012-08-10-Run4'!AU2</f>
        <v>1.0847332703046877E-5</v>
      </c>
      <c r="T2" s="55">
        <f>'LUC-2012-08-10-Run4'!AV2</f>
        <v>1.0964836112430804E-5</v>
      </c>
      <c r="U2" s="55">
        <f>'LUC-2012-08-10-Run4'!AW2</f>
        <v>1.1083992348417336E-5</v>
      </c>
      <c r="V2" s="55">
        <f>'LUC-2012-08-10-Run4'!AX2</f>
        <v>1.1204770395154344E-5</v>
      </c>
      <c r="W2" s="55">
        <f>'LUC-2012-08-10-Run4'!AY2</f>
        <v>1.1327126153256903E-5</v>
      </c>
      <c r="X2" s="55">
        <f>'LUC-2012-08-10-Run4'!AZ2</f>
        <v>1.1451082991095796E-5</v>
      </c>
      <c r="Y2" s="55">
        <f>'LUC-2012-08-10-Run4'!BA2</f>
        <v>1.1576694440980276E-5</v>
      </c>
      <c r="Z2" s="55">
        <f>'LUC-2012-08-10-Run4'!BB2</f>
        <v>1.1703990120910524E-5</v>
      </c>
      <c r="AA2" s="55">
        <f>'LUC-2012-08-10-Run4'!BC2</f>
        <v>1.1833062981199678E-5</v>
      </c>
      <c r="AB2" s="55">
        <f>'LUC-2012-08-10-Run4'!BD2</f>
        <v>1.1963939200804165E-5</v>
      </c>
      <c r="AC2" s="55">
        <f>'LUC-2012-08-10-Run4'!BE2</f>
        <v>1.2096649107742124E-5</v>
      </c>
      <c r="AD2" s="55">
        <f>'LUC-2012-08-10-Run4'!BF2</f>
        <v>1.2231179027703737E-5</v>
      </c>
      <c r="AE2" s="55">
        <f>'LUC-2012-08-10-Run4'!BG2</f>
        <v>1.2367491102724216E-5</v>
      </c>
      <c r="AF2" s="55">
        <f>'LUC-2012-08-10-Run4'!BH2</f>
        <v>1.2505587125350255E-5</v>
      </c>
      <c r="AG2" s="55">
        <f>'LUC-2012-08-10-Run4'!BI2</f>
        <v>1.2645391460335783E-5</v>
      </c>
      <c r="AH2" s="55">
        <f>'LUC-2012-08-10-Run4'!BJ2</f>
        <v>1.2786912777983501E-5</v>
      </c>
      <c r="AI2" s="55">
        <f>'LUC-2012-08-10-Run4'!BK2</f>
        <v>1.2930111981195844E-5</v>
      </c>
      <c r="AJ2" s="55">
        <f>'LUC-2012-08-10-Run4'!BL2</f>
        <v>1.3074987114622234E-5</v>
      </c>
      <c r="AK2" s="55">
        <f>'LUC-2012-08-10-Run4'!BM2</f>
        <v>1.3221532009949526E-5</v>
      </c>
      <c r="AL2" s="55">
        <f>'LUC-2012-08-10-Run4'!BN2</f>
        <v>1.336975621292177E-5</v>
      </c>
      <c r="AM2" s="55">
        <f>'LUC-2012-08-10-Run4'!BO2</f>
        <v>1.3519600210944814E-5</v>
      </c>
      <c r="AN2" s="55">
        <f>'LUC-2012-08-10-Run4'!BP2</f>
        <v>1.3671072306706926E-5</v>
      </c>
      <c r="AO2" s="55">
        <f>'LUC-2012-08-10-Run4'!BQ2</f>
        <v>1.3824160526861523E-5</v>
      </c>
      <c r="AP2" s="55">
        <f>'LUC-2012-08-10-Run4'!BR2</f>
        <v>1.3978932771532774E-5</v>
      </c>
      <c r="AQ2" s="55">
        <f>'LUC-2012-08-10-Run4'!BS2</f>
        <v>1.4135376399489679E-5</v>
      </c>
      <c r="AR2" s="55">
        <f>'LUC-2012-08-10-Run4'!BT2</f>
        <v>1.4293509548508365E-5</v>
      </c>
      <c r="AS2" s="55">
        <f>'LUC-2012-08-10-Run4'!BU2</f>
        <v>1.4453326694501365E-5</v>
      </c>
      <c r="AT2" s="55">
        <f>'LUC-2012-08-10-Run4'!BV2</f>
        <v>1.461472877710608E-5</v>
      </c>
      <c r="AU2" s="55">
        <f>'LUC-2012-08-10-Run4'!BW2</f>
        <v>1.4777608887724497E-5</v>
      </c>
      <c r="AV2" s="55">
        <f>'LUC-2012-08-10-Run4'!BX2</f>
        <v>1.4941900379275375E-5</v>
      </c>
      <c r="AW2" s="55">
        <f>'LUC-2012-08-10-Run4'!BY2</f>
        <v>1.5107582006366144E-5</v>
      </c>
      <c r="AX2" s="55">
        <f>'LUC-2012-08-10-Run4'!BZ2</f>
        <v>1.5274650565041359E-5</v>
      </c>
      <c r="AY2" s="55">
        <f>'LUC-2012-08-10-Run4'!CA2</f>
        <v>1.5443152813069433E-5</v>
      </c>
      <c r="AZ2" s="55">
        <f>'LUC-2012-08-10-Run4'!CB2</f>
        <v>1.561315753966831E-5</v>
      </c>
      <c r="BA2" s="55">
        <f>'LUC-2012-08-10-Run4'!CC2</f>
        <v>1.5784720843484096E-5</v>
      </c>
      <c r="BB2" s="55">
        <f>'LUC-2012-08-10-Run4'!CD2</f>
        <v>1.5957833983506664E-5</v>
      </c>
      <c r="BC2" s="55">
        <f>'LUC-2012-08-10-Run4'!CE2</f>
        <v>1.6132524720255121E-5</v>
      </c>
      <c r="BD2" s="55">
        <f>'LUC-2012-08-10-Run4'!CF2</f>
        <v>1.6308756580048994E-5</v>
      </c>
      <c r="BE2" s="55">
        <f>'LUC-2012-08-10-Run4'!CG2</f>
        <v>1.648651616536634E-5</v>
      </c>
      <c r="BF2" s="55">
        <f>'LUC-2012-08-10-Run4'!CH2</f>
        <v>1.6665822935154385E-5</v>
      </c>
      <c r="BG2" s="55">
        <f>'LUC-2012-08-10-Run4'!CI2</f>
        <v>1.6846654192520645E-5</v>
      </c>
      <c r="BH2" s="55">
        <f>'LUC-2012-08-10-Run4'!CJ2</f>
        <v>1.7029046477618662E-5</v>
      </c>
      <c r="BI2" s="55">
        <f>'LUC-2012-08-10-Run4'!CK2</f>
        <v>1.7213053532147078E-5</v>
      </c>
      <c r="BJ2" s="55">
        <f>'LUC-2012-08-10-Run4'!CL2</f>
        <v>1.7398717254626916E-5</v>
      </c>
      <c r="BK2" s="55">
        <f>'LUC-2012-08-10-Run4'!CM2</f>
        <v>1.7586114631468625E-5</v>
      </c>
      <c r="BM2" s="106" t="s">
        <v>71</v>
      </c>
      <c r="BN2" s="54" t="s">
        <v>96</v>
      </c>
      <c r="BO2" s="68">
        <f>D2*1000000</f>
        <v>10.508415631190337</v>
      </c>
      <c r="BP2" s="68">
        <f t="shared" ref="BP2:BP12" si="0">M2*1000000</f>
        <v>10.556611219831291</v>
      </c>
      <c r="BQ2" s="68">
        <f t="shared" ref="BQ2:BQ12" si="1">W2*1000000</f>
        <v>11.327126153256904</v>
      </c>
      <c r="BR2" s="68">
        <f t="shared" ref="BR2:BR12" si="2">AG2*1000000</f>
        <v>12.645391460335782</v>
      </c>
      <c r="BS2" s="68">
        <f t="shared" ref="BS2:BS12" si="3">AQ2*1000000</f>
        <v>14.135376399489679</v>
      </c>
      <c r="BT2" s="68">
        <f t="shared" ref="BT2:BT12" si="4">BA2*1000000</f>
        <v>15.784720843484095</v>
      </c>
      <c r="BU2" s="68">
        <f t="shared" ref="BU2:BU12" si="5">BK2*1000000</f>
        <v>17.586114631468625</v>
      </c>
    </row>
    <row r="3" spans="1:73" x14ac:dyDescent="0.25">
      <c r="A3" s="54" t="s">
        <v>71</v>
      </c>
      <c r="B3" s="54" t="s">
        <v>97</v>
      </c>
      <c r="C3" s="54" t="s">
        <v>92</v>
      </c>
      <c r="D3" s="55">
        <f>'LUC-2012-08-10-Run4'!AF3</f>
        <v>7.0000430409191978E-5</v>
      </c>
      <c r="E3" s="55">
        <f>'LUC-2012-08-10-Run4'!AG3</f>
        <v>7.0630961246729871E-5</v>
      </c>
      <c r="F3" s="55">
        <f>'LUC-2012-08-10-Run4'!AH3</f>
        <v>7.1066274150239037E-5</v>
      </c>
      <c r="G3" s="55">
        <f>'LUC-2012-08-10-Run4'!AI3</f>
        <v>7.150778011594632E-5</v>
      </c>
      <c r="H3" s="55">
        <f>'LUC-2012-08-10-Run4'!AJ3</f>
        <v>7.1952944698856812E-5</v>
      </c>
      <c r="I3" s="55">
        <f>'LUC-2012-08-10-Run4'!AK3</f>
        <v>7.2400861735737981E-5</v>
      </c>
      <c r="J3" s="55">
        <f>'LUC-2012-08-10-Run4'!AL3</f>
        <v>7.285284622485931E-5</v>
      </c>
      <c r="K3" s="55">
        <f>'LUC-2012-08-10-Run4'!AM3</f>
        <v>7.3313273932656012E-5</v>
      </c>
      <c r="L3" s="55">
        <f>'LUC-2012-08-10-Run4'!AN3</f>
        <v>7.3787111123243884E-5</v>
      </c>
      <c r="M3" s="55">
        <f>'LUC-2012-08-10-Run4'!AO3</f>
        <v>7.4277957562576602E-5</v>
      </c>
      <c r="N3" s="55">
        <f>'LUC-2012-08-10-Run4'!AP3</f>
        <v>7.478586235260993E-5</v>
      </c>
      <c r="O3" s="55">
        <f>'LUC-2012-08-10-Run4'!AQ3</f>
        <v>7.5308758342790844E-5</v>
      </c>
      <c r="P3" s="55">
        <f>'LUC-2012-08-10-Run4'!AR3</f>
        <v>7.5842609785929511E-5</v>
      </c>
      <c r="Q3" s="55">
        <f>'LUC-2012-08-10-Run4'!AS3</f>
        <v>7.6383079700261544E-5</v>
      </c>
      <c r="R3" s="55">
        <f>'LUC-2012-08-10-Run4'!AT3</f>
        <v>7.6926134271035562E-5</v>
      </c>
      <c r="S3" s="55">
        <f>'LUC-2012-08-10-Run4'!AU3</f>
        <v>7.8564814285327943E-5</v>
      </c>
      <c r="T3" s="55">
        <f>'LUC-2012-08-10-Run4'!AV3</f>
        <v>7.975963310304218E-5</v>
      </c>
      <c r="U3" s="55">
        <f>'LUC-2012-08-10-Run4'!AW3</f>
        <v>8.0954261880852003E-5</v>
      </c>
      <c r="V3" s="55">
        <f>'LUC-2012-08-10-Run4'!AX3</f>
        <v>8.2147891965987329E-5</v>
      </c>
      <c r="W3" s="55">
        <f>'LUC-2012-08-10-Run4'!AY3</f>
        <v>8.3339977261299875E-5</v>
      </c>
      <c r="X3" s="55">
        <f>'LUC-2012-08-10-Run4'!AZ3</f>
        <v>8.4530221105783915E-5</v>
      </c>
      <c r="Y3" s="55">
        <f>'LUC-2012-08-10-Run4'!BA3</f>
        <v>8.5718612444647251E-5</v>
      </c>
      <c r="Z3" s="55">
        <f>'LUC-2012-08-10-Run4'!BB3</f>
        <v>8.6905669889591832E-5</v>
      </c>
      <c r="AA3" s="55">
        <f>'LUC-2012-08-10-Run4'!BC3</f>
        <v>8.8092572774455127E-5</v>
      </c>
      <c r="AB3" s="55">
        <f>'LUC-2012-08-10-Run4'!BD3</f>
        <v>8.9279966565095401E-5</v>
      </c>
      <c r="AC3" s="55">
        <f>'LUC-2012-08-10-Run4'!BE3</f>
        <v>9.0467983154341602E-5</v>
      </c>
      <c r="AD3" s="55">
        <f>'LUC-2012-08-10-Run4'!BF3</f>
        <v>9.1656451978961193E-5</v>
      </c>
      <c r="AE3" s="55">
        <f>'LUC-2012-08-10-Run4'!BG3</f>
        <v>9.2845626529475093E-5</v>
      </c>
      <c r="AF3" s="55">
        <f>'LUC-2012-08-10-Run4'!BH3</f>
        <v>9.4035979030347884E-5</v>
      </c>
      <c r="AG3" s="55">
        <f>'LUC-2012-08-10-Run4'!BI3</f>
        <v>9.5227510574324398E-5</v>
      </c>
      <c r="AH3" s="55">
        <f>'LUC-2012-08-10-Run4'!BJ3</f>
        <v>9.6420416442247414E-5</v>
      </c>
      <c r="AI3" s="55">
        <f>'LUC-2012-08-10-Run4'!BK3</f>
        <v>9.7614503715712849E-5</v>
      </c>
      <c r="AJ3" s="55">
        <f>'LUC-2012-08-10-Run4'!BL3</f>
        <v>9.8809372181047912E-5</v>
      </c>
      <c r="AK3" s="55">
        <f>'LUC-2012-08-10-Run4'!BM3</f>
        <v>1.0000446419189215E-4</v>
      </c>
      <c r="AL3" s="55">
        <f>'LUC-2012-08-10-Run4'!BN3</f>
        <v>1.011995727197744E-4</v>
      </c>
      <c r="AM3" s="55">
        <f>'LUC-2012-08-10-Run4'!BO3</f>
        <v>1.0239414762549752E-4</v>
      </c>
      <c r="AN3" s="55">
        <f>'LUC-2012-08-10-Run4'!BP3</f>
        <v>1.0358838103355418E-4</v>
      </c>
      <c r="AO3" s="55">
        <f>'LUC-2012-08-10-Run4'!BQ3</f>
        <v>1.0478175869485435E-4</v>
      </c>
      <c r="AP3" s="55">
        <f>'LUC-2012-08-10-Run4'!BR3</f>
        <v>1.0597432428171442E-4</v>
      </c>
      <c r="AQ3" s="55">
        <f>'LUC-2012-08-10-Run4'!BS3</f>
        <v>1.0716564825407785E-4</v>
      </c>
      <c r="AR3" s="55">
        <f>'LUC-2012-08-10-Run4'!BT3</f>
        <v>1.0822524976050468E-4</v>
      </c>
      <c r="AS3" s="55">
        <f>'LUC-2012-08-10-Run4'!BU3</f>
        <v>1.0928722791460635E-4</v>
      </c>
      <c r="AT3" s="55">
        <f>'LUC-2012-08-10-Run4'!BV3</f>
        <v>1.1035132417498938E-4</v>
      </c>
      <c r="AU3" s="55">
        <f>'LUC-2012-08-10-Run4'!BW3</f>
        <v>1.1141783799382022E-4</v>
      </c>
      <c r="AV3" s="55">
        <f>'LUC-2012-08-10-Run4'!BX3</f>
        <v>1.1248685991353272E-4</v>
      </c>
      <c r="AW3" s="55">
        <f>'LUC-2012-08-10-Run4'!BY3</f>
        <v>1.1355858475974895E-4</v>
      </c>
      <c r="AX3" s="55">
        <f>'LUC-2012-08-10-Run4'!BZ3</f>
        <v>1.1463260759244673E-4</v>
      </c>
      <c r="AY3" s="55">
        <f>'LUC-2012-08-10-Run4'!CA3</f>
        <v>1.157091962436633E-4</v>
      </c>
      <c r="AZ3" s="55">
        <f>'LUC-2012-08-10-Run4'!CB3</f>
        <v>1.1678823506150475E-4</v>
      </c>
      <c r="BA3" s="55">
        <f>'LUC-2012-08-10-Run4'!CC3</f>
        <v>1.1786969517439455E-4</v>
      </c>
      <c r="BB3" s="55">
        <f>'LUC-2012-08-10-Run4'!CD3</f>
        <v>1.1895337378753631E-4</v>
      </c>
      <c r="BC3" s="55">
        <f>'LUC-2012-08-10-Run4'!CE3</f>
        <v>1.2003930941952695E-4</v>
      </c>
      <c r="BD3" s="55">
        <f>'LUC-2012-08-10-Run4'!CF3</f>
        <v>1.2112747901802054E-4</v>
      </c>
      <c r="BE3" s="55">
        <f>'LUC-2012-08-10-Run4'!CG3</f>
        <v>1.2221779370117183E-4</v>
      </c>
      <c r="BF3" s="55">
        <f>'LUC-2012-08-10-Run4'!CH3</f>
        <v>1.2331033229500272E-4</v>
      </c>
      <c r="BG3" s="55">
        <f>'LUC-2012-08-10-Run4'!CI3</f>
        <v>1.2440494790464076E-4</v>
      </c>
      <c r="BH3" s="55">
        <f>'LUC-2012-08-10-Run4'!CJ3</f>
        <v>1.2550153274019381E-4</v>
      </c>
      <c r="BI3" s="55">
        <f>'LUC-2012-08-10-Run4'!CK3</f>
        <v>1.2659968153820708E-4</v>
      </c>
      <c r="BJ3" s="55">
        <f>'LUC-2012-08-10-Run4'!CL3</f>
        <v>1.276994691580742E-4</v>
      </c>
      <c r="BK3" s="55">
        <f>'LUC-2012-08-10-Run4'!CM3</f>
        <v>1.288003541120989E-4</v>
      </c>
      <c r="BM3" s="107"/>
      <c r="BN3" s="54" t="s">
        <v>97</v>
      </c>
      <c r="BO3" s="68">
        <f t="shared" ref="BO3:BO12" si="6">D3*1000000</f>
        <v>70.000430409191978</v>
      </c>
      <c r="BP3" s="68">
        <f t="shared" si="0"/>
        <v>74.277957562576603</v>
      </c>
      <c r="BQ3" s="68">
        <f t="shared" si="1"/>
        <v>83.339977261299879</v>
      </c>
      <c r="BR3" s="68">
        <f t="shared" si="2"/>
        <v>95.227510574324398</v>
      </c>
      <c r="BS3" s="68">
        <f t="shared" si="3"/>
        <v>107.16564825407785</v>
      </c>
      <c r="BT3" s="68">
        <f t="shared" si="4"/>
        <v>117.86969517439455</v>
      </c>
      <c r="BU3" s="68">
        <f t="shared" si="5"/>
        <v>128.80035411209889</v>
      </c>
    </row>
    <row r="4" spans="1:73" x14ac:dyDescent="0.25">
      <c r="A4" s="54" t="s">
        <v>71</v>
      </c>
      <c r="B4" s="54" t="s">
        <v>95</v>
      </c>
      <c r="C4" s="54" t="s">
        <v>92</v>
      </c>
      <c r="D4" s="55">
        <f>'LUC-2012-08-10-Run4'!AF4</f>
        <v>1.3228986578653787E-5</v>
      </c>
      <c r="E4" s="55">
        <f>'LUC-2012-08-10-Run4'!AG4</f>
        <v>1.3351004035312167E-5</v>
      </c>
      <c r="F4" s="55">
        <f>'LUC-2012-08-10-Run4'!AH4</f>
        <v>1.3448210690384045E-5</v>
      </c>
      <c r="G4" s="55">
        <f>'LUC-2012-08-10-Run4'!AI4</f>
        <v>1.3548882358160103E-5</v>
      </c>
      <c r="H4" s="55">
        <f>'LUC-2012-08-10-Run4'!AJ4</f>
        <v>1.365327018224468E-5</v>
      </c>
      <c r="I4" s="55">
        <f>'LUC-2012-08-10-Run4'!AK4</f>
        <v>1.3761500883312822E-5</v>
      </c>
      <c r="J4" s="55">
        <f>'LUC-2012-08-10-Run4'!AL4</f>
        <v>1.387370090955609E-5</v>
      </c>
      <c r="K4" s="55">
        <f>'LUC-2012-08-10-Run4'!AM4</f>
        <v>1.3990474699641369E-5</v>
      </c>
      <c r="L4" s="55">
        <f>'LUC-2012-08-10-Run4'!AN4</f>
        <v>1.4112378817260886E-5</v>
      </c>
      <c r="M4" s="55">
        <f>'LUC-2012-08-10-Run4'!AO4</f>
        <v>1.4239928335395459E-5</v>
      </c>
      <c r="N4" s="55">
        <f>'LUC-2012-08-10-Run4'!AP4</f>
        <v>1.4373258842965937E-5</v>
      </c>
      <c r="O4" s="55">
        <f>'LUC-2012-08-10-Run4'!AQ4</f>
        <v>1.4512396972370334E-5</v>
      </c>
      <c r="P4" s="55">
        <f>'LUC-2012-08-10-Run4'!AR4</f>
        <v>1.4657165111117269E-5</v>
      </c>
      <c r="Q4" s="55">
        <f>'LUC-2012-08-10-Run4'!AS4</f>
        <v>1.4807426681632889E-5</v>
      </c>
      <c r="R4" s="55">
        <f>'LUC-2012-08-10-Run4'!AT4</f>
        <v>1.4962997035753534E-5</v>
      </c>
      <c r="S4" s="55">
        <f>'LUC-2012-08-10-Run4'!AU4</f>
        <v>1.5469466422515655E-5</v>
      </c>
      <c r="T4" s="55">
        <f>'LUC-2012-08-10-Run4'!AV4</f>
        <v>1.5574976370094695E-5</v>
      </c>
      <c r="U4" s="55">
        <f>'LUC-2012-08-10-Run4'!AW4</f>
        <v>1.5682744238183712E-5</v>
      </c>
      <c r="V4" s="55">
        <f>'LUC-2012-08-10-Run4'!AX4</f>
        <v>1.579276536744829E-5</v>
      </c>
      <c r="W4" s="55">
        <f>'LUC-2012-08-10-Run4'!AY4</f>
        <v>1.590501523153287E-5</v>
      </c>
      <c r="X4" s="55">
        <f>'LUC-2012-08-10-Run4'!AZ4</f>
        <v>1.6019564264837292E-5</v>
      </c>
      <c r="Y4" s="55">
        <f>'LUC-2012-08-10-Run4'!BA4</f>
        <v>1.6136521123591277E-5</v>
      </c>
      <c r="Z4" s="55">
        <f>'LUC-2012-08-10-Run4'!BB4</f>
        <v>1.6255961000692786E-5</v>
      </c>
      <c r="AA4" s="55">
        <f>'LUC-2012-08-10-Run4'!BC4</f>
        <v>1.6378047391306338E-5</v>
      </c>
      <c r="AB4" s="55">
        <f>'LUC-2012-08-10-Run4'!BD4</f>
        <v>1.6502859414118649E-5</v>
      </c>
      <c r="AC4" s="55">
        <f>'LUC-2012-08-10-Run4'!BE4</f>
        <v>1.6630485774268858E-5</v>
      </c>
      <c r="AD4" s="55">
        <f>'LUC-2012-08-10-Run4'!BF4</f>
        <v>1.6760961637346351E-5</v>
      </c>
      <c r="AE4" s="55">
        <f>'LUC-2012-08-10-Run4'!BG4</f>
        <v>1.6894312433243585E-5</v>
      </c>
      <c r="AF4" s="55">
        <f>'LUC-2012-08-10-Run4'!BH4</f>
        <v>1.703062755161906E-5</v>
      </c>
      <c r="AG4" s="55">
        <f>'LUC-2012-08-10-Run4'!BI4</f>
        <v>1.716988964677118E-5</v>
      </c>
      <c r="AH4" s="55">
        <f>'LUC-2012-08-10-Run4'!BJ4</f>
        <v>1.7312207426551629E-5</v>
      </c>
      <c r="AI4" s="55">
        <f>'LUC-2012-08-10-Run4'!BK4</f>
        <v>1.7457606054617057E-5</v>
      </c>
      <c r="AJ4" s="55">
        <f>'LUC-2012-08-10-Run4'!BL4</f>
        <v>1.7606171496817636E-5</v>
      </c>
      <c r="AK4" s="55">
        <f>'LUC-2012-08-10-Run4'!BM4</f>
        <v>1.7757977604245819E-5</v>
      </c>
      <c r="AL4" s="55">
        <f>'LUC-2012-08-10-Run4'!BN4</f>
        <v>1.7913133711696151E-5</v>
      </c>
      <c r="AM4" s="55">
        <f>'LUC-2012-08-10-Run4'!BO4</f>
        <v>1.8071652865918737E-5</v>
      </c>
      <c r="AN4" s="55">
        <f>'LUC-2012-08-10-Run4'!BP4</f>
        <v>1.8233635514169785E-5</v>
      </c>
      <c r="AO4" s="55">
        <f>'LUC-2012-08-10-Run4'!BQ4</f>
        <v>1.8399148666801222E-5</v>
      </c>
      <c r="AP4" s="55">
        <f>'LUC-2012-08-10-Run4'!BR4</f>
        <v>1.8568334276582576E-5</v>
      </c>
      <c r="AQ4" s="55">
        <f>'LUC-2012-08-10-Run4'!BS4</f>
        <v>1.8741252850249103E-5</v>
      </c>
      <c r="AR4" s="55">
        <f>'LUC-2012-08-10-Run4'!BT4</f>
        <v>1.8917994086357809E-5</v>
      </c>
      <c r="AS4" s="55">
        <f>'LUC-2012-08-10-Run4'!BU4</f>
        <v>1.9098656551532022E-5</v>
      </c>
      <c r="AT4" s="55">
        <f>'LUC-2012-08-10-Run4'!BV4</f>
        <v>1.9283182040007754E-5</v>
      </c>
      <c r="AU4" s="55">
        <f>'LUC-2012-08-10-Run4'!BW4</f>
        <v>1.947151926724002E-5</v>
      </c>
      <c r="AV4" s="55">
        <f>'LUC-2012-08-10-Run4'!BX4</f>
        <v>1.9663666430494453E-5</v>
      </c>
      <c r="AW4" s="55">
        <f>'LUC-2012-08-10-Run4'!BY4</f>
        <v>1.9859684135003457E-5</v>
      </c>
      <c r="AX4" s="55">
        <f>'LUC-2012-08-10-Run4'!BZ4</f>
        <v>2.0059662924267403E-5</v>
      </c>
      <c r="AY4" s="55">
        <f>'LUC-2012-08-10-Run4'!CA4</f>
        <v>2.0263768203733196E-5</v>
      </c>
      <c r="AZ4" s="55">
        <f>'LUC-2012-08-10-Run4'!CB4</f>
        <v>2.0472217863934785E-5</v>
      </c>
      <c r="BA4" s="55">
        <f>'LUC-2012-08-10-Run4'!CC4</f>
        <v>2.0685177630400022E-5</v>
      </c>
      <c r="BB4" s="55">
        <f>'LUC-2012-08-10-Run4'!CD4</f>
        <v>2.0902762801762623E-5</v>
      </c>
      <c r="BC4" s="55">
        <f>'LUC-2012-08-10-Run4'!CE4</f>
        <v>2.1125137609645198E-5</v>
      </c>
      <c r="BD4" s="55">
        <f>'LUC-2012-08-10-Run4'!CF4</f>
        <v>2.13523592396579E-5</v>
      </c>
      <c r="BE4" s="55">
        <f>'LUC-2012-08-10-Run4'!CG4</f>
        <v>2.1584550274591934E-5</v>
      </c>
      <c r="BF4" s="55">
        <f>'LUC-2012-08-10-Run4'!CH4</f>
        <v>2.1821849605301195E-5</v>
      </c>
      <c r="BG4" s="55">
        <f>'LUC-2012-08-10-Run4'!CI4</f>
        <v>2.2064400207881321E-5</v>
      </c>
      <c r="BH4" s="55">
        <f>'LUC-2012-08-10-Run4'!CJ4</f>
        <v>2.2312384995534275E-5</v>
      </c>
      <c r="BI4" s="55">
        <f>'LUC-2012-08-10-Run4'!CK4</f>
        <v>2.2566061124170165E-5</v>
      </c>
      <c r="BJ4" s="55">
        <f>'LUC-2012-08-10-Run4'!CL4</f>
        <v>2.2825634709128289E-5</v>
      </c>
      <c r="BK4" s="55">
        <f>'LUC-2012-08-10-Run4'!CM4</f>
        <v>2.3091432921461527E-5</v>
      </c>
      <c r="BM4" s="107"/>
      <c r="BN4" s="54" t="s">
        <v>95</v>
      </c>
      <c r="BO4" s="68">
        <f t="shared" si="6"/>
        <v>13.228986578653787</v>
      </c>
      <c r="BP4" s="68">
        <f t="shared" si="0"/>
        <v>14.23992833539546</v>
      </c>
      <c r="BQ4" s="68">
        <f t="shared" si="1"/>
        <v>15.90501523153287</v>
      </c>
      <c r="BR4" s="68">
        <f t="shared" si="2"/>
        <v>17.169889646771178</v>
      </c>
      <c r="BS4" s="68">
        <f t="shared" si="3"/>
        <v>18.741252850249104</v>
      </c>
      <c r="BT4" s="68">
        <f t="shared" si="4"/>
        <v>20.685177630400023</v>
      </c>
      <c r="BU4" s="68">
        <f t="shared" si="5"/>
        <v>23.091432921461529</v>
      </c>
    </row>
    <row r="5" spans="1:73" x14ac:dyDescent="0.25">
      <c r="A5" s="54" t="s">
        <v>71</v>
      </c>
      <c r="B5" s="54" t="s">
        <v>98</v>
      </c>
      <c r="C5" s="54" t="s">
        <v>92</v>
      </c>
      <c r="D5" s="55">
        <f>'LUC-2012-08-10-Run4'!AF5</f>
        <v>7.0121002027183778E-6</v>
      </c>
      <c r="E5" s="55">
        <f>'LUC-2012-08-10-Run4'!AG5</f>
        <v>7.2210894119728063E-6</v>
      </c>
      <c r="F5" s="55">
        <f>'LUC-2012-08-10-Run4'!AH5</f>
        <v>7.4202145751621905E-6</v>
      </c>
      <c r="G5" s="55">
        <f>'LUC-2012-08-10-Run4'!AI5</f>
        <v>7.6288203120131999E-6</v>
      </c>
      <c r="H5" s="55">
        <f>'LUC-2012-08-10-Run4'!AJ5</f>
        <v>7.8474396653895003E-6</v>
      </c>
      <c r="I5" s="55">
        <f>'LUC-2012-08-10-Run4'!AK5</f>
        <v>8.0765895476182639E-6</v>
      </c>
      <c r="J5" s="55">
        <f>'LUC-2012-08-10-Run4'!AL5</f>
        <v>8.3168765465417997E-6</v>
      </c>
      <c r="K5" s="55">
        <f>'LUC-2012-08-10-Run4'!AM5</f>
        <v>8.569263350893212E-6</v>
      </c>
      <c r="L5" s="55">
        <f>'LUC-2012-08-10-Run4'!AN5</f>
        <v>8.8347261253526665E-6</v>
      </c>
      <c r="M5" s="55">
        <f>'LUC-2012-08-10-Run4'!AO5</f>
        <v>9.11421427809247E-6</v>
      </c>
      <c r="N5" s="55">
        <f>'LUC-2012-08-10-Run4'!AP5</f>
        <v>9.4084016592827995E-6</v>
      </c>
      <c r="O5" s="55">
        <f>'LUC-2012-08-10-Run4'!AQ5</f>
        <v>9.7178946223932155E-6</v>
      </c>
      <c r="P5" s="55">
        <f>'LUC-2012-08-10-Run4'!AR5</f>
        <v>1.0043173749519153E-5</v>
      </c>
      <c r="Q5" s="55">
        <f>'LUC-2012-08-10-Run4'!AS5</f>
        <v>1.0384788452865011E-5</v>
      </c>
      <c r="R5" s="55">
        <f>'LUC-2012-08-10-Run4'!AT5</f>
        <v>1.0743308883754397E-5</v>
      </c>
      <c r="S5" s="55">
        <f>'LUC-2012-08-10-Run4'!AU5</f>
        <v>1.1732150845198387E-5</v>
      </c>
      <c r="T5" s="55">
        <f>'LUC-2012-08-10-Run4'!AV5</f>
        <v>1.2029101934575739E-5</v>
      </c>
      <c r="U5" s="55">
        <f>'LUC-2012-08-10-Run4'!AW5</f>
        <v>1.2330362812000245E-5</v>
      </c>
      <c r="V5" s="55">
        <f>'LUC-2012-08-10-Run4'!AX5</f>
        <v>1.2636010643891824E-5</v>
      </c>
      <c r="W5" s="55">
        <f>'LUC-2012-08-10-Run4'!AY5</f>
        <v>1.294610467098004E-5</v>
      </c>
      <c r="X5" s="55">
        <f>'LUC-2012-08-10-Run4'!AZ5</f>
        <v>1.3260781122275616E-5</v>
      </c>
      <c r="Y5" s="55">
        <f>'LUC-2012-08-10-Run4'!BA5</f>
        <v>1.3580209329302407E-5</v>
      </c>
      <c r="Z5" s="55">
        <f>'LUC-2012-08-10-Run4'!BB5</f>
        <v>1.3904534506306729E-5</v>
      </c>
      <c r="AA5" s="55">
        <f>'LUC-2012-08-10-Run4'!BC5</f>
        <v>1.4233979095234456E-5</v>
      </c>
      <c r="AB5" s="55">
        <f>'LUC-2012-08-10-Run4'!BD5</f>
        <v>1.4568700292291712E-5</v>
      </c>
      <c r="AC5" s="55">
        <f>'LUC-2012-08-10-Run4'!BE5</f>
        <v>1.490886503450716E-5</v>
      </c>
      <c r="AD5" s="55">
        <f>'LUC-2012-08-10-Run4'!BF5</f>
        <v>1.5254594004074044E-5</v>
      </c>
      <c r="AE5" s="55">
        <f>'LUC-2012-08-10-Run4'!BG5</f>
        <v>1.5605990085826174E-5</v>
      </c>
      <c r="AF5" s="55">
        <f>'LUC-2012-08-10-Run4'!BH5</f>
        <v>1.5963210744890837E-5</v>
      </c>
      <c r="AG5" s="55">
        <f>'LUC-2012-08-10-Run4'!BI5</f>
        <v>1.6326321960921515E-5</v>
      </c>
      <c r="AH5" s="55">
        <f>'LUC-2012-08-10-Run4'!BJ5</f>
        <v>1.6695498066511173E-5</v>
      </c>
      <c r="AI5" s="55">
        <f>'LUC-2012-08-10-Run4'!BK5</f>
        <v>1.7070852196150819E-5</v>
      </c>
      <c r="AJ5" s="55">
        <f>'LUC-2012-08-10-Run4'!BL5</f>
        <v>1.7452545021238879E-5</v>
      </c>
      <c r="AK5" s="55">
        <f>'LUC-2012-08-10-Run4'!BM5</f>
        <v>1.7840733475907901E-5</v>
      </c>
      <c r="AL5" s="55">
        <f>'LUC-2012-08-10-Run4'!BN5</f>
        <v>1.823560246986816E-5</v>
      </c>
      <c r="AM5" s="55">
        <f>'LUC-2012-08-10-Run4'!BO5</f>
        <v>1.8637252878765394E-5</v>
      </c>
      <c r="AN5" s="55">
        <f>'LUC-2012-08-10-Run4'!BP5</f>
        <v>1.9045873585162299E-5</v>
      </c>
      <c r="AO5" s="55">
        <f>'LUC-2012-08-10-Run4'!BQ5</f>
        <v>1.9461627645654656E-5</v>
      </c>
      <c r="AP5" s="55">
        <f>'LUC-2012-08-10-Run4'!BR5</f>
        <v>1.9884772486444035E-5</v>
      </c>
      <c r="AQ5" s="55">
        <f>'LUC-2012-08-10-Run4'!BS5</f>
        <v>2.0315473648547058E-5</v>
      </c>
      <c r="AR5" s="55">
        <f>'LUC-2012-08-10-Run4'!BT5</f>
        <v>2.0753937998592071E-5</v>
      </c>
      <c r="AS5" s="55">
        <f>'LUC-2012-08-10-Run4'!BU5</f>
        <v>2.1200361852035525E-5</v>
      </c>
      <c r="AT5" s="55">
        <f>'LUC-2012-08-10-Run4'!BV5</f>
        <v>2.1654810170228369E-5</v>
      </c>
      <c r="AU5" s="55">
        <f>'LUC-2012-08-10-Run4'!BW5</f>
        <v>2.2117347207509639E-5</v>
      </c>
      <c r="AV5" s="55">
        <f>'LUC-2012-08-10-Run4'!BX5</f>
        <v>2.2588090468108009E-5</v>
      </c>
      <c r="AW5" s="55">
        <f>'LUC-2012-08-10-Run4'!BY5</f>
        <v>2.3067221764584342E-5</v>
      </c>
      <c r="AX5" s="55">
        <f>'LUC-2012-08-10-Run4'!BZ5</f>
        <v>2.3554948560878236E-5</v>
      </c>
      <c r="AY5" s="55">
        <f>'LUC-2012-08-10-Run4'!CA5</f>
        <v>2.4051560720881107E-5</v>
      </c>
      <c r="AZ5" s="55">
        <f>'LUC-2012-08-10-Run4'!CB5</f>
        <v>2.455738921757222E-5</v>
      </c>
      <c r="BA5" s="55">
        <f>'LUC-2012-08-10-Run4'!CC5</f>
        <v>2.5072741724341258E-5</v>
      </c>
      <c r="BB5" s="55">
        <f>'LUC-2012-08-10-Run4'!CD5</f>
        <v>2.5597855940880496E-5</v>
      </c>
      <c r="BC5" s="55">
        <f>'LUC-2012-08-10-Run4'!CE5</f>
        <v>2.6133029556600889E-5</v>
      </c>
      <c r="BD5" s="55">
        <f>'LUC-2012-08-10-Run4'!CF5</f>
        <v>2.667846635816827E-5</v>
      </c>
      <c r="BE5" s="55">
        <f>'LUC-2012-08-10-Run4'!CG5</f>
        <v>2.7234421242270185E-5</v>
      </c>
      <c r="BF5" s="55">
        <f>'LUC-2012-08-10-Run4'!CH5</f>
        <v>2.7801191106722099E-5</v>
      </c>
      <c r="BG5" s="55">
        <f>'LUC-2012-08-10-Run4'!CI5</f>
        <v>2.8379045524085055E-5</v>
      </c>
      <c r="BH5" s="55">
        <f>'LUC-2012-08-10-Run4'!CJ5</f>
        <v>2.8968323511028758E-5</v>
      </c>
      <c r="BI5" s="55">
        <f>'LUC-2012-08-10-Run4'!CK5</f>
        <v>2.9569415819543594E-5</v>
      </c>
      <c r="BJ5" s="55">
        <f>'LUC-2012-08-10-Run4'!CL5</f>
        <v>3.0182697084869239E-5</v>
      </c>
      <c r="BK5" s="55">
        <f>'LUC-2012-08-10-Run4'!CM5</f>
        <v>3.0808619936276061E-5</v>
      </c>
      <c r="BM5" s="107"/>
      <c r="BN5" s="54" t="s">
        <v>98</v>
      </c>
      <c r="BO5" s="86">
        <f t="shared" si="6"/>
        <v>7.0121002027183774</v>
      </c>
      <c r="BP5" s="86">
        <f t="shared" si="0"/>
        <v>9.1142142780924704</v>
      </c>
      <c r="BQ5" s="68">
        <f t="shared" si="1"/>
        <v>12.94610467098004</v>
      </c>
      <c r="BR5" s="68">
        <f t="shared" si="2"/>
        <v>16.326321960921515</v>
      </c>
      <c r="BS5" s="68">
        <f t="shared" si="3"/>
        <v>20.315473648547059</v>
      </c>
      <c r="BT5" s="68">
        <f t="shared" si="4"/>
        <v>25.07274172434126</v>
      </c>
      <c r="BU5" s="68">
        <f t="shared" si="5"/>
        <v>30.80861993627606</v>
      </c>
    </row>
    <row r="6" spans="1:73" x14ac:dyDescent="0.25">
      <c r="A6" s="54" t="s">
        <v>71</v>
      </c>
      <c r="B6" s="54" t="s">
        <v>99</v>
      </c>
      <c r="C6" s="54" t="s">
        <v>92</v>
      </c>
      <c r="D6" s="55">
        <f>'LUC-2012-08-10-Run4'!AF7</f>
        <v>3.6843336955314182E-5</v>
      </c>
      <c r="E6" s="55">
        <f>'LUC-2012-08-10-Run4'!AG7</f>
        <v>3.6790336088918271E-5</v>
      </c>
      <c r="F6" s="55">
        <f>'LUC-2012-08-10-Run4'!AH7</f>
        <v>3.6735360620641035E-5</v>
      </c>
      <c r="G6" s="55">
        <f>'LUC-2012-08-10-Run4'!AI7</f>
        <v>3.667954216924579E-5</v>
      </c>
      <c r="H6" s="55">
        <f>'LUC-2012-08-10-Run4'!AJ7</f>
        <v>3.6623172446285202E-5</v>
      </c>
      <c r="I6" s="55">
        <f>'LUC-2012-08-10-Run4'!AK7</f>
        <v>3.6566333390967918E-5</v>
      </c>
      <c r="J6" s="55">
        <f>'LUC-2012-08-10-Run4'!AL7</f>
        <v>3.6509049093726465E-5</v>
      </c>
      <c r="K6" s="55">
        <f>'LUC-2012-08-10-Run4'!AM7</f>
        <v>3.6451465927738483E-5</v>
      </c>
      <c r="L6" s="55">
        <f>'LUC-2012-08-10-Run4'!AN7</f>
        <v>3.6393772236650164E-5</v>
      </c>
      <c r="M6" s="55">
        <f>'LUC-2012-08-10-Run4'!AO7</f>
        <v>3.6336058437465606E-5</v>
      </c>
      <c r="N6" s="55">
        <f>'LUC-2012-08-10-Run4'!AP7</f>
        <v>3.6278480991528786E-5</v>
      </c>
      <c r="O6" s="55">
        <f>'LUC-2012-08-10-Run4'!AQ7</f>
        <v>3.6221086104825362E-5</v>
      </c>
      <c r="P6" s="55">
        <f>'LUC-2012-08-10-Run4'!AR7</f>
        <v>3.6163908142653389E-5</v>
      </c>
      <c r="Q6" s="55">
        <f>'LUC-2012-08-10-Run4'!AS7</f>
        <v>3.6106967137093158E-5</v>
      </c>
      <c r="R6" s="55">
        <f>'LUC-2012-08-10-Run4'!AT7</f>
        <v>3.6050252332744931E-5</v>
      </c>
      <c r="S6" s="55">
        <f>'LUC-2012-08-10-Run4'!AU7</f>
        <v>3.6181023108186044E-5</v>
      </c>
      <c r="T6" s="55">
        <f>'LUC-2012-08-10-Run4'!AV7</f>
        <v>3.6805880686838144E-5</v>
      </c>
      <c r="U6" s="55">
        <f>'LUC-2012-08-10-Run4'!AW7</f>
        <v>3.7432182540437799E-5</v>
      </c>
      <c r="V6" s="55">
        <f>'LUC-2012-08-10-Run4'!AX7</f>
        <v>3.80598402093277E-5</v>
      </c>
      <c r="W6" s="55">
        <f>'LUC-2012-08-10-Run4'!AY7</f>
        <v>3.86887842668519E-5</v>
      </c>
      <c r="X6" s="55">
        <f>'LUC-2012-08-10-Run4'!AZ7</f>
        <v>3.9318984814036444E-5</v>
      </c>
      <c r="Y6" s="55">
        <f>'LUC-2012-08-10-Run4'!BA7</f>
        <v>3.9950454324620326E-5</v>
      </c>
      <c r="Z6" s="55">
        <f>'LUC-2012-08-10-Run4'!BB7</f>
        <v>4.058323771919377E-5</v>
      </c>
      <c r="AA6" s="55">
        <f>'LUC-2012-08-10-Run4'!BC7</f>
        <v>4.1217413638741283E-5</v>
      </c>
      <c r="AB6" s="55">
        <f>'LUC-2012-08-10-Run4'!BD7</f>
        <v>4.1853031626262509E-5</v>
      </c>
      <c r="AC6" s="55">
        <f>'LUC-2012-08-10-Run4'!BE7</f>
        <v>4.2490101422829168E-5</v>
      </c>
      <c r="AD6" s="55">
        <f>'LUC-2012-08-10-Run4'!BF7</f>
        <v>4.3128576395727857E-5</v>
      </c>
      <c r="AE6" s="55">
        <f>'LUC-2012-08-10-Run4'!BG7</f>
        <v>4.3768429306014496E-5</v>
      </c>
      <c r="AF6" s="55">
        <f>'LUC-2012-08-10-Run4'!BH7</f>
        <v>4.4409623286892179E-5</v>
      </c>
      <c r="AG6" s="55">
        <f>'LUC-2012-08-10-Run4'!BI7</f>
        <v>4.5052144357670757E-5</v>
      </c>
      <c r="AH6" s="55">
        <f>'LUC-2012-08-10-Run4'!BJ7</f>
        <v>4.5695973254979865E-5</v>
      </c>
      <c r="AI6" s="55">
        <f>'LUC-2012-08-10-Run4'!BK7</f>
        <v>4.6341126684092635E-5</v>
      </c>
      <c r="AJ6" s="55">
        <f>'LUC-2012-08-10-Run4'!BL7</f>
        <v>4.6987579201309435E-5</v>
      </c>
      <c r="AK6" s="55">
        <f>'LUC-2012-08-10-Run4'!BM7</f>
        <v>4.7635341292882607E-5</v>
      </c>
      <c r="AL6" s="55">
        <f>'LUC-2012-08-10-Run4'!BN7</f>
        <v>4.8284391676933665E-5</v>
      </c>
      <c r="AM6" s="55">
        <f>'LUC-2012-08-10-Run4'!BO7</f>
        <v>4.8934736165148652E-5</v>
      </c>
      <c r="AN6" s="55">
        <f>'LUC-2012-08-10-Run4'!BP7</f>
        <v>4.9586381811837859E-5</v>
      </c>
      <c r="AO6" s="55">
        <f>'LUC-2012-08-10-Run4'!BQ7</f>
        <v>5.0239352229828933E-5</v>
      </c>
      <c r="AP6" s="55">
        <f>'LUC-2012-08-10-Run4'!BR7</f>
        <v>5.0893684723365161E-5</v>
      </c>
      <c r="AQ6" s="55">
        <f>'LUC-2012-08-10-Run4'!BS7</f>
        <v>5.1549385587840429E-5</v>
      </c>
      <c r="AR6" s="55">
        <f>'LUC-2012-08-10-Run4'!BT7</f>
        <v>5.1636306402230199E-5</v>
      </c>
      <c r="AS6" s="55">
        <f>'LUC-2012-08-10-Run4'!BU7</f>
        <v>5.1724550281244116E-5</v>
      </c>
      <c r="AT6" s="55">
        <f>'LUC-2012-08-10-Run4'!BV7</f>
        <v>5.1814122168769529E-5</v>
      </c>
      <c r="AU6" s="55">
        <f>'LUC-2012-08-10-Run4'!BW7</f>
        <v>5.1905017314471409E-5</v>
      </c>
      <c r="AV6" s="55">
        <f>'LUC-2012-08-10-Run4'!BX7</f>
        <v>5.1997226518439087E-5</v>
      </c>
      <c r="AW6" s="55">
        <f>'LUC-2012-08-10-Run4'!BY7</f>
        <v>5.209074305574026E-5</v>
      </c>
      <c r="AX6" s="55">
        <f>'LUC-2012-08-10-Run4'!BZ7</f>
        <v>5.2185571878579461E-5</v>
      </c>
      <c r="AY6" s="55">
        <f>'LUC-2012-08-10-Run4'!CA7</f>
        <v>5.2281706246236016E-5</v>
      </c>
      <c r="AZ6" s="55">
        <f>'LUC-2012-08-10-Run4'!CB7</f>
        <v>5.2379129328157627E-5</v>
      </c>
      <c r="BA6" s="55">
        <f>'LUC-2012-08-10-Run4'!CC7</f>
        <v>5.2477845020516877E-5</v>
      </c>
      <c r="BB6" s="55">
        <f>'LUC-2012-08-10-Run4'!CD7</f>
        <v>5.2577842307954798E-5</v>
      </c>
      <c r="BC6" s="55">
        <f>'LUC-2012-08-10-Run4'!CE7</f>
        <v>5.2679112681640577E-5</v>
      </c>
      <c r="BD6" s="55">
        <f>'LUC-2012-08-10-Run4'!CF7</f>
        <v>5.2781651624729282E-5</v>
      </c>
      <c r="BE6" s="55">
        <f>'LUC-2012-08-10-Run4'!CG7</f>
        <v>5.2885444749710062E-5</v>
      </c>
      <c r="BF6" s="55">
        <f>'LUC-2012-08-10-Run4'!CH7</f>
        <v>5.2990487639432671E-5</v>
      </c>
      <c r="BG6" s="55">
        <f>'LUC-2012-08-10-Run4'!CI7</f>
        <v>5.3096775381587056E-5</v>
      </c>
      <c r="BH6" s="55">
        <f>'LUC-2012-08-10-Run4'!CJ7</f>
        <v>5.3204297991539445E-5</v>
      </c>
      <c r="BI6" s="55">
        <f>'LUC-2012-08-10-Run4'!CK7</f>
        <v>5.3313060712255301E-5</v>
      </c>
      <c r="BJ6" s="55">
        <f>'LUC-2012-08-10-Run4'!CL7</f>
        <v>5.3423070555134916E-5</v>
      </c>
      <c r="BK6" s="55">
        <f>'LUC-2012-08-10-Run4'!CM7</f>
        <v>5.3534324193367958E-5</v>
      </c>
      <c r="BM6" s="107"/>
      <c r="BN6" s="54" t="s">
        <v>99</v>
      </c>
      <c r="BO6" s="68">
        <f t="shared" si="6"/>
        <v>36.843336955314179</v>
      </c>
      <c r="BP6" s="68">
        <f t="shared" si="0"/>
        <v>36.33605843746561</v>
      </c>
      <c r="BQ6" s="68">
        <f t="shared" si="1"/>
        <v>38.688784266851897</v>
      </c>
      <c r="BR6" s="68">
        <f t="shared" si="2"/>
        <v>45.052144357670755</v>
      </c>
      <c r="BS6" s="68">
        <f t="shared" si="3"/>
        <v>51.549385587840426</v>
      </c>
      <c r="BT6" s="68">
        <f t="shared" si="4"/>
        <v>52.477845020516874</v>
      </c>
      <c r="BU6" s="68">
        <f t="shared" si="5"/>
        <v>53.534324193367958</v>
      </c>
    </row>
    <row r="7" spans="1:73" x14ac:dyDescent="0.25">
      <c r="A7" s="54" t="s">
        <v>71</v>
      </c>
      <c r="B7" s="54" t="s">
        <v>100</v>
      </c>
      <c r="C7" s="54" t="s">
        <v>92</v>
      </c>
      <c r="D7" s="55">
        <f>'LUC-2012-08-10-Run4'!AF8</f>
        <v>5.2769166477933858E-5</v>
      </c>
      <c r="E7" s="55">
        <f>'LUC-2012-08-10-Run4'!AG8</f>
        <v>5.2693255559611984E-5</v>
      </c>
      <c r="F7" s="55">
        <f>'LUC-2012-08-10-Run4'!AH8</f>
        <v>5.2614516501821335E-5</v>
      </c>
      <c r="G7" s="55">
        <f>'LUC-2012-08-10-Run4'!AI8</f>
        <v>5.25345700746617E-5</v>
      </c>
      <c r="H7" s="55">
        <f>'LUC-2012-08-10-Run4'!AJ8</f>
        <v>5.2453834084356881E-5</v>
      </c>
      <c r="I7" s="55">
        <f>'LUC-2012-08-10-Run4'!AK8</f>
        <v>5.2372425888999203E-5</v>
      </c>
      <c r="J7" s="55">
        <f>'LUC-2012-08-10-Run4'!AL8</f>
        <v>5.2290379992305006E-5</v>
      </c>
      <c r="K7" s="55">
        <f>'LUC-2012-08-10-Run4'!AM8</f>
        <v>5.2207906038438337E-5</v>
      </c>
      <c r="L7" s="55">
        <f>'LUC-2012-08-10-Run4'!AN8</f>
        <v>5.2125273784105413E-5</v>
      </c>
      <c r="M7" s="55">
        <f>'LUC-2012-08-10-Run4'!AO8</f>
        <v>5.204261272978946E-5</v>
      </c>
      <c r="N7" s="55">
        <f>'LUC-2012-08-10-Run4'!AP8</f>
        <v>5.1960146968512207E-5</v>
      </c>
      <c r="O7" s="55">
        <f>'LUC-2012-08-10-Run4'!AQ8</f>
        <v>5.187794267916924E-5</v>
      </c>
      <c r="P7" s="55">
        <f>'LUC-2012-08-10-Run4'!AR8</f>
        <v>5.1796049081735804E-5</v>
      </c>
      <c r="Q7" s="55">
        <f>'LUC-2012-08-10-Run4'!AS8</f>
        <v>5.1714494867320529E-5</v>
      </c>
      <c r="R7" s="55">
        <f>'LUC-2012-08-10-Run4'!AT8</f>
        <v>5.1633264631415317E-5</v>
      </c>
      <c r="S7" s="55">
        <f>'LUC-2012-08-10-Run4'!AU8</f>
        <v>5.1820562129143874E-5</v>
      </c>
      <c r="T7" s="55">
        <f>'LUC-2012-08-10-Run4'!AV8</f>
        <v>5.1885131359856297E-5</v>
      </c>
      <c r="U7" s="55">
        <f>'LUC-2012-08-10-Run4'!AW8</f>
        <v>5.1950214305834867E-5</v>
      </c>
      <c r="V7" s="55">
        <f>'LUC-2012-08-10-Run4'!AX8</f>
        <v>5.2015700294839928E-5</v>
      </c>
      <c r="W7" s="55">
        <f>'LUC-2012-08-10-Run4'!AY8</f>
        <v>5.2081507781076679E-5</v>
      </c>
      <c r="X7" s="55">
        <f>'LUC-2012-08-10-Run4'!AZ8</f>
        <v>5.2147614632487234E-5</v>
      </c>
      <c r="Y7" s="55">
        <f>'LUC-2012-08-10-Run4'!BA8</f>
        <v>5.2214058561288894E-5</v>
      </c>
      <c r="Z7" s="55">
        <f>'LUC-2012-08-10-Run4'!BB8</f>
        <v>5.2280919174022914E-5</v>
      </c>
      <c r="AA7" s="55">
        <f>'LUC-2012-08-10-Run4'!BC8</f>
        <v>5.2348326142311333E-5</v>
      </c>
      <c r="AB7" s="55">
        <f>'LUC-2012-08-10-Run4'!BD8</f>
        <v>5.2416362295017331E-5</v>
      </c>
      <c r="AC7" s="55">
        <f>'LUC-2012-08-10-Run4'!BE8</f>
        <v>5.2485056095018153E-5</v>
      </c>
      <c r="AD7" s="55">
        <f>'LUC-2012-08-10-Run4'!BF8</f>
        <v>5.255435759938655E-5</v>
      </c>
      <c r="AE7" s="55">
        <f>'LUC-2012-08-10-Run4'!BG8</f>
        <v>5.2624226698379906E-5</v>
      </c>
      <c r="AF7" s="55">
        <f>'LUC-2012-08-10-Run4'!BH8</f>
        <v>5.2694616780850149E-5</v>
      </c>
      <c r="AG7" s="55">
        <f>'LUC-2012-08-10-Run4'!BI8</f>
        <v>5.2765502995160863E-5</v>
      </c>
      <c r="AH7" s="55">
        <f>'LUC-2012-08-10-Run4'!BJ8</f>
        <v>5.283686082478873E-5</v>
      </c>
      <c r="AI7" s="55">
        <f>'LUC-2012-08-10-Run4'!BK8</f>
        <v>5.2908715260658917E-5</v>
      </c>
      <c r="AJ7" s="55">
        <f>'LUC-2012-08-10-Run4'!BL8</f>
        <v>5.2981037203205353E-5</v>
      </c>
      <c r="AK7" s="55">
        <f>'LUC-2012-08-10-Run4'!BM8</f>
        <v>5.3053843546664738E-5</v>
      </c>
      <c r="AL7" s="55">
        <f>'LUC-2012-08-10-Run4'!BN8</f>
        <v>5.3127112809578331E-5</v>
      </c>
      <c r="AM7" s="55">
        <f>'LUC-2012-08-10-Run4'!BO8</f>
        <v>5.3200845887448871E-5</v>
      </c>
      <c r="AN7" s="55">
        <f>'LUC-2012-08-10-Run4'!BP8</f>
        <v>5.3275066305476904E-5</v>
      </c>
      <c r="AO7" s="55">
        <f>'LUC-2012-08-10-Run4'!BQ8</f>
        <v>5.3349808273080411E-5</v>
      </c>
      <c r="AP7" s="55">
        <f>'LUC-2012-08-10-Run4'!BR8</f>
        <v>5.3425155494199776E-5</v>
      </c>
      <c r="AQ7" s="55">
        <f>'LUC-2012-08-10-Run4'!BS8</f>
        <v>5.3501125356345247E-5</v>
      </c>
      <c r="AR7" s="55">
        <f>'LUC-2012-08-10-Run4'!BT8</f>
        <v>5.358589951393191E-5</v>
      </c>
      <c r="AS7" s="55">
        <f>'LUC-2012-08-10-Run4'!BU8</f>
        <v>5.3672282503609282E-5</v>
      </c>
      <c r="AT7" s="55">
        <f>'LUC-2012-08-10-Run4'!BV8</f>
        <v>5.3760270054983049E-5</v>
      </c>
      <c r="AU7" s="55">
        <f>'LUC-2012-08-10-Run4'!BW8</f>
        <v>5.3849853081464978E-5</v>
      </c>
      <c r="AV7" s="55">
        <f>'LUC-2012-08-10-Run4'!BX8</f>
        <v>5.3941017829373365E-5</v>
      </c>
      <c r="AW7" s="55">
        <f>'LUC-2012-08-10-Run4'!BY8</f>
        <v>5.4033763050466951E-5</v>
      </c>
      <c r="AX7" s="55">
        <f>'LUC-2012-08-10-Run4'!BZ8</f>
        <v>5.4128092228636533E-5</v>
      </c>
      <c r="AY7" s="55">
        <f>'LUC-2012-08-10-Run4'!CA8</f>
        <v>5.4224008946083018E-5</v>
      </c>
      <c r="AZ7" s="55">
        <f>'LUC-2012-08-10-Run4'!CB8</f>
        <v>5.4321496723876302E-5</v>
      </c>
      <c r="BA7" s="55">
        <f>'LUC-2012-08-10-Run4'!CC8</f>
        <v>5.4420572901668634E-5</v>
      </c>
      <c r="BB7" s="55">
        <f>'LUC-2012-08-10-Run4'!CD8</f>
        <v>5.4521219352321004E-5</v>
      </c>
      <c r="BC7" s="55">
        <f>'LUC-2012-08-10-Run4'!CE8</f>
        <v>5.4623425888475123E-5</v>
      </c>
      <c r="BD7" s="55">
        <f>'LUC-2012-08-10-Run4'!CF8</f>
        <v>5.4727189212199551E-5</v>
      </c>
      <c r="BE7" s="55">
        <f>'LUC-2012-08-10-Run4'!CG8</f>
        <v>5.4832486288335323E-5</v>
      </c>
      <c r="BF7" s="55">
        <f>'LUC-2012-08-10-Run4'!CH8</f>
        <v>5.4939322222557939E-5</v>
      </c>
      <c r="BG7" s="55">
        <f>'LUC-2012-08-10-Run4'!CI8</f>
        <v>5.5047676022657148E-5</v>
      </c>
      <c r="BH7" s="55">
        <f>'LUC-2012-08-10-Run4'!CJ8</f>
        <v>5.5157543030486721E-5</v>
      </c>
      <c r="BI7" s="55">
        <f>'LUC-2012-08-10-Run4'!CK8</f>
        <v>5.5268920681017922E-5</v>
      </c>
      <c r="BJ7" s="55">
        <f>'LUC-2012-08-10-Run4'!CL8</f>
        <v>5.5381826903601599E-5</v>
      </c>
      <c r="BK7" s="55">
        <f>'LUC-2012-08-10-Run4'!CM8</f>
        <v>5.5496247612017253E-5</v>
      </c>
      <c r="BM7" s="107"/>
      <c r="BN7" s="57" t="s">
        <v>100</v>
      </c>
      <c r="BO7" s="65">
        <f t="shared" si="6"/>
        <v>52.769166477933858</v>
      </c>
      <c r="BP7" s="65">
        <f t="shared" si="0"/>
        <v>52.042612729789461</v>
      </c>
      <c r="BQ7" s="65">
        <f t="shared" si="1"/>
        <v>52.081507781076681</v>
      </c>
      <c r="BR7" s="65">
        <f t="shared" si="2"/>
        <v>52.765502995160865</v>
      </c>
      <c r="BS7" s="65">
        <f t="shared" si="3"/>
        <v>53.501125356345248</v>
      </c>
      <c r="BT7" s="65">
        <f t="shared" si="4"/>
        <v>54.420572901668635</v>
      </c>
      <c r="BU7" s="65">
        <f t="shared" si="5"/>
        <v>55.496247612017257</v>
      </c>
    </row>
    <row r="8" spans="1:73" x14ac:dyDescent="0.25">
      <c r="A8" s="54" t="s">
        <v>71</v>
      </c>
      <c r="B8" s="54" t="s">
        <v>101</v>
      </c>
      <c r="C8" s="54" t="s">
        <v>92</v>
      </c>
      <c r="D8" s="55">
        <f>'LUC-2012-08-10-Run4'!AF9</f>
        <v>3.755643379961059E-5</v>
      </c>
      <c r="E8" s="55">
        <f>'LUC-2012-08-10-Run4'!AG9</f>
        <v>3.7502407109994121E-5</v>
      </c>
      <c r="F8" s="55">
        <f>'LUC-2012-08-10-Run4'!AH9</f>
        <v>3.7446367600395375E-5</v>
      </c>
      <c r="G8" s="55">
        <f>'LUC-2012-08-10-Run4'!AI9</f>
        <v>3.7389468791876361E-5</v>
      </c>
      <c r="H8" s="55">
        <f>'LUC-2012-08-10-Run4'!AJ9</f>
        <v>3.7332008042019762E-5</v>
      </c>
      <c r="I8" s="55">
        <f>'LUC-2012-08-10-Run4'!AK9</f>
        <v>3.7274068875954395E-5</v>
      </c>
      <c r="J8" s="55">
        <f>'LUC-2012-08-10-Run4'!AL9</f>
        <v>3.7215675850379237E-5</v>
      </c>
      <c r="K8" s="55">
        <f>'LUC-2012-08-10-Run4'!AM9</f>
        <v>3.7156978171501163E-5</v>
      </c>
      <c r="L8" s="55">
        <f>'LUC-2012-08-10-Run4'!AN9</f>
        <v>3.7098167828327268E-5</v>
      </c>
      <c r="M8" s="55">
        <f>'LUC-2012-08-10-Run4'!AO9</f>
        <v>3.7039336987868168E-5</v>
      </c>
      <c r="N8" s="55">
        <f>'LUC-2012-08-10-Run4'!AP9</f>
        <v>3.6980645139751931E-5</v>
      </c>
      <c r="O8" s="55">
        <f>'LUC-2012-08-10-Run4'!AQ9</f>
        <v>3.692213938427361E-5</v>
      </c>
      <c r="P8" s="55">
        <f>'LUC-2012-08-10-Run4'!AR9</f>
        <v>3.6863854751866036E-5</v>
      </c>
      <c r="Q8" s="55">
        <f>'LUC-2012-08-10-Run4'!AS9</f>
        <v>3.6805811662327231E-5</v>
      </c>
      <c r="R8" s="55">
        <f>'LUC-2012-08-10-Run4'!AT9</f>
        <v>3.6747999152088383E-5</v>
      </c>
      <c r="S8" s="55">
        <f>'LUC-2012-08-10-Run4'!AU9</f>
        <v>3.6881300974796092E-5</v>
      </c>
      <c r="T8" s="55">
        <f>'LUC-2012-08-10-Run4'!AV9</f>
        <v>3.6933062893627826E-5</v>
      </c>
      <c r="U8" s="55">
        <f>'LUC-2012-08-10-Run4'!AW9</f>
        <v>3.6984803288137251E-5</v>
      </c>
      <c r="V8" s="55">
        <f>'LUC-2012-08-10-Run4'!AX9</f>
        <v>3.7036437188603112E-5</v>
      </c>
      <c r="W8" s="55">
        <f>'LUC-2012-08-10-Run4'!AY9</f>
        <v>3.7087901513367618E-5</v>
      </c>
      <c r="X8" s="55">
        <f>'LUC-2012-08-10-Run4'!AZ9</f>
        <v>3.7139176923422152E-5</v>
      </c>
      <c r="Y8" s="55">
        <f>'LUC-2012-08-10-Run4'!BA9</f>
        <v>3.719028632859785E-5</v>
      </c>
      <c r="Z8" s="55">
        <f>'LUC-2012-08-10-Run4'!BB9</f>
        <v>3.7241283775133937E-5</v>
      </c>
      <c r="AA8" s="55">
        <f>'LUC-2012-08-10-Run4'!BC9</f>
        <v>3.7292262121969226E-5</v>
      </c>
      <c r="AB8" s="55">
        <f>'LUC-2012-08-10-Run4'!BD9</f>
        <v>3.7343280820957652E-5</v>
      </c>
      <c r="AC8" s="55">
        <f>'LUC-2012-08-10-Run4'!BE9</f>
        <v>3.7394359310285553E-5</v>
      </c>
      <c r="AD8" s="55">
        <f>'LUC-2012-08-10-Run4'!BF9</f>
        <v>3.7445462106810545E-5</v>
      </c>
      <c r="AE8" s="55">
        <f>'LUC-2012-08-10-Run4'!BG9</f>
        <v>3.7496556366296019E-5</v>
      </c>
      <c r="AF8" s="55">
        <f>'LUC-2012-08-10-Run4'!BH9</f>
        <v>3.7547608783536608E-5</v>
      </c>
      <c r="AG8" s="55">
        <f>'LUC-2012-08-10-Run4'!BI9</f>
        <v>3.7598597706895901E-5</v>
      </c>
      <c r="AH8" s="55">
        <f>'LUC-2012-08-10-Run4'!BJ9</f>
        <v>3.7649502569235385E-5</v>
      </c>
      <c r="AI8" s="55">
        <f>'LUC-2012-08-10-Run4'!BK9</f>
        <v>3.7700339228367647E-5</v>
      </c>
      <c r="AJ8" s="55">
        <f>'LUC-2012-08-10-Run4'!BL9</f>
        <v>3.7751080142069215E-5</v>
      </c>
      <c r="AK8" s="55">
        <f>'LUC-2012-08-10-Run4'!BM9</f>
        <v>3.7801728334648505E-5</v>
      </c>
      <c r="AL8" s="55">
        <f>'LUC-2012-08-10-Run4'!BN9</f>
        <v>3.785226250308605E-5</v>
      </c>
      <c r="AM8" s="55">
        <f>'LUC-2012-08-10-Run4'!BO9</f>
        <v>3.7902673895436454E-5</v>
      </c>
      <c r="AN8" s="55">
        <f>'LUC-2012-08-10-Run4'!BP9</f>
        <v>3.7952979622613387E-5</v>
      </c>
      <c r="AO8" s="55">
        <f>'LUC-2012-08-10-Run4'!BQ9</f>
        <v>3.8003197609965645E-5</v>
      </c>
      <c r="AP8" s="55">
        <f>'LUC-2012-08-10-Run4'!BR9</f>
        <v>3.8053393767208994E-5</v>
      </c>
      <c r="AQ8" s="55">
        <f>'LUC-2012-08-10-Run4'!BS9</f>
        <v>3.8103574826890966E-5</v>
      </c>
      <c r="AR8" s="55">
        <f>'LUC-2012-08-10-Run4'!BT9</f>
        <v>3.8156452560328051E-5</v>
      </c>
      <c r="AS8" s="55">
        <f>'LUC-2012-08-10-Run4'!BU9</f>
        <v>3.8210417968048391E-5</v>
      </c>
      <c r="AT8" s="55">
        <f>'LUC-2012-08-10-Run4'!BV9</f>
        <v>3.8265475695102741E-5</v>
      </c>
      <c r="AU8" s="55">
        <f>'LUC-2012-08-10-Run4'!BW9</f>
        <v>3.8321623685974469E-5</v>
      </c>
      <c r="AV8" s="55">
        <f>'LUC-2012-08-10-Run4'!BX9</f>
        <v>3.8378859609958136E-5</v>
      </c>
      <c r="AW8" s="55">
        <f>'LUC-2012-08-10-Run4'!BY9</f>
        <v>3.8437187893822393E-5</v>
      </c>
      <c r="AX8" s="55">
        <f>'LUC-2012-08-10-Run4'!BZ9</f>
        <v>3.8496607768899382E-5</v>
      </c>
      <c r="AY8" s="55">
        <f>'LUC-2012-08-10-Run4'!CA9</f>
        <v>3.8557127565013271E-5</v>
      </c>
      <c r="AZ8" s="55">
        <f>'LUC-2012-08-10-Run4'!CB9</f>
        <v>3.8618733800416279E-5</v>
      </c>
      <c r="BA8" s="55">
        <f>'LUC-2012-08-10-Run4'!CC9</f>
        <v>3.8681442904030025E-5</v>
      </c>
      <c r="BB8" s="55">
        <f>'LUC-2012-08-10-Run4'!CD9</f>
        <v>3.8745238156913579E-5</v>
      </c>
      <c r="BC8" s="55">
        <f>'LUC-2012-08-10-Run4'!CE9</f>
        <v>3.8810115409190752E-5</v>
      </c>
      <c r="BD8" s="55">
        <f>'LUC-2012-08-10-Run4'!CF9</f>
        <v>3.8876073147932574E-5</v>
      </c>
      <c r="BE8" s="55">
        <f>'LUC-2012-08-10-Run4'!CG9</f>
        <v>3.894309386333759E-5</v>
      </c>
      <c r="BF8" s="55">
        <f>'LUC-2012-08-10-Run4'!CH9</f>
        <v>3.9011183503462591E-5</v>
      </c>
      <c r="BG8" s="55">
        <f>'LUC-2012-08-10-Run4'!CI9</f>
        <v>3.9080323898003936E-5</v>
      </c>
      <c r="BH8" s="55">
        <f>'LUC-2012-08-10-Run4'!CJ9</f>
        <v>3.9150511218413924E-5</v>
      </c>
      <c r="BI8" s="55">
        <f>'LUC-2012-08-10-Run4'!CK9</f>
        <v>3.9221737742214523E-5</v>
      </c>
      <c r="BJ8" s="55">
        <f>'LUC-2012-08-10-Run4'!CL9</f>
        <v>3.9294017281482045E-5</v>
      </c>
      <c r="BK8" s="55">
        <f>'LUC-2012-08-10-Run4'!CM9</f>
        <v>3.936733039718203E-5</v>
      </c>
      <c r="BM8" s="107"/>
      <c r="BN8" s="57" t="s">
        <v>101</v>
      </c>
      <c r="BO8" s="65">
        <f t="shared" si="6"/>
        <v>37.556433799610588</v>
      </c>
      <c r="BP8" s="65">
        <f t="shared" si="0"/>
        <v>37.039336987868168</v>
      </c>
      <c r="BQ8" s="65">
        <f t="shared" si="1"/>
        <v>37.087901513367619</v>
      </c>
      <c r="BR8" s="65">
        <f t="shared" si="2"/>
        <v>37.598597706895902</v>
      </c>
      <c r="BS8" s="65">
        <f t="shared" si="3"/>
        <v>38.103574826890963</v>
      </c>
      <c r="BT8" s="65">
        <f t="shared" si="4"/>
        <v>38.681442904030028</v>
      </c>
      <c r="BU8" s="65">
        <f t="shared" si="5"/>
        <v>39.36733039718203</v>
      </c>
    </row>
    <row r="9" spans="1:73" x14ac:dyDescent="0.25">
      <c r="A9" s="54" t="s">
        <v>71</v>
      </c>
      <c r="B9" s="54" t="s">
        <v>111</v>
      </c>
      <c r="C9" s="54" t="s">
        <v>92</v>
      </c>
      <c r="D9" s="55">
        <f>'LUC-2012-08-10-Run4'!AF10</f>
        <v>3.2802454837634565E-5</v>
      </c>
      <c r="E9" s="55">
        <f>'LUC-2012-08-10-Run4'!AG10</f>
        <v>3.2755266969488529E-5</v>
      </c>
      <c r="F9" s="55">
        <f>'LUC-2012-08-10-Run4'!AH10</f>
        <v>3.2706321068699752E-5</v>
      </c>
      <c r="G9" s="55">
        <f>'LUC-2012-08-10-Run4'!AI10</f>
        <v>3.2656624641005933E-5</v>
      </c>
      <c r="H9" s="55">
        <f>'LUC-2012-08-10-Run4'!AJ10</f>
        <v>3.260643740378941E-5</v>
      </c>
      <c r="I9" s="55">
        <f>'LUC-2012-08-10-Run4'!AK10</f>
        <v>3.2555832309377881E-5</v>
      </c>
      <c r="J9" s="55">
        <f>'LUC-2012-08-10-Run4'!AL10</f>
        <v>3.2504830806027448E-5</v>
      </c>
      <c r="K9" s="55">
        <f>'LUC-2012-08-10-Run4'!AM10</f>
        <v>3.2453563213083297E-5</v>
      </c>
      <c r="L9" s="55">
        <f>'LUC-2012-08-10-Run4'!AN10</f>
        <v>3.2402197217146604E-5</v>
      </c>
      <c r="M9" s="55">
        <f>'LUC-2012-08-10-Run4'!AO10</f>
        <v>3.2350813318517766E-5</v>
      </c>
      <c r="N9" s="55">
        <f>'LUC-2012-08-10-Run4'!AP10</f>
        <v>3.2299550818264349E-5</v>
      </c>
      <c r="O9" s="55">
        <f>'LUC-2012-08-10-Run4'!AQ10</f>
        <v>3.2248450854618708E-5</v>
      </c>
      <c r="P9" s="55">
        <f>'LUC-2012-08-10-Run4'!AR10</f>
        <v>3.2197544023781722E-5</v>
      </c>
      <c r="Q9" s="55">
        <f>'LUC-2012-08-10-Run4'!AS10</f>
        <v>3.2146848160766819E-5</v>
      </c>
      <c r="R9" s="55">
        <f>'LUC-2012-08-10-Run4'!AT10</f>
        <v>3.2096353689798707E-5</v>
      </c>
      <c r="S9" s="55">
        <f>'LUC-2012-08-10-Run4'!AU10</f>
        <v>3.2212781864062408E-5</v>
      </c>
      <c r="T9" s="55">
        <f>'LUC-2012-08-10-Run4'!AV10</f>
        <v>3.2464153102729245E-5</v>
      </c>
      <c r="U9" s="55">
        <f>'LUC-2012-08-10-Run4'!AW10</f>
        <v>3.271690581497304E-5</v>
      </c>
      <c r="V9" s="55">
        <f>'LUC-2012-08-10-Run4'!AX10</f>
        <v>3.2970962421275322E-5</v>
      </c>
      <c r="W9" s="55">
        <f>'LUC-2012-08-10-Run4'!AY10</f>
        <v>3.3226264413713801E-5</v>
      </c>
      <c r="X9" s="55">
        <f>'LUC-2012-08-10-Run4'!AZ10</f>
        <v>3.3482789042779644E-5</v>
      </c>
      <c r="Y9" s="55">
        <f>'LUC-2012-08-10-Run4'!BA10</f>
        <v>3.3740550001192795E-5</v>
      </c>
      <c r="Z9" s="55">
        <f>'LUC-2012-08-10-Run4'!BB10</f>
        <v>3.3999587604779657E-5</v>
      </c>
      <c r="AA9" s="55">
        <f>'LUC-2012-08-10-Run4'!BC10</f>
        <v>3.425996881315825E-5</v>
      </c>
      <c r="AB9" s="55">
        <f>'LUC-2012-08-10-Run4'!BD10</f>
        <v>3.4521734016547037E-5</v>
      </c>
      <c r="AC9" s="55">
        <f>'LUC-2012-08-10-Run4'!BE10</f>
        <v>3.4784889445536507E-5</v>
      </c>
      <c r="AD9" s="55">
        <f>'LUC-2012-08-10-Run4'!BF10</f>
        <v>3.5049395121155097E-5</v>
      </c>
      <c r="AE9" s="55">
        <f>'LUC-2012-08-10-Run4'!BG10</f>
        <v>3.5315227950970887E-5</v>
      </c>
      <c r="AF9" s="55">
        <f>'LUC-2012-08-10-Run4'!BH10</f>
        <v>3.5582357866475032E-5</v>
      </c>
      <c r="AG9" s="55">
        <f>'LUC-2012-08-10-Run4'!BI10</f>
        <v>3.5850774182663768E-5</v>
      </c>
      <c r="AH9" s="55">
        <f>'LUC-2012-08-10-Run4'!BJ10</f>
        <v>3.6120462447432588E-5</v>
      </c>
      <c r="AI9" s="55">
        <f>'LUC-2012-08-10-Run4'!BK10</f>
        <v>3.6391436750654276E-5</v>
      </c>
      <c r="AJ9" s="55">
        <f>'LUC-2012-08-10-Run4'!BL10</f>
        <v>3.6663678447313321E-5</v>
      </c>
      <c r="AK9" s="55">
        <f>'LUC-2012-08-10-Run4'!BM10</f>
        <v>3.6937197528123228E-5</v>
      </c>
      <c r="AL9" s="55">
        <f>'LUC-2012-08-10-Run4'!BN10</f>
        <v>3.7211979372309135E-5</v>
      </c>
      <c r="AM9" s="55">
        <f>'LUC-2012-08-10-Run4'!BO10</f>
        <v>3.7488031388110743E-5</v>
      </c>
      <c r="AN9" s="55">
        <f>'LUC-2012-08-10-Run4'!BP10</f>
        <v>3.7765360137229976E-5</v>
      </c>
      <c r="AO9" s="55">
        <f>'LUC-2012-08-10-Run4'!BQ10</f>
        <v>3.8043985474369211E-5</v>
      </c>
      <c r="AP9" s="55">
        <f>'LUC-2012-08-10-Run4'!BR10</f>
        <v>3.8323933618482537E-5</v>
      </c>
      <c r="AQ9" s="55">
        <f>'LUC-2012-08-10-Run4'!BS10</f>
        <v>3.8605209547791053E-5</v>
      </c>
      <c r="AR9" s="55">
        <f>'LUC-2012-08-10-Run4'!BT10</f>
        <v>3.8677920059823958E-5</v>
      </c>
      <c r="AS9" s="55">
        <f>'LUC-2012-08-10-Run4'!BU10</f>
        <v>3.8751713009784551E-5</v>
      </c>
      <c r="AT9" s="55">
        <f>'LUC-2012-08-10-Run4'!BV10</f>
        <v>3.8826591933489533E-5</v>
      </c>
      <c r="AU9" s="55">
        <f>'LUC-2012-08-10-Run4'!BW10</f>
        <v>3.890255296099992E-5</v>
      </c>
      <c r="AV9" s="55">
        <f>'LUC-2012-08-10-Run4'!BX10</f>
        <v>3.8979588221708722E-5</v>
      </c>
      <c r="AW9" s="55">
        <f>'LUC-2012-08-10-Run4'!BY10</f>
        <v>3.9057691220618749E-5</v>
      </c>
      <c r="AX9" s="55">
        <f>'LUC-2012-08-10-Run4'!BZ10</f>
        <v>3.9136866220622919E-5</v>
      </c>
      <c r="AY9" s="55">
        <f>'LUC-2012-08-10-Run4'!CA10</f>
        <v>3.9217106232685925E-5</v>
      </c>
      <c r="AZ9" s="55">
        <f>'LUC-2012-08-10-Run4'!CB10</f>
        <v>3.9298398757022331E-5</v>
      </c>
      <c r="BA9" s="55">
        <f>'LUC-2012-08-10-Run4'!CC10</f>
        <v>3.9380744857709663E-5</v>
      </c>
      <c r="BB9" s="55">
        <f>'LUC-2012-08-10-Run4'!CD10</f>
        <v>3.9464137259924096E-5</v>
      </c>
      <c r="BC9" s="55">
        <f>'LUC-2012-08-10-Run4'!CE10</f>
        <v>3.9548568806148973E-5</v>
      </c>
      <c r="BD9" s="55">
        <f>'LUC-2012-08-10-Run4'!CF10</f>
        <v>3.9634035486339887E-5</v>
      </c>
      <c r="BE9" s="55">
        <f>'LUC-2012-08-10-Run4'!CG10</f>
        <v>3.9720527015119885E-5</v>
      </c>
      <c r="BF9" s="55">
        <f>'LUC-2012-08-10-Run4'!CH10</f>
        <v>3.9808038587477014E-5</v>
      </c>
      <c r="BG9" s="55">
        <f>'LUC-2012-08-10-Run4'!CI10</f>
        <v>3.9896568115661278E-5</v>
      </c>
      <c r="BH9" s="55">
        <f>'LUC-2012-08-10-Run4'!CJ10</f>
        <v>3.998610769803857E-5</v>
      </c>
      <c r="BI9" s="55">
        <f>'LUC-2012-08-10-Run4'!CK10</f>
        <v>4.0076663427659374E-5</v>
      </c>
      <c r="BJ9" s="55">
        <f>'LUC-2012-08-10-Run4'!CL10</f>
        <v>4.0168239548289989E-5</v>
      </c>
      <c r="BK9" s="55">
        <f>'LUC-2012-08-10-Run4'!CM10</f>
        <v>4.0260837211252985E-5</v>
      </c>
      <c r="BM9" s="107"/>
      <c r="BN9" s="57" t="s">
        <v>111</v>
      </c>
      <c r="BO9" s="65">
        <f t="shared" si="6"/>
        <v>32.802454837634563</v>
      </c>
      <c r="BP9" s="65">
        <f t="shared" si="0"/>
        <v>32.350813318517766</v>
      </c>
      <c r="BQ9" s="65">
        <f t="shared" si="1"/>
        <v>33.2262644137138</v>
      </c>
      <c r="BR9" s="65">
        <f t="shared" si="2"/>
        <v>35.85077418266377</v>
      </c>
      <c r="BS9" s="65">
        <f t="shared" si="3"/>
        <v>38.605209547791056</v>
      </c>
      <c r="BT9" s="65">
        <f t="shared" si="4"/>
        <v>39.380744857709665</v>
      </c>
      <c r="BU9" s="65">
        <f t="shared" si="5"/>
        <v>40.260837211252984</v>
      </c>
    </row>
    <row r="10" spans="1:73" x14ac:dyDescent="0.25">
      <c r="A10" s="54" t="s">
        <v>71</v>
      </c>
      <c r="B10" s="54" t="s">
        <v>102</v>
      </c>
      <c r="C10" s="54" t="s">
        <v>92</v>
      </c>
      <c r="D10" s="55">
        <f>'LUC-2012-08-10-Run4'!AF11</f>
        <v>9.854236723099179E-6</v>
      </c>
      <c r="E10" s="55">
        <f>'LUC-2012-08-10-Run4'!AG11</f>
        <v>9.9823313516283816E-6</v>
      </c>
      <c r="F10" s="55">
        <f>'LUC-2012-08-10-Run4'!AH11</f>
        <v>1.0100376622903003E-5</v>
      </c>
      <c r="G10" s="55">
        <f>'LUC-2012-08-10-Run4'!AI11</f>
        <v>1.0217954371032664E-5</v>
      </c>
      <c r="H10" s="55">
        <f>'LUC-2012-08-10-Run4'!AJ11</f>
        <v>1.0335036222756833E-5</v>
      </c>
      <c r="I10" s="55">
        <f>'LUC-2012-08-10-Run4'!AK11</f>
        <v>1.0451609591361124E-5</v>
      </c>
      <c r="J10" s="55">
        <f>'LUC-2012-08-10-Run4'!AL11</f>
        <v>1.0567721275233579E-5</v>
      </c>
      <c r="K10" s="55">
        <f>'LUC-2012-08-10-Run4'!AM11</f>
        <v>1.0683584645201572E-5</v>
      </c>
      <c r="L10" s="55">
        <f>'LUC-2012-08-10-Run4'!AN11</f>
        <v>1.0799445063931594E-5</v>
      </c>
      <c r="M10" s="55">
        <f>'LUC-2012-08-10-Run4'!AO11</f>
        <v>1.0915504194081234E-5</v>
      </c>
      <c r="N10" s="55">
        <f>'LUC-2012-08-10-Run4'!AP11</f>
        <v>1.1031807456688384E-5</v>
      </c>
      <c r="O10" s="55">
        <f>'LUC-2012-08-10-Run4'!AQ11</f>
        <v>1.1148309525294568E-5</v>
      </c>
      <c r="P10" s="55">
        <f>'LUC-2012-08-10-Run4'!AR11</f>
        <v>1.1264870100794226E-5</v>
      </c>
      <c r="Q10" s="55">
        <f>'LUC-2012-08-10-Run4'!AS11</f>
        <v>1.1381328286422772E-5</v>
      </c>
      <c r="R10" s="55">
        <f>'LUC-2012-08-10-Run4'!AT11</f>
        <v>1.1497512483415883E-5</v>
      </c>
      <c r="S10" s="55">
        <f>'LUC-2012-08-10-Run4'!AU11</f>
        <v>1.1803464369167429E-5</v>
      </c>
      <c r="T10" s="55">
        <f>'LUC-2012-08-10-Run4'!AV11</f>
        <v>1.2071076753421164E-5</v>
      </c>
      <c r="U10" s="55">
        <f>'LUC-2012-08-10-Run4'!AW11</f>
        <v>1.2339032919941119E-5</v>
      </c>
      <c r="V10" s="55">
        <f>'LUC-2012-08-10-Run4'!AX11</f>
        <v>1.2607263023161016E-5</v>
      </c>
      <c r="W10" s="55">
        <f>'LUC-2012-08-10-Run4'!AY11</f>
        <v>1.2875722419325717E-5</v>
      </c>
      <c r="X10" s="55">
        <f>'LUC-2012-08-10-Run4'!AZ11</f>
        <v>1.3144397729442386E-5</v>
      </c>
      <c r="Y10" s="55">
        <f>'LUC-2012-08-10-Run4'!BA11</f>
        <v>1.3413300071319038E-5</v>
      </c>
      <c r="Z10" s="55">
        <f>'LUC-2012-08-10-Run4'!BB11</f>
        <v>1.3682448844595694E-5</v>
      </c>
      <c r="AA10" s="55">
        <f>'LUC-2012-08-10-Run4'!BC11</f>
        <v>1.395188726793054E-5</v>
      </c>
      <c r="AB10" s="55">
        <f>'LUC-2012-08-10-Run4'!BD11</f>
        <v>1.4221622177317089E-5</v>
      </c>
      <c r="AC10" s="55">
        <f>'LUC-2012-08-10-Run4'!BE11</f>
        <v>1.4491643827531894E-5</v>
      </c>
      <c r="AD10" s="55">
        <f>'LUC-2012-08-10-Run4'!BF11</f>
        <v>1.4761924783512753E-5</v>
      </c>
      <c r="AE10" s="55">
        <f>'LUC-2012-08-10-Run4'!BG11</f>
        <v>1.503244380112934E-5</v>
      </c>
      <c r="AF10" s="55">
        <f>'LUC-2012-08-10-Run4'!BH11</f>
        <v>1.5303187831917682E-5</v>
      </c>
      <c r="AG10" s="55">
        <f>'LUC-2012-08-10-Run4'!BI11</f>
        <v>1.557412314738251E-5</v>
      </c>
      <c r="AH10" s="55">
        <f>'LUC-2012-08-10-Run4'!BJ11</f>
        <v>1.5845231954920686E-5</v>
      </c>
      <c r="AI10" s="55">
        <f>'LUC-2012-08-10-Run4'!BK11</f>
        <v>1.6116481807391817E-5</v>
      </c>
      <c r="AJ10" s="55">
        <f>'LUC-2012-08-10-Run4'!BL11</f>
        <v>1.6387846539899619E-5</v>
      </c>
      <c r="AK10" s="55">
        <f>'LUC-2012-08-10-Run4'!BM11</f>
        <v>1.6659294228484215E-5</v>
      </c>
      <c r="AL10" s="55">
        <f>'LUC-2012-08-10-Run4'!BN11</f>
        <v>1.6930804678487053E-5</v>
      </c>
      <c r="AM10" s="55">
        <f>'LUC-2012-08-10-Run4'!BO11</f>
        <v>1.72023400226907E-5</v>
      </c>
      <c r="AN10" s="55">
        <f>'LUC-2012-08-10-Run4'!BP11</f>
        <v>1.7473889524296791E-5</v>
      </c>
      <c r="AO10" s="55">
        <f>'LUC-2012-08-10-Run4'!BQ11</f>
        <v>1.7745421916057434E-5</v>
      </c>
      <c r="AP10" s="55">
        <f>'LUC-2012-08-10-Run4'!BR11</f>
        <v>1.8016930836368059E-5</v>
      </c>
      <c r="AQ10" s="55">
        <f>'LUC-2012-08-10-Run4'!BS11</f>
        <v>1.8288393046038396E-5</v>
      </c>
      <c r="AR10" s="55">
        <f>'LUC-2012-08-10-Run4'!BT11</f>
        <v>1.8537394223131596E-5</v>
      </c>
      <c r="AS10" s="55">
        <f>'LUC-2012-08-10-Run4'!BU11</f>
        <v>1.8786939369484812E-5</v>
      </c>
      <c r="AT10" s="55">
        <f>'LUC-2012-08-10-Run4'!BV11</f>
        <v>1.9037001323926226E-5</v>
      </c>
      <c r="AU10" s="55">
        <f>'LUC-2012-08-10-Run4'!BW11</f>
        <v>1.9287578920227342E-5</v>
      </c>
      <c r="AV10" s="55">
        <f>'LUC-2012-08-10-Run4'!BX11</f>
        <v>1.9538671131323192E-5</v>
      </c>
      <c r="AW10" s="55">
        <f>'LUC-2012-08-10-Run4'!BY11</f>
        <v>1.9790284246013519E-5</v>
      </c>
      <c r="AX10" s="55">
        <f>'LUC-2012-08-10-Run4'!BZ11</f>
        <v>2.0042405273308238E-5</v>
      </c>
      <c r="AY10" s="55">
        <f>'LUC-2012-08-10-Run4'!CA11</f>
        <v>2.0295033898328146E-5</v>
      </c>
      <c r="AZ10" s="55">
        <f>'LUC-2012-08-10-Run4'!CB11</f>
        <v>2.0548156613124433E-5</v>
      </c>
      <c r="BA10" s="55">
        <f>'LUC-2012-08-10-Run4'!CC11</f>
        <v>2.0801758869785672E-5</v>
      </c>
      <c r="BB10" s="55">
        <f>'LUC-2012-08-10-Run4'!CD11</f>
        <v>2.1055828081857568E-5</v>
      </c>
      <c r="BC10" s="55">
        <f>'LUC-2012-08-10-Run4'!CE11</f>
        <v>2.1310346949605758E-5</v>
      </c>
      <c r="BD10" s="55">
        <f>'LUC-2012-08-10-Run4'!CF11</f>
        <v>2.1565314955439615E-5</v>
      </c>
      <c r="BE10" s="55">
        <f>'LUC-2012-08-10-Run4'!CG11</f>
        <v>2.1820723628412651E-5</v>
      </c>
      <c r="BF10" s="55">
        <f>'LUC-2012-08-10-Run4'!CH11</f>
        <v>2.2076567644162625E-5</v>
      </c>
      <c r="BG10" s="55">
        <f>'LUC-2012-08-10-Run4'!CI11</f>
        <v>2.2332826663134236E-5</v>
      </c>
      <c r="BH10" s="55">
        <f>'LUC-2012-08-10-Run4'!CJ11</f>
        <v>2.2589489050445082E-5</v>
      </c>
      <c r="BI10" s="55">
        <f>'LUC-2012-08-10-Run4'!CK11</f>
        <v>2.2846510383298265E-5</v>
      </c>
      <c r="BJ10" s="55">
        <f>'LUC-2012-08-10-Run4'!CL11</f>
        <v>2.3103864648919468E-5</v>
      </c>
      <c r="BK10" s="55">
        <f>'LUC-2012-08-10-Run4'!CM11</f>
        <v>2.336149868724929E-5</v>
      </c>
      <c r="BM10" s="107"/>
      <c r="BN10" s="57" t="s">
        <v>102</v>
      </c>
      <c r="BO10" s="65">
        <f t="shared" si="6"/>
        <v>9.854236723099179</v>
      </c>
      <c r="BP10" s="65">
        <f t="shared" si="0"/>
        <v>10.915504194081233</v>
      </c>
      <c r="BQ10" s="65">
        <f t="shared" si="1"/>
        <v>12.875722419325717</v>
      </c>
      <c r="BR10" s="65">
        <f t="shared" si="2"/>
        <v>15.57412314738251</v>
      </c>
      <c r="BS10" s="65">
        <f t="shared" si="3"/>
        <v>18.288393046038397</v>
      </c>
      <c r="BT10" s="65">
        <f t="shared" si="4"/>
        <v>20.801758869785672</v>
      </c>
      <c r="BU10" s="65">
        <f t="shared" si="5"/>
        <v>23.361498687249291</v>
      </c>
    </row>
    <row r="11" spans="1:73" x14ac:dyDescent="0.25">
      <c r="A11" s="54" t="s">
        <v>71</v>
      </c>
      <c r="B11" s="54" t="s">
        <v>103</v>
      </c>
      <c r="C11" s="54" t="s">
        <v>92</v>
      </c>
      <c r="D11" s="55">
        <f>'LUC-2012-08-10-Run4'!AF12</f>
        <v>2.1546611417777664E-5</v>
      </c>
      <c r="E11" s="55">
        <f>'LUC-2012-08-10-Run4'!AG12</f>
        <v>2.1548776353901259E-5</v>
      </c>
      <c r="F11" s="55">
        <f>'LUC-2012-08-10-Run4'!AH12</f>
        <v>2.1529813843228388E-5</v>
      </c>
      <c r="G11" s="55">
        <f>'LUC-2012-08-10-Run4'!AI12</f>
        <v>2.1511796280261009E-5</v>
      </c>
      <c r="H11" s="55">
        <f>'LUC-2012-08-10-Run4'!AJ12</f>
        <v>2.1494294630538175E-5</v>
      </c>
      <c r="I11" s="55">
        <f>'LUC-2012-08-10-Run4'!AK12</f>
        <v>2.1477258718884035E-5</v>
      </c>
      <c r="J11" s="55">
        <f>'LUC-2012-08-10-Run4'!AL12</f>
        <v>2.1460780711870611E-5</v>
      </c>
      <c r="K11" s="55">
        <f>'LUC-2012-08-10-Run4'!AM12</f>
        <v>2.1445238306112089E-5</v>
      </c>
      <c r="L11" s="55">
        <f>'LUC-2012-08-10-Run4'!AN12</f>
        <v>2.1430974190250699E-5</v>
      </c>
      <c r="M11" s="55">
        <f>'LUC-2012-08-10-Run4'!AO12</f>
        <v>2.1418246228484336E-5</v>
      </c>
      <c r="N11" s="55">
        <f>'LUC-2012-08-10-Run4'!AP12</f>
        <v>2.1406989135757382E-5</v>
      </c>
      <c r="O11" s="55">
        <f>'LUC-2012-08-10-Run4'!AQ12</f>
        <v>2.1396971476561034E-5</v>
      </c>
      <c r="P11" s="55">
        <f>'LUC-2012-08-10-Run4'!AR12</f>
        <v>2.1387819441490876E-5</v>
      </c>
      <c r="Q11" s="55">
        <f>'LUC-2012-08-10-Run4'!AS12</f>
        <v>2.1379160748666734E-5</v>
      </c>
      <c r="R11" s="55">
        <f>'LUC-2012-08-10-Run4'!AT12</f>
        <v>2.1370586114888923E-5</v>
      </c>
      <c r="S11" s="55">
        <f>'LUC-2012-08-10-Run4'!AU12</f>
        <v>2.1564353450623786E-5</v>
      </c>
      <c r="T11" s="55">
        <f>'LUC-2012-08-10-Run4'!AV12</f>
        <v>2.1793341436211772E-5</v>
      </c>
      <c r="U11" s="55">
        <f>'LUC-2012-08-10-Run4'!AW12</f>
        <v>2.2022900015537084E-5</v>
      </c>
      <c r="V11" s="55">
        <f>'LUC-2012-08-10-Run4'!AX12</f>
        <v>2.225291554480102E-5</v>
      </c>
      <c r="W11" s="55">
        <f>'LUC-2012-08-10-Run4'!AY12</f>
        <v>2.248331696163916E-5</v>
      </c>
      <c r="X11" s="55">
        <f>'LUC-2012-08-10-Run4'!AZ12</f>
        <v>2.2714121854788541E-5</v>
      </c>
      <c r="Y11" s="55">
        <f>'LUC-2012-08-10-Run4'!BA12</f>
        <v>2.2945369953573054E-5</v>
      </c>
      <c r="Z11" s="55">
        <f>'LUC-2012-08-10-Run4'!BB12</f>
        <v>2.317716854182256E-5</v>
      </c>
      <c r="AA11" s="55">
        <f>'LUC-2012-08-10-Run4'!BC12</f>
        <v>2.3409714567266966E-5</v>
      </c>
      <c r="AB11" s="55">
        <f>'LUC-2012-08-10-Run4'!BD12</f>
        <v>2.3643118283127092E-5</v>
      </c>
      <c r="AC11" s="55">
        <f>'LUC-2012-08-10-Run4'!BE12</f>
        <v>2.3877389487586614E-5</v>
      </c>
      <c r="AD11" s="55">
        <f>'LUC-2012-08-10-Run4'!BF12</f>
        <v>2.4112490073566627E-5</v>
      </c>
      <c r="AE11" s="55">
        <f>'LUC-2012-08-10-Run4'!BG12</f>
        <v>2.4348441491904624E-5</v>
      </c>
      <c r="AF11" s="55">
        <f>'LUC-2012-08-10-Run4'!BH12</f>
        <v>2.4585313440037396E-5</v>
      </c>
      <c r="AG11" s="55">
        <f>'LUC-2012-08-10-Run4'!BI12</f>
        <v>2.4823070699872917E-5</v>
      </c>
      <c r="AH11" s="55">
        <f>'LUC-2012-08-10-Run4'!BJ12</f>
        <v>2.5061723396556276E-5</v>
      </c>
      <c r="AI11" s="55">
        <f>'LUC-2012-08-10-Run4'!BK12</f>
        <v>2.5301222927894769E-5</v>
      </c>
      <c r="AJ11" s="55">
        <f>'LUC-2012-08-10-Run4'!BL12</f>
        <v>2.5541470402580263E-5</v>
      </c>
      <c r="AK11" s="55">
        <f>'LUC-2012-08-10-Run4'!BM12</f>
        <v>2.5782356869015562E-5</v>
      </c>
      <c r="AL11" s="55">
        <f>'LUC-2012-08-10-Run4'!BN12</f>
        <v>2.602382674911267E-5</v>
      </c>
      <c r="AM11" s="55">
        <f>'LUC-2012-08-10-Run4'!BO12</f>
        <v>2.6265788224911583E-5</v>
      </c>
      <c r="AN11" s="55">
        <f>'LUC-2012-08-10-Run4'!BP12</f>
        <v>2.6508240428606932E-5</v>
      </c>
      <c r="AO11" s="55">
        <f>'LUC-2012-08-10-Run4'!BQ12</f>
        <v>2.6751112796108488E-5</v>
      </c>
      <c r="AP11" s="55">
        <f>'LUC-2012-08-10-Run4'!BR12</f>
        <v>2.6994398843226654E-5</v>
      </c>
      <c r="AQ11" s="55">
        <f>'LUC-2012-08-10-Run4'!BS12</f>
        <v>2.7238015928863178E-5</v>
      </c>
      <c r="AR11" s="55">
        <f>'LUC-2012-08-10-Run4'!BT12</f>
        <v>2.7486278328480859E-5</v>
      </c>
      <c r="AS11" s="55">
        <f>'LUC-2012-08-10-Run4'!BU12</f>
        <v>2.7735066702356564E-5</v>
      </c>
      <c r="AT11" s="55">
        <f>'LUC-2012-08-10-Run4'!BV12</f>
        <v>2.7984373471102214E-5</v>
      </c>
      <c r="AU11" s="55">
        <f>'LUC-2012-08-10-Run4'!BW12</f>
        <v>2.8234185785609252E-5</v>
      </c>
      <c r="AV11" s="55">
        <f>'LUC-2012-08-10-Run4'!BX12</f>
        <v>2.848452661865839E-5</v>
      </c>
      <c r="AW11" s="55">
        <f>'LUC-2012-08-10-Run4'!BY12</f>
        <v>2.8735407812141995E-5</v>
      </c>
      <c r="AX11" s="55">
        <f>'LUC-2012-08-10-Run4'!BZ12</f>
        <v>2.8986784416274045E-5</v>
      </c>
      <c r="AY11" s="55">
        <f>'LUC-2012-08-10-Run4'!CA12</f>
        <v>2.923868910001958E-5</v>
      </c>
      <c r="AZ11" s="55">
        <f>'LUC-2012-08-10-Run4'!CB12</f>
        <v>2.9491106015792109E-5</v>
      </c>
      <c r="BA11" s="55">
        <f>'LUC-2012-08-10-Run4'!CC12</f>
        <v>2.974403013996918E-5</v>
      </c>
      <c r="BB11" s="55">
        <f>'LUC-2012-08-10-Run4'!CD12</f>
        <v>2.9997418547630894E-5</v>
      </c>
      <c r="BC11" s="55">
        <f>'LUC-2012-08-10-Run4'!CE12</f>
        <v>3.0251285972614444E-5</v>
      </c>
      <c r="BD11" s="55">
        <f>'LUC-2012-08-10-Run4'!CF12</f>
        <v>3.0505605048150061E-5</v>
      </c>
      <c r="BE11" s="55">
        <f>'LUC-2012-08-10-Run4'!CG12</f>
        <v>3.0760361503078086E-5</v>
      </c>
      <c r="BF11" s="55">
        <f>'LUC-2012-08-10-Run4'!CH12</f>
        <v>3.1015537929679432E-5</v>
      </c>
      <c r="BG11" s="55">
        <f>'LUC-2012-08-10-Run4'!CI12</f>
        <v>3.1271124426628932E-5</v>
      </c>
      <c r="BH11" s="55">
        <f>'LUC-2012-08-10-Run4'!CJ12</f>
        <v>3.152708507740859E-5</v>
      </c>
      <c r="BI11" s="55">
        <f>'LUC-2012-08-10-Run4'!CK12</f>
        <v>3.1783371020349179E-5</v>
      </c>
      <c r="BJ11" s="55">
        <f>'LUC-2012-08-10-Run4'!CL12</f>
        <v>3.2039952017257924E-5</v>
      </c>
      <c r="BK11" s="55">
        <f>'LUC-2012-08-10-Run4'!CM12</f>
        <v>3.2296747924272995E-5</v>
      </c>
      <c r="BM11" s="107"/>
      <c r="BN11" s="57" t="s">
        <v>103</v>
      </c>
      <c r="BO11" s="65">
        <f t="shared" si="6"/>
        <v>21.546611417777665</v>
      </c>
      <c r="BP11" s="65">
        <f t="shared" si="0"/>
        <v>21.418246228484335</v>
      </c>
      <c r="BQ11" s="65">
        <f t="shared" si="1"/>
        <v>22.483316961639161</v>
      </c>
      <c r="BR11" s="65">
        <f t="shared" si="2"/>
        <v>24.823070699872918</v>
      </c>
      <c r="BS11" s="65">
        <f t="shared" si="3"/>
        <v>27.238015928863177</v>
      </c>
      <c r="BT11" s="65">
        <f t="shared" si="4"/>
        <v>29.74403013996918</v>
      </c>
      <c r="BU11" s="65">
        <f t="shared" si="5"/>
        <v>32.296747924272992</v>
      </c>
    </row>
    <row r="12" spans="1:73" x14ac:dyDescent="0.25">
      <c r="A12" s="54" t="s">
        <v>71</v>
      </c>
      <c r="B12" s="54" t="s">
        <v>104</v>
      </c>
      <c r="C12" s="54" t="s">
        <v>92</v>
      </c>
      <c r="D12" s="55">
        <f>'LUC-2012-08-10-Run4'!AF14</f>
        <v>7.2579400635636128E-5</v>
      </c>
      <c r="E12" s="55">
        <f>'LUC-2012-08-10-Run4'!AG14</f>
        <v>7.2710750357848772E-5</v>
      </c>
      <c r="F12" s="55">
        <f>'LUC-2012-08-10-Run4'!AH14</f>
        <v>7.2835631481469562E-5</v>
      </c>
      <c r="G12" s="55">
        <f>'LUC-2012-08-10-Run4'!AI14</f>
        <v>7.2966844650889425E-5</v>
      </c>
      <c r="H12" s="55">
        <f>'LUC-2012-08-10-Run4'!AJ14</f>
        <v>7.3104359921105733E-5</v>
      </c>
      <c r="I12" s="55">
        <f>'LUC-2012-08-10-Run4'!AK14</f>
        <v>7.3248246864508071E-5</v>
      </c>
      <c r="J12" s="55">
        <f>'LUC-2012-08-10-Run4'!AL14</f>
        <v>7.3398754505103175E-5</v>
      </c>
      <c r="K12" s="55">
        <f>'LUC-2012-08-10-Run4'!AM14</f>
        <v>7.3555626460515322E-5</v>
      </c>
      <c r="L12" s="55">
        <f>'LUC-2012-08-10-Run4'!AN14</f>
        <v>7.3718630250443402E-5</v>
      </c>
      <c r="M12" s="55">
        <f>'LUC-2012-08-10-Run4'!AO14</f>
        <v>7.3887930394828121E-5</v>
      </c>
      <c r="N12" s="55">
        <f>'LUC-2012-08-10-Run4'!AP14</f>
        <v>7.4063048210976443E-5</v>
      </c>
      <c r="O12" s="55">
        <f>'LUC-2012-08-10-Run4'!AQ14</f>
        <v>7.4244147109695115E-5</v>
      </c>
      <c r="P12" s="55">
        <f>'LUC-2012-08-10-Run4'!AR14</f>
        <v>7.4431632375143155E-5</v>
      </c>
      <c r="Q12" s="55">
        <f>'LUC-2012-08-10-Run4'!AS14</f>
        <v>7.4625871636400709E-5</v>
      </c>
      <c r="R12" s="55">
        <f>'LUC-2012-08-10-Run4'!AT14</f>
        <v>7.4827372348252132E-5</v>
      </c>
      <c r="S12" s="55">
        <f>'LUC-2012-08-10-Run4'!AU14</f>
        <v>7.5272799341533807E-5</v>
      </c>
      <c r="T12" s="55">
        <f>'LUC-2012-08-10-Run4'!AV14</f>
        <v>7.5653421761369362E-5</v>
      </c>
      <c r="U12" s="55">
        <f>'LUC-2012-08-10-Run4'!AW14</f>
        <v>7.6040193622583865E-5</v>
      </c>
      <c r="V12" s="55">
        <f>'LUC-2012-08-10-Run4'!AX14</f>
        <v>7.6432190906052539E-5</v>
      </c>
      <c r="W12" s="55">
        <f>'LUC-2012-08-10-Run4'!AY14</f>
        <v>7.6828880354967423E-5</v>
      </c>
      <c r="X12" s="55">
        <f>'LUC-2012-08-10-Run4'!AZ14</f>
        <v>7.7229800876962352E-5</v>
      </c>
      <c r="Y12" s="55">
        <f>'LUC-2012-08-10-Run4'!BA14</f>
        <v>7.7634910652234077E-5</v>
      </c>
      <c r="Z12" s="55">
        <f>'LUC-2012-08-10-Run4'!BB14</f>
        <v>7.8043932027252886E-5</v>
      </c>
      <c r="AA12" s="55">
        <f>'LUC-2012-08-10-Run4'!BC14</f>
        <v>7.8456345254956117E-5</v>
      </c>
      <c r="AB12" s="55">
        <f>'LUC-2012-08-10-Run4'!BD14</f>
        <v>7.8871802407409408E-5</v>
      </c>
      <c r="AC12" s="55">
        <f>'LUC-2012-08-10-Run4'!BE14</f>
        <v>7.9290254340928318E-5</v>
      </c>
      <c r="AD12" s="55">
        <f>'LUC-2012-08-10-Run4'!BF14</f>
        <v>7.9711490722035377E-5</v>
      </c>
      <c r="AE12" s="55">
        <f>'LUC-2012-08-10-Run4'!BG14</f>
        <v>8.0135788621319673E-5</v>
      </c>
      <c r="AF12" s="55">
        <f>'LUC-2012-08-10-Run4'!BH14</f>
        <v>8.0562988302829418E-5</v>
      </c>
      <c r="AG12" s="55">
        <f>'LUC-2012-08-10-Run4'!BI14</f>
        <v>8.0993198348850272E-5</v>
      </c>
      <c r="AH12" s="55">
        <f>'LUC-2012-08-10-Run4'!BJ14</f>
        <v>8.1426526896724929E-5</v>
      </c>
      <c r="AI12" s="55">
        <f>'LUC-2012-08-10-Run4'!BK14</f>
        <v>8.1862876820251466E-5</v>
      </c>
      <c r="AJ12" s="55">
        <f>'LUC-2012-08-10-Run4'!BL14</f>
        <v>8.2302563022349228E-5</v>
      </c>
      <c r="AK12" s="55">
        <f>'LUC-2012-08-10-Run4'!BM14</f>
        <v>8.2745948066426073E-5</v>
      </c>
      <c r="AL12" s="55">
        <f>'LUC-2012-08-10-Run4'!BN14</f>
        <v>8.3193150536952967E-5</v>
      </c>
      <c r="AM12" s="55">
        <f>'LUC-2012-08-10-Run4'!BO14</f>
        <v>8.3644366820044867E-5</v>
      </c>
      <c r="AN12" s="55">
        <f>'LUC-2012-08-10-Run4'!BP14</f>
        <v>8.4099276794272285E-5</v>
      </c>
      <c r="AO12" s="55">
        <f>'LUC-2012-08-10-Run4'!BQ14</f>
        <v>8.4557925721439917E-5</v>
      </c>
      <c r="AP12" s="55">
        <f>'LUC-2012-08-10-Run4'!BR14</f>
        <v>8.5019750842936146E-5</v>
      </c>
      <c r="AQ12" s="55">
        <f>'LUC-2012-08-10-Run4'!BS14</f>
        <v>8.8421503654507531E-5</v>
      </c>
      <c r="AR12" s="55">
        <f>'LUC-2012-08-10-Run4'!BT14</f>
        <v>8.8842393838757668E-5</v>
      </c>
      <c r="AS12" s="55">
        <f>'LUC-2012-08-10-Run4'!BU14</f>
        <v>8.9265303631429454E-5</v>
      </c>
      <c r="AT12" s="55">
        <f>'LUC-2012-08-10-Run4'!BV14</f>
        <v>8.968966968738465E-5</v>
      </c>
      <c r="AU12" s="55">
        <f>'LUC-2012-08-10-Run4'!BW14</f>
        <v>9.0115191424142366E-5</v>
      </c>
      <c r="AV12" s="55">
        <f>'LUC-2012-08-10-Run4'!BX14</f>
        <v>9.0541413440371632E-5</v>
      </c>
      <c r="AW12" s="55">
        <f>'LUC-2012-08-10-Run4'!BY14</f>
        <v>9.0968056296699494E-5</v>
      </c>
      <c r="AX12" s="55">
        <f>'LUC-2012-08-10-Run4'!BZ14</f>
        <v>9.1395259359980312E-5</v>
      </c>
      <c r="AY12" s="55">
        <f>'LUC-2012-08-10-Run4'!CA14</f>
        <v>9.1822763544531668E-5</v>
      </c>
      <c r="AZ12" s="55">
        <f>'LUC-2012-08-10-Run4'!CB14</f>
        <v>9.2250697448126019E-5</v>
      </c>
      <c r="BA12" s="55">
        <f>'LUC-2012-08-10-Run4'!CC14</f>
        <v>9.2678861236957113E-5</v>
      </c>
      <c r="BB12" s="55">
        <f>'LUC-2012-08-10-Run4'!CD14</f>
        <v>9.3107437683878698E-5</v>
      </c>
      <c r="BC12" s="55">
        <f>'LUC-2012-08-10-Run4'!CE14</f>
        <v>9.3536262752496986E-5</v>
      </c>
      <c r="BD12" s="55">
        <f>'LUC-2012-08-10-Run4'!CF14</f>
        <v>9.3965275259047813E-5</v>
      </c>
      <c r="BE12" s="55">
        <f>'LUC-2012-08-10-Run4'!CG14</f>
        <v>9.4394518640761839E-5</v>
      </c>
      <c r="BF12" s="55">
        <f>'LUC-2012-08-10-Run4'!CH14</f>
        <v>9.4823893052683463E-5</v>
      </c>
      <c r="BG12" s="55">
        <f>'LUC-2012-08-10-Run4'!CI14</f>
        <v>9.5253528751421097E-5</v>
      </c>
      <c r="BH12" s="55">
        <f>'LUC-2012-08-10-Run4'!CJ14</f>
        <v>9.5683465522345998E-5</v>
      </c>
      <c r="BI12" s="55">
        <f>'LUC-2012-08-10-Run4'!CK14</f>
        <v>9.611397100395814E-5</v>
      </c>
      <c r="BJ12" s="55">
        <f>'LUC-2012-08-10-Run4'!CL14</f>
        <v>9.6545000653288165E-5</v>
      </c>
      <c r="BK12" s="55">
        <f>'LUC-2012-08-10-Run4'!CM14</f>
        <v>9.6976999883365017E-5</v>
      </c>
      <c r="BM12" s="105"/>
      <c r="BN12" s="58" t="s">
        <v>104</v>
      </c>
      <c r="BO12" s="66">
        <f t="shared" si="6"/>
        <v>72.579400635636134</v>
      </c>
      <c r="BP12" s="66">
        <f t="shared" si="0"/>
        <v>73.887930394828118</v>
      </c>
      <c r="BQ12" s="66">
        <f t="shared" si="1"/>
        <v>76.828880354967424</v>
      </c>
      <c r="BR12" s="66">
        <f t="shared" si="2"/>
        <v>80.993198348850271</v>
      </c>
      <c r="BS12" s="66">
        <f t="shared" si="3"/>
        <v>88.421503654507532</v>
      </c>
      <c r="BT12" s="66">
        <f t="shared" si="4"/>
        <v>92.678861236957118</v>
      </c>
      <c r="BU12" s="66">
        <f t="shared" si="5"/>
        <v>96.976999883365011</v>
      </c>
    </row>
    <row r="13" spans="1:73" x14ac:dyDescent="0.25">
      <c r="BM13" s="106" t="s">
        <v>38</v>
      </c>
      <c r="BN13" s="59" t="s">
        <v>96</v>
      </c>
      <c r="BO13" s="64">
        <f t="shared" ref="BO13:BO23" si="7">D14*1000000</f>
        <v>26.047124150016419</v>
      </c>
      <c r="BP13" s="64">
        <f t="shared" ref="BP13:BP23" si="8">M14*1000000</f>
        <v>25.027577905867933</v>
      </c>
      <c r="BQ13" s="64">
        <f t="shared" ref="BQ13:BQ23" si="9">W14*1000000</f>
        <v>24.612609299800145</v>
      </c>
      <c r="BR13" s="64">
        <f t="shared" ref="BR13:BR23" si="10">AG14*1000000</f>
        <v>24.826489976641632</v>
      </c>
      <c r="BS13" s="64">
        <f t="shared" ref="BS13:BS23" si="11">AQ14*1000000</f>
        <v>25.041135718846558</v>
      </c>
      <c r="BT13" s="64">
        <f t="shared" ref="BT13:BT23" si="12">BA14*1000000</f>
        <v>25.256549263104439</v>
      </c>
      <c r="BU13" s="64">
        <f t="shared" ref="BU13:BU23" si="13">BK14*1000000</f>
        <v>25.472733355894153</v>
      </c>
    </row>
    <row r="14" spans="1:73" x14ac:dyDescent="0.25">
      <c r="A14" s="54" t="s">
        <v>38</v>
      </c>
      <c r="B14" s="54" t="s">
        <v>96</v>
      </c>
      <c r="C14" s="54" t="s">
        <v>92</v>
      </c>
      <c r="D14" s="55">
        <f>'LUC-2012-08-10-Run4'!AF16</f>
        <v>2.6047124150016419E-5</v>
      </c>
      <c r="E14" s="55">
        <f>'LUC-2012-08-10-Run4'!AG16</f>
        <v>2.5931820509822103E-5</v>
      </c>
      <c r="F14" s="55">
        <f>'LUC-2012-08-10-Run4'!AH16</f>
        <v>2.5817027287951345E-5</v>
      </c>
      <c r="G14" s="55">
        <f>'LUC-2012-08-10-Run4'!AI16</f>
        <v>2.5702742224918969E-5</v>
      </c>
      <c r="H14" s="55">
        <f>'LUC-2012-08-10-Run4'!AJ16</f>
        <v>2.5588963071241946E-5</v>
      </c>
      <c r="I14" s="55">
        <f>'LUC-2012-08-10-Run4'!AK16</f>
        <v>2.5475687587395098E-5</v>
      </c>
      <c r="J14" s="55">
        <f>'LUC-2012-08-10-Run4'!AL16</f>
        <v>2.5362913543767027E-5</v>
      </c>
      <c r="K14" s="55">
        <f>'LUC-2012-08-10-Run4'!AM16</f>
        <v>2.5250638720616227E-5</v>
      </c>
      <c r="L14" s="55">
        <f>'LUC-2012-08-10-Run4'!AN16</f>
        <v>2.5138860908027395E-5</v>
      </c>
      <c r="M14" s="55">
        <f>'LUC-2012-08-10-Run4'!AO16</f>
        <v>2.5027577905867931E-5</v>
      </c>
      <c r="N14" s="55">
        <f>'LUC-2012-08-10-Run4'!AP16</f>
        <v>2.4916787523744632E-5</v>
      </c>
      <c r="O14" s="55">
        <f>'LUC-2012-08-10-Run4'!AQ16</f>
        <v>2.4806487580960574E-5</v>
      </c>
      <c r="P14" s="55">
        <f>'LUC-2012-08-10-Run4'!AR16</f>
        <v>2.4696675906472202E-5</v>
      </c>
      <c r="Q14" s="55">
        <f>'LUC-2012-08-10-Run4'!AS16</f>
        <v>2.4587350338846587E-5</v>
      </c>
      <c r="R14" s="55">
        <f>'LUC-2012-08-10-Run4'!AT16</f>
        <v>2.4478508726218878E-5</v>
      </c>
      <c r="S14" s="55">
        <f>'LUC-2012-08-10-Run4'!AU16</f>
        <v>2.4527270636204891E-5</v>
      </c>
      <c r="T14" s="55">
        <f>'LUC-2012-08-10-Run4'!AV16</f>
        <v>2.4548593876562171E-5</v>
      </c>
      <c r="U14" s="55">
        <f>'LUC-2012-08-10-Run4'!AW16</f>
        <v>2.4569924732133882E-5</v>
      </c>
      <c r="V14" s="55">
        <f>'LUC-2012-08-10-Run4'!AX16</f>
        <v>2.4591263205639672E-5</v>
      </c>
      <c r="W14" s="55">
        <f>'LUC-2012-08-10-Run4'!AY16</f>
        <v>2.4612609299800146E-5</v>
      </c>
      <c r="X14" s="55">
        <f>'LUC-2012-08-10-Run4'!AZ16</f>
        <v>2.4633963017336884E-5</v>
      </c>
      <c r="Y14" s="55">
        <f>'LUC-2012-08-10-Run4'!BA16</f>
        <v>2.4655324360972442E-5</v>
      </c>
      <c r="Z14" s="55">
        <f>'LUC-2012-08-10-Run4'!BB16</f>
        <v>2.467669333343034E-5</v>
      </c>
      <c r="AA14" s="55">
        <f>'LUC-2012-08-10-Run4'!BC16</f>
        <v>2.4698069937435075E-5</v>
      </c>
      <c r="AB14" s="55">
        <f>'LUC-2012-08-10-Run4'!BD16</f>
        <v>2.4719454175712123E-5</v>
      </c>
      <c r="AC14" s="55">
        <f>'LUC-2012-08-10-Run4'!BE16</f>
        <v>2.4740846050987925E-5</v>
      </c>
      <c r="AD14" s="55">
        <f>'LUC-2012-08-10-Run4'!BF16</f>
        <v>2.4762245565989893E-5</v>
      </c>
      <c r="AE14" s="55">
        <f>'LUC-2012-08-10-Run4'!BG16</f>
        <v>2.4783652723446429E-5</v>
      </c>
      <c r="AF14" s="55">
        <f>'LUC-2012-08-10-Run4'!BH16</f>
        <v>2.4805067526086899E-5</v>
      </c>
      <c r="AG14" s="55">
        <f>'LUC-2012-08-10-Run4'!BI16</f>
        <v>2.4826489976641633E-5</v>
      </c>
      <c r="AH14" s="55">
        <f>'LUC-2012-08-10-Run4'!BJ16</f>
        <v>2.4847920077841963E-5</v>
      </c>
      <c r="AI14" s="55">
        <f>'LUC-2012-08-10-Run4'!BK16</f>
        <v>2.4869357832420167E-5</v>
      </c>
      <c r="AJ14" s="55">
        <f>'LUC-2012-08-10-Run4'!BL16</f>
        <v>2.4890803243109515E-5</v>
      </c>
      <c r="AK14" s="55">
        <f>'LUC-2012-08-10-Run4'!BM16</f>
        <v>2.491225631264425E-5</v>
      </c>
      <c r="AL14" s="55">
        <f>'LUC-2012-08-10-Run4'!BN16</f>
        <v>2.49337170437596E-5</v>
      </c>
      <c r="AM14" s="55">
        <f>'LUC-2012-08-10-Run4'!BO16</f>
        <v>2.4955185439191757E-5</v>
      </c>
      <c r="AN14" s="55">
        <f>'LUC-2012-08-10-Run4'!BP16</f>
        <v>2.497666150167789E-5</v>
      </c>
      <c r="AO14" s="55">
        <f>'LUC-2012-08-10-Run4'!BQ16</f>
        <v>2.4998145233956152E-5</v>
      </c>
      <c r="AP14" s="55">
        <f>'LUC-2012-08-10-Run4'!BR16</f>
        <v>2.5019636638765671E-5</v>
      </c>
      <c r="AQ14" s="55">
        <f>'LUC-2012-08-10-Run4'!BS16</f>
        <v>2.5041135718846558E-5</v>
      </c>
      <c r="AR14" s="55">
        <f>'LUC-2012-08-10-Run4'!BT16</f>
        <v>2.5062642476939903E-5</v>
      </c>
      <c r="AS14" s="55">
        <f>'LUC-2012-08-10-Run4'!BU16</f>
        <v>2.5084156915787766E-5</v>
      </c>
      <c r="AT14" s="55">
        <f>'LUC-2012-08-10-Run4'!BV16</f>
        <v>2.5105679038133188E-5</v>
      </c>
      <c r="AU14" s="55">
        <f>'LUC-2012-08-10-Run4'!BW16</f>
        <v>2.5127208846720193E-5</v>
      </c>
      <c r="AV14" s="55">
        <f>'LUC-2012-08-10-Run4'!BX16</f>
        <v>2.5148746344293792E-5</v>
      </c>
      <c r="AW14" s="55">
        <f>'LUC-2012-08-10-Run4'!BY16</f>
        <v>2.5170291533599969E-5</v>
      </c>
      <c r="AX14" s="55">
        <f>'LUC-2012-08-10-Run4'!BZ16</f>
        <v>2.5191844417385685E-5</v>
      </c>
      <c r="AY14" s="55">
        <f>'LUC-2012-08-10-Run4'!CA16</f>
        <v>2.5213404998398886E-5</v>
      </c>
      <c r="AZ14" s="55">
        <f>'LUC-2012-08-10-Run4'!CB16</f>
        <v>2.5234973279388503E-5</v>
      </c>
      <c r="BA14" s="55">
        <f>'LUC-2012-08-10-Run4'!CC16</f>
        <v>2.5256549263104441E-5</v>
      </c>
      <c r="BB14" s="55">
        <f>'LUC-2012-08-10-Run4'!CD16</f>
        <v>2.5278132952297586E-5</v>
      </c>
      <c r="BC14" s="55">
        <f>'LUC-2012-08-10-Run4'!CE16</f>
        <v>2.5299724349719819E-5</v>
      </c>
      <c r="BD14" s="55">
        <f>'LUC-2012-08-10-Run4'!CF16</f>
        <v>2.5321323458123997E-5</v>
      </c>
      <c r="BE14" s="55">
        <f>'LUC-2012-08-10-Run4'!CG16</f>
        <v>2.5342930280263964E-5</v>
      </c>
      <c r="BF14" s="55">
        <f>'LUC-2012-08-10-Run4'!CH16</f>
        <v>2.5364544818894534E-5</v>
      </c>
      <c r="BG14" s="55">
        <f>'LUC-2012-08-10-Run4'!CI16</f>
        <v>2.5386167076771516E-5</v>
      </c>
      <c r="BH14" s="55">
        <f>'LUC-2012-08-10-Run4'!CJ16</f>
        <v>2.5407797056651697E-5</v>
      </c>
      <c r="BI14" s="55">
        <f>'LUC-2012-08-10-Run4'!CK16</f>
        <v>2.5429434761292858E-5</v>
      </c>
      <c r="BJ14" s="55">
        <f>'LUC-2012-08-10-Run4'!CL16</f>
        <v>2.5451080193453763E-5</v>
      </c>
      <c r="BK14" s="55">
        <f>'LUC-2012-08-10-Run4'!CM16</f>
        <v>2.5472733355894152E-5</v>
      </c>
      <c r="BM14" s="104"/>
      <c r="BN14" s="57" t="s">
        <v>97</v>
      </c>
      <c r="BO14" s="65">
        <f t="shared" si="7"/>
        <v>201</v>
      </c>
      <c r="BP14" s="65">
        <f t="shared" si="8"/>
        <v>201.6</v>
      </c>
      <c r="BQ14" s="65">
        <f t="shared" si="9"/>
        <v>207.40500000000009</v>
      </c>
      <c r="BR14" s="65">
        <f t="shared" si="10"/>
        <v>220.67583333333343</v>
      </c>
      <c r="BS14" s="65">
        <f t="shared" si="11"/>
        <v>233.94666666666686</v>
      </c>
      <c r="BT14" s="65">
        <f t="shared" si="12"/>
        <v>242.5216666666669</v>
      </c>
      <c r="BU14" s="65">
        <f t="shared" si="13"/>
        <v>251.09666666666683</v>
      </c>
    </row>
    <row r="15" spans="1:73" x14ac:dyDescent="0.25">
      <c r="A15" s="54" t="s">
        <v>38</v>
      </c>
      <c r="B15" s="54" t="s">
        <v>97</v>
      </c>
      <c r="C15" s="54" t="s">
        <v>92</v>
      </c>
      <c r="D15" s="55">
        <f>'LUC-2012-08-10-Run4'!AF17</f>
        <v>2.0100000000000001E-4</v>
      </c>
      <c r="E15" s="55">
        <f>'LUC-2012-08-10-Run4'!AG17</f>
        <v>2.0106666666666668E-4</v>
      </c>
      <c r="F15" s="55">
        <f>'LUC-2012-08-10-Run4'!AH17</f>
        <v>2.0113333333333333E-4</v>
      </c>
      <c r="G15" s="55">
        <f>'LUC-2012-08-10-Run4'!AI17</f>
        <v>2.0120000000000001E-4</v>
      </c>
      <c r="H15" s="55">
        <f>'LUC-2012-08-10-Run4'!AJ17</f>
        <v>2.0126666666666666E-4</v>
      </c>
      <c r="I15" s="55">
        <f>'LUC-2012-08-10-Run4'!AK17</f>
        <v>2.0133333333333334E-4</v>
      </c>
      <c r="J15" s="55">
        <f>'LUC-2012-08-10-Run4'!AL17</f>
        <v>2.0140000000000002E-4</v>
      </c>
      <c r="K15" s="55">
        <f>'LUC-2012-08-10-Run4'!AM17</f>
        <v>2.0146666666666667E-4</v>
      </c>
      <c r="L15" s="55">
        <f>'LUC-2012-08-10-Run4'!AN17</f>
        <v>2.0153333333333334E-4</v>
      </c>
      <c r="M15" s="55">
        <f>'LUC-2012-08-10-Run4'!AO17</f>
        <v>2.0159999999999999E-4</v>
      </c>
      <c r="N15" s="55">
        <f>'LUC-2012-08-10-Run4'!AP17</f>
        <v>2.0166666666666667E-4</v>
      </c>
      <c r="O15" s="55">
        <f>'LUC-2012-08-10-Run4'!AQ17</f>
        <v>2.0173333333333335E-4</v>
      </c>
      <c r="P15" s="55">
        <f>'LUC-2012-08-10-Run4'!AR17</f>
        <v>2.018E-4</v>
      </c>
      <c r="Q15" s="55">
        <f>'LUC-2012-08-10-Run4'!AS17</f>
        <v>2.0186666666666668E-4</v>
      </c>
      <c r="R15" s="55">
        <f>'LUC-2012-08-10-Run4'!AT17</f>
        <v>2.0193333333333333E-4</v>
      </c>
      <c r="S15" s="55">
        <f>'LUC-2012-08-10-Run4'!AU17</f>
        <v>2.0209666666666669E-4</v>
      </c>
      <c r="T15" s="55">
        <f>'LUC-2012-08-10-Run4'!AV17</f>
        <v>2.0342375000000006E-4</v>
      </c>
      <c r="U15" s="55">
        <f>'LUC-2012-08-10-Run4'!AW17</f>
        <v>2.0475083333333335E-4</v>
      </c>
      <c r="V15" s="55">
        <f>'LUC-2012-08-10-Run4'!AX17</f>
        <v>2.0607791666666671E-4</v>
      </c>
      <c r="W15" s="55">
        <f>'LUC-2012-08-10-Run4'!AY17</f>
        <v>2.0740500000000008E-4</v>
      </c>
      <c r="X15" s="55">
        <f>'LUC-2012-08-10-Run4'!AZ17</f>
        <v>2.0873208333333336E-4</v>
      </c>
      <c r="Y15" s="55">
        <f>'LUC-2012-08-10-Run4'!BA17</f>
        <v>2.1005916666666673E-4</v>
      </c>
      <c r="Z15" s="55">
        <f>'LUC-2012-08-10-Run4'!BB17</f>
        <v>2.113862500000001E-4</v>
      </c>
      <c r="AA15" s="55">
        <f>'LUC-2012-08-10-Run4'!BC17</f>
        <v>2.1271333333333338E-4</v>
      </c>
      <c r="AB15" s="55">
        <f>'LUC-2012-08-10-Run4'!BD17</f>
        <v>2.1404041666666675E-4</v>
      </c>
      <c r="AC15" s="55">
        <f>'LUC-2012-08-10-Run4'!BE17</f>
        <v>2.1536750000000012E-4</v>
      </c>
      <c r="AD15" s="55">
        <f>'LUC-2012-08-10-Run4'!BF17</f>
        <v>2.166945833333334E-4</v>
      </c>
      <c r="AE15" s="55">
        <f>'LUC-2012-08-10-Run4'!BG17</f>
        <v>2.1802166666666677E-4</v>
      </c>
      <c r="AF15" s="55">
        <f>'LUC-2012-08-10-Run4'!BH17</f>
        <v>2.1934875000000013E-4</v>
      </c>
      <c r="AG15" s="55">
        <f>'LUC-2012-08-10-Run4'!BI17</f>
        <v>2.2067583333333342E-4</v>
      </c>
      <c r="AH15" s="55">
        <f>'LUC-2012-08-10-Run4'!BJ17</f>
        <v>2.2200291666666679E-4</v>
      </c>
      <c r="AI15" s="55">
        <f>'LUC-2012-08-10-Run4'!BK17</f>
        <v>2.2333000000000015E-4</v>
      </c>
      <c r="AJ15" s="55">
        <f>'LUC-2012-08-10-Run4'!BL17</f>
        <v>2.2465708333333344E-4</v>
      </c>
      <c r="AK15" s="55">
        <f>'LUC-2012-08-10-Run4'!BM17</f>
        <v>2.2598416666666681E-4</v>
      </c>
      <c r="AL15" s="55">
        <f>'LUC-2012-08-10-Run4'!BN17</f>
        <v>2.2731125000000017E-4</v>
      </c>
      <c r="AM15" s="55">
        <f>'LUC-2012-08-10-Run4'!BO17</f>
        <v>2.2863833333333346E-4</v>
      </c>
      <c r="AN15" s="55">
        <f>'LUC-2012-08-10-Run4'!BP17</f>
        <v>2.2996541666666682E-4</v>
      </c>
      <c r="AO15" s="55">
        <f>'LUC-2012-08-10-Run4'!BQ17</f>
        <v>2.3129250000000019E-4</v>
      </c>
      <c r="AP15" s="55">
        <f>'LUC-2012-08-10-Run4'!BR17</f>
        <v>2.3261958333333348E-4</v>
      </c>
      <c r="AQ15" s="55">
        <f>'LUC-2012-08-10-Run4'!BS17</f>
        <v>2.3394666666666684E-4</v>
      </c>
      <c r="AR15" s="55">
        <f>'LUC-2012-08-10-Run4'!BT17</f>
        <v>2.3480416666666687E-4</v>
      </c>
      <c r="AS15" s="55">
        <f>'LUC-2012-08-10-Run4'!BU17</f>
        <v>2.3566166666666682E-4</v>
      </c>
      <c r="AT15" s="55">
        <f>'LUC-2012-08-10-Run4'!BV17</f>
        <v>2.3651916666666685E-4</v>
      </c>
      <c r="AU15" s="55">
        <f>'LUC-2012-08-10-Run4'!BW17</f>
        <v>2.3737666666666688E-4</v>
      </c>
      <c r="AV15" s="55">
        <f>'LUC-2012-08-10-Run4'!BX17</f>
        <v>2.3823416666666683E-4</v>
      </c>
      <c r="AW15" s="55">
        <f>'LUC-2012-08-10-Run4'!BY17</f>
        <v>2.3909166666666686E-4</v>
      </c>
      <c r="AX15" s="55">
        <f>'LUC-2012-08-10-Run4'!BZ17</f>
        <v>2.3994916666666689E-4</v>
      </c>
      <c r="AY15" s="55">
        <f>'LUC-2012-08-10-Run4'!CA17</f>
        <v>2.4080666666666692E-4</v>
      </c>
      <c r="AZ15" s="55">
        <f>'LUC-2012-08-10-Run4'!CB17</f>
        <v>2.4166416666666687E-4</v>
      </c>
      <c r="BA15" s="55">
        <f>'LUC-2012-08-10-Run4'!CC17</f>
        <v>2.425216666666669E-4</v>
      </c>
      <c r="BB15" s="55">
        <f>'LUC-2012-08-10-Run4'!CD17</f>
        <v>2.4337916666666693E-4</v>
      </c>
      <c r="BC15" s="55">
        <f>'LUC-2012-08-10-Run4'!CE17</f>
        <v>2.4423666666666691E-4</v>
      </c>
      <c r="BD15" s="55">
        <f>'LUC-2012-08-10-Run4'!CF17</f>
        <v>2.4509416666666691E-4</v>
      </c>
      <c r="BE15" s="55">
        <f>'LUC-2012-08-10-Run4'!CG17</f>
        <v>2.4595166666666692E-4</v>
      </c>
      <c r="BF15" s="55">
        <f>'LUC-2012-08-10-Run4'!CH17</f>
        <v>2.4680916666666692E-4</v>
      </c>
      <c r="BG15" s="55">
        <f>'LUC-2012-08-10-Run4'!CI17</f>
        <v>2.4766666666666687E-4</v>
      </c>
      <c r="BH15" s="55">
        <f>'LUC-2012-08-10-Run4'!CJ17</f>
        <v>2.4852416666666687E-4</v>
      </c>
      <c r="BI15" s="55">
        <f>'LUC-2012-08-10-Run4'!CK17</f>
        <v>2.4938166666666687E-4</v>
      </c>
      <c r="BJ15" s="55">
        <f>'LUC-2012-08-10-Run4'!CL17</f>
        <v>2.5023916666666682E-4</v>
      </c>
      <c r="BK15" s="55">
        <f>'LUC-2012-08-10-Run4'!CM17</f>
        <v>2.5109666666666683E-4</v>
      </c>
      <c r="BM15" s="104"/>
      <c r="BN15" s="57" t="s">
        <v>95</v>
      </c>
      <c r="BO15" s="65">
        <f t="shared" si="7"/>
        <v>31.090007506599417</v>
      </c>
      <c r="BP15" s="65">
        <f t="shared" si="8"/>
        <v>32.23196487380563</v>
      </c>
      <c r="BQ15" s="65">
        <f t="shared" si="9"/>
        <v>33.532021269465524</v>
      </c>
      <c r="BR15" s="65">
        <f t="shared" si="10"/>
        <v>34.347829876898324</v>
      </c>
      <c r="BS15" s="65">
        <f t="shared" si="11"/>
        <v>35.171833379861368</v>
      </c>
      <c r="BT15" s="65">
        <f t="shared" si="12"/>
        <v>36.004114097065312</v>
      </c>
      <c r="BU15" s="65">
        <f t="shared" si="13"/>
        <v>36.844755174122234</v>
      </c>
    </row>
    <row r="16" spans="1:73" x14ac:dyDescent="0.25">
      <c r="A16" s="54" t="s">
        <v>38</v>
      </c>
      <c r="B16" s="54" t="s">
        <v>95</v>
      </c>
      <c r="C16" s="54" t="s">
        <v>92</v>
      </c>
      <c r="D16" s="55">
        <f>'LUC-2012-08-10-Run4'!AF18</f>
        <v>3.1090007506599416E-5</v>
      </c>
      <c r="E16" s="55">
        <f>'LUC-2012-08-10-Run4'!AG18</f>
        <v>3.1214866974497405E-5</v>
      </c>
      <c r="F16" s="55">
        <f>'LUC-2012-08-10-Run4'!AH18</f>
        <v>3.1340227886041568E-5</v>
      </c>
      <c r="G16" s="55">
        <f>'LUC-2012-08-10-Run4'!AI18</f>
        <v>3.1466092255061819E-5</v>
      </c>
      <c r="H16" s="55">
        <f>'LUC-2012-08-10-Run4'!AJ18</f>
        <v>3.1592462103475722E-5</v>
      </c>
      <c r="I16" s="55">
        <f>'LUC-2012-08-10-Run4'!AK18</f>
        <v>3.1719339461321004E-5</v>
      </c>
      <c r="J16" s="55">
        <f>'LUC-2012-08-10-Run4'!AL18</f>
        <v>3.1846726366788155E-5</v>
      </c>
      <c r="K16" s="55">
        <f>'LUC-2012-08-10-Run4'!AM18</f>
        <v>3.1974624866253171E-5</v>
      </c>
      <c r="L16" s="55">
        <f>'LUC-2012-08-10-Run4'!AN18</f>
        <v>3.2103037014310414E-5</v>
      </c>
      <c r="M16" s="55">
        <f>'LUC-2012-08-10-Run4'!AO18</f>
        <v>3.2231964873805633E-5</v>
      </c>
      <c r="N16" s="55">
        <f>'LUC-2012-08-10-Run4'!AP18</f>
        <v>3.2361410515869112E-5</v>
      </c>
      <c r="O16" s="55">
        <f>'LUC-2012-08-10-Run4'!AQ18</f>
        <v>3.2491376019948906E-5</v>
      </c>
      <c r="P16" s="55">
        <f>'LUC-2012-08-10-Run4'!AR18</f>
        <v>3.2621863473844284E-5</v>
      </c>
      <c r="Q16" s="55">
        <f>'LUC-2012-08-10-Run4'!AS18</f>
        <v>3.2752874973739242E-5</v>
      </c>
      <c r="R16" s="55">
        <f>'LUC-2012-08-10-Run4'!AT18</f>
        <v>3.288441262423619E-5</v>
      </c>
      <c r="S16" s="55">
        <f>'LUC-2012-08-10-Run4'!AU18</f>
        <v>3.3207974113912413E-5</v>
      </c>
      <c r="T16" s="55">
        <f>'LUC-2012-08-10-Run4'!AV18</f>
        <v>3.3288864486331462E-5</v>
      </c>
      <c r="U16" s="55">
        <f>'LUC-2012-08-10-Run4'!AW18</f>
        <v>3.3369835749122934E-5</v>
      </c>
      <c r="V16" s="55">
        <f>'LUC-2012-08-10-Run4'!AX18</f>
        <v>3.3450887983177203E-5</v>
      </c>
      <c r="W16" s="55">
        <f>'LUC-2012-08-10-Run4'!AY18</f>
        <v>3.3532021269465522E-5</v>
      </c>
      <c r="X16" s="55">
        <f>'LUC-2012-08-10-Run4'!AZ18</f>
        <v>3.3613235689040128E-5</v>
      </c>
      <c r="Y16" s="55">
        <f>'LUC-2012-08-10-Run4'!BA18</f>
        <v>3.3694531323034302E-5</v>
      </c>
      <c r="Z16" s="55">
        <f>'LUC-2012-08-10-Run4'!BB18</f>
        <v>3.3775908252662486E-5</v>
      </c>
      <c r="AA16" s="55">
        <f>'LUC-2012-08-10-Run4'!BC18</f>
        <v>3.3857366559220299E-5</v>
      </c>
      <c r="AB16" s="55">
        <f>'LUC-2012-08-10-Run4'!BD18</f>
        <v>3.3938906324084656E-5</v>
      </c>
      <c r="AC16" s="55">
        <f>'LUC-2012-08-10-Run4'!BE18</f>
        <v>3.4020527628713876E-5</v>
      </c>
      <c r="AD16" s="55">
        <f>'LUC-2012-08-10-Run4'!BF18</f>
        <v>3.4102230554647727E-5</v>
      </c>
      <c r="AE16" s="55">
        <f>'LUC-2012-08-10-Run4'!BG18</f>
        <v>3.4184015183507524E-5</v>
      </c>
      <c r="AF16" s="55">
        <f>'LUC-2012-08-10-Run4'!BH18</f>
        <v>3.4265881596996182E-5</v>
      </c>
      <c r="AG16" s="55">
        <f>'LUC-2012-08-10-Run4'!BI18</f>
        <v>3.4347829876898322E-5</v>
      </c>
      <c r="AH16" s="55">
        <f>'LUC-2012-08-10-Run4'!BJ18</f>
        <v>3.4429860105080371E-5</v>
      </c>
      <c r="AI16" s="55">
        <f>'LUC-2012-08-10-Run4'!BK18</f>
        <v>3.4511972363490597E-5</v>
      </c>
      <c r="AJ16" s="55">
        <f>'LUC-2012-08-10-Run4'!BL18</f>
        <v>3.4594166734159236E-5</v>
      </c>
      <c r="AK16" s="55">
        <f>'LUC-2012-08-10-Run4'!BM18</f>
        <v>3.4676443299198535E-5</v>
      </c>
      <c r="AL16" s="55">
        <f>'LUC-2012-08-10-Run4'!BN18</f>
        <v>3.4758802140802879E-5</v>
      </c>
      <c r="AM16" s="55">
        <f>'LUC-2012-08-10-Run4'!BO18</f>
        <v>3.4841243341248831E-5</v>
      </c>
      <c r="AN16" s="55">
        <f>'LUC-2012-08-10-Run4'!BP18</f>
        <v>3.4923766982895216E-5</v>
      </c>
      <c r="AO16" s="55">
        <f>'LUC-2012-08-10-Run4'!BQ18</f>
        <v>3.5006373148183261E-5</v>
      </c>
      <c r="AP16" s="55">
        <f>'LUC-2012-08-10-Run4'!BR18</f>
        <v>3.5089061919636589E-5</v>
      </c>
      <c r="AQ16" s="55">
        <f>'LUC-2012-08-10-Run4'!BS18</f>
        <v>3.5171833379861369E-5</v>
      </c>
      <c r="AR16" s="55">
        <f>'LUC-2012-08-10-Run4'!BT18</f>
        <v>3.5254687611546367E-5</v>
      </c>
      <c r="AS16" s="55">
        <f>'LUC-2012-08-10-Run4'!BU18</f>
        <v>3.5337624697463061E-5</v>
      </c>
      <c r="AT16" s="55">
        <f>'LUC-2012-08-10-Run4'!BV18</f>
        <v>3.5420644720465657E-5</v>
      </c>
      <c r="AU16" s="55">
        <f>'LUC-2012-08-10-Run4'!BW18</f>
        <v>3.5503747763491259E-5</v>
      </c>
      <c r="AV16" s="55">
        <f>'LUC-2012-08-10-Run4'!BX18</f>
        <v>3.5586933909559896E-5</v>
      </c>
      <c r="AW16" s="55">
        <f>'LUC-2012-08-10-Run4'!BY18</f>
        <v>3.5670203241774602E-5</v>
      </c>
      <c r="AX16" s="55">
        <f>'LUC-2012-08-10-Run4'!BZ18</f>
        <v>3.575355584332152E-5</v>
      </c>
      <c r="AY16" s="55">
        <f>'LUC-2012-08-10-Run4'!CA18</f>
        <v>3.5836991797469985E-5</v>
      </c>
      <c r="AZ16" s="55">
        <f>'LUC-2012-08-10-Run4'!CB18</f>
        <v>3.5920511187572593E-5</v>
      </c>
      <c r="BA16" s="55">
        <f>'LUC-2012-08-10-Run4'!CC18</f>
        <v>3.6004114097065308E-5</v>
      </c>
      <c r="BB16" s="55">
        <f>'LUC-2012-08-10-Run4'!CD18</f>
        <v>3.6087800609467511E-5</v>
      </c>
      <c r="BC16" s="55">
        <f>'LUC-2012-08-10-Run4'!CE18</f>
        <v>3.6171570808382118E-5</v>
      </c>
      <c r="BD16" s="55">
        <f>'LUC-2012-08-10-Run4'!CF18</f>
        <v>3.6255424777495646E-5</v>
      </c>
      <c r="BE16" s="55">
        <f>'LUC-2012-08-10-Run4'!CG18</f>
        <v>3.6339362600578278E-5</v>
      </c>
      <c r="BF16" s="55">
        <f>'LUC-2012-08-10-Run4'!CH18</f>
        <v>3.6423384361484006E-5</v>
      </c>
      <c r="BG16" s="55">
        <f>'LUC-2012-08-10-Run4'!CI18</f>
        <v>3.6507490144150623E-5</v>
      </c>
      <c r="BH16" s="55">
        <f>'LUC-2012-08-10-Run4'!CJ18</f>
        <v>3.6591680032599916E-5</v>
      </c>
      <c r="BI16" s="55">
        <f>'LUC-2012-08-10-Run4'!CK18</f>
        <v>3.6675954110937653E-5</v>
      </c>
      <c r="BJ16" s="55">
        <f>'LUC-2012-08-10-Run4'!CL18</f>
        <v>3.6760312463353728E-5</v>
      </c>
      <c r="BK16" s="55">
        <f>'LUC-2012-08-10-Run4'!CM18</f>
        <v>3.6844755174122232E-5</v>
      </c>
      <c r="BM16" s="104"/>
      <c r="BN16" s="57" t="s">
        <v>98</v>
      </c>
      <c r="BO16" s="65">
        <f t="shared" si="7"/>
        <v>19.058062501626264</v>
      </c>
      <c r="BP16" s="65">
        <f t="shared" si="8"/>
        <v>22.035497545861407</v>
      </c>
      <c r="BQ16" s="65">
        <f t="shared" si="9"/>
        <v>26.520586503409294</v>
      </c>
      <c r="BR16" s="65">
        <f t="shared" si="10"/>
        <v>30.938874918665931</v>
      </c>
      <c r="BS16" s="65">
        <f t="shared" si="11"/>
        <v>35.676369952265183</v>
      </c>
      <c r="BT16" s="65">
        <f t="shared" si="12"/>
        <v>40.756133218935943</v>
      </c>
      <c r="BU16" s="65">
        <f t="shared" si="13"/>
        <v>46.202892458240804</v>
      </c>
    </row>
    <row r="17" spans="1:73" x14ac:dyDescent="0.25">
      <c r="A17" s="54" t="s">
        <v>38</v>
      </c>
      <c r="B17" s="54" t="s">
        <v>98</v>
      </c>
      <c r="C17" s="54" t="s">
        <v>92</v>
      </c>
      <c r="D17" s="55">
        <f>'LUC-2012-08-10-Run4'!AF19</f>
        <v>1.9058062501626263E-5</v>
      </c>
      <c r="E17" s="55">
        <f>'LUC-2012-08-10-Run4'!AG19</f>
        <v>1.9367949696774658E-5</v>
      </c>
      <c r="F17" s="55">
        <f>'LUC-2012-08-10-Run4'!AH19</f>
        <v>1.9682875708104327E-5</v>
      </c>
      <c r="G17" s="55">
        <f>'LUC-2012-08-10-Run4'!AI19</f>
        <v>2.0002922467585699E-5</v>
      </c>
      <c r="H17" s="55">
        <f>'LUC-2012-08-10-Run4'!AJ19</f>
        <v>2.0328173239416362E-5</v>
      </c>
      <c r="I17" s="55">
        <f>'LUC-2012-08-10-Run4'!AK19</f>
        <v>2.0658712641683296E-5</v>
      </c>
      <c r="J17" s="55">
        <f>'LUC-2012-08-10-Run4'!AL19</f>
        <v>2.0994626668377332E-5</v>
      </c>
      <c r="K17" s="55">
        <f>'LUC-2012-08-10-Run4'!AM19</f>
        <v>2.1336002711765583E-5</v>
      </c>
      <c r="L17" s="55">
        <f>'LUC-2012-08-10-Run4'!AN19</f>
        <v>2.1682929585127624E-5</v>
      </c>
      <c r="M17" s="55">
        <f>'LUC-2012-08-10-Run4'!AO19</f>
        <v>2.2035497545861405E-5</v>
      </c>
      <c r="N17" s="55">
        <f>'LUC-2012-08-10-Run4'!AP19</f>
        <v>2.2393798318964842E-5</v>
      </c>
      <c r="O17" s="55">
        <f>'LUC-2012-08-10-Run4'!AQ19</f>
        <v>2.2757925120899231E-5</v>
      </c>
      <c r="P17" s="55">
        <f>'LUC-2012-08-10-Run4'!AR19</f>
        <v>2.3127972683840682E-5</v>
      </c>
      <c r="Q17" s="55">
        <f>'LUC-2012-08-10-Run4'!AS19</f>
        <v>2.3504037280325898E-5</v>
      </c>
      <c r="R17" s="55">
        <f>'LUC-2012-08-10-Run4'!AT19</f>
        <v>2.3886216748298676E-5</v>
      </c>
      <c r="S17" s="55">
        <f>'LUC-2012-08-10-Run4'!AU19</f>
        <v>2.483778148054797E-5</v>
      </c>
      <c r="T17" s="55">
        <f>'LUC-2012-08-10-Run4'!AV19</f>
        <v>2.5254091050907037E-5</v>
      </c>
      <c r="U17" s="55">
        <f>'LUC-2012-08-10-Run4'!AW19</f>
        <v>2.5673314788258621E-5</v>
      </c>
      <c r="V17" s="55">
        <f>'LUC-2012-08-10-Run4'!AX19</f>
        <v>2.6095473091771663E-5</v>
      </c>
      <c r="W17" s="55">
        <f>'LUC-2012-08-10-Run4'!AY19</f>
        <v>2.6520586503409295E-5</v>
      </c>
      <c r="X17" s="55">
        <f>'LUC-2012-08-10-Run4'!AZ19</f>
        <v>2.6948675708928396E-5</v>
      </c>
      <c r="Y17" s="55">
        <f>'LUC-2012-08-10-Run4'!BA19</f>
        <v>2.737976153888613E-5</v>
      </c>
      <c r="Z17" s="55">
        <f>'LUC-2012-08-10-Run4'!BB19</f>
        <v>2.7813864969653563E-5</v>
      </c>
      <c r="AA17" s="55">
        <f>'LUC-2012-08-10-Run4'!BC19</f>
        <v>2.8251007124436367E-5</v>
      </c>
      <c r="AB17" s="55">
        <f>'LUC-2012-08-10-Run4'!BD19</f>
        <v>2.8691209274302657E-5</v>
      </c>
      <c r="AC17" s="55">
        <f>'LUC-2012-08-10-Run4'!BE19</f>
        <v>2.9134492839218006E-5</v>
      </c>
      <c r="AD17" s="55">
        <f>'LUC-2012-08-10-Run4'!BF19</f>
        <v>2.9580879389087765E-5</v>
      </c>
      <c r="AE17" s="55">
        <f>'LUC-2012-08-10-Run4'!BG19</f>
        <v>3.0030390644806612E-5</v>
      </c>
      <c r="AF17" s="55">
        <f>'LUC-2012-08-10-Run4'!BH19</f>
        <v>3.0483048479315491E-5</v>
      </c>
      <c r="AG17" s="55">
        <f>'LUC-2012-08-10-Run4'!BI19</f>
        <v>3.0938874918665932E-5</v>
      </c>
      <c r="AH17" s="55">
        <f>'LUC-2012-08-10-Run4'!BJ19</f>
        <v>3.1397892143091828E-5</v>
      </c>
      <c r="AI17" s="55">
        <f>'LUC-2012-08-10-Run4'!BK19</f>
        <v>3.1860122488088699E-5</v>
      </c>
      <c r="AJ17" s="55">
        <f>'LUC-2012-08-10-Run4'!BL19</f>
        <v>3.2325588445500551E-5</v>
      </c>
      <c r="AK17" s="55">
        <f>'LUC-2012-08-10-Run4'!BM19</f>
        <v>3.279431266461429E-5</v>
      </c>
      <c r="AL17" s="55">
        <f>'LUC-2012-08-10-Run4'!BN19</f>
        <v>3.3266317953261819E-5</v>
      </c>
      <c r="AM17" s="55">
        <f>'LUC-2012-08-10-Run4'!BO19</f>
        <v>3.3741627278929884E-5</v>
      </c>
      <c r="AN17" s="55">
        <f>'LUC-2012-08-10-Run4'!BP19</f>
        <v>3.4220263769877625E-5</v>
      </c>
      <c r="AO17" s="55">
        <f>'LUC-2012-08-10-Run4'!BQ19</f>
        <v>3.4702250716261995E-5</v>
      </c>
      <c r="AP17" s="55">
        <f>'LUC-2012-08-10-Run4'!BR19</f>
        <v>3.5187611571271056E-5</v>
      </c>
      <c r="AQ17" s="55">
        <f>'LUC-2012-08-10-Run4'!BS19</f>
        <v>3.5676369952265181E-5</v>
      </c>
      <c r="AR17" s="55">
        <f>'LUC-2012-08-10-Run4'!BT19</f>
        <v>3.6168549641926262E-5</v>
      </c>
      <c r="AS17" s="55">
        <f>'LUC-2012-08-10-Run4'!BU19</f>
        <v>3.6664174589414974E-5</v>
      </c>
      <c r="AT17" s="55">
        <f>'LUC-2012-08-10-Run4'!BV19</f>
        <v>3.7163268911536108E-5</v>
      </c>
      <c r="AU17" s="55">
        <f>'LUC-2012-08-10-Run4'!BW19</f>
        <v>3.7665856893912095E-5</v>
      </c>
      <c r="AV17" s="55">
        <f>'LUC-2012-08-10-Run4'!BX19</f>
        <v>3.8171962992164707E-5</v>
      </c>
      <c r="AW17" s="55">
        <f>'LUC-2012-08-10-Run4'!BY19</f>
        <v>3.8681611833105085E-5</v>
      </c>
      <c r="AX17" s="55">
        <f>'LUC-2012-08-10-Run4'!BZ19</f>
        <v>3.9194828215932059E-5</v>
      </c>
      <c r="AY17" s="55">
        <f>'LUC-2012-08-10-Run4'!CA19</f>
        <v>3.9711637113438815E-5</v>
      </c>
      <c r="AZ17" s="55">
        <f>'LUC-2012-08-10-Run4'!CB19</f>
        <v>4.0232063673228111E-5</v>
      </c>
      <c r="BA17" s="55">
        <f>'LUC-2012-08-10-Run4'!CC19</f>
        <v>4.0756133218935944E-5</v>
      </c>
      <c r="BB17" s="55">
        <f>'LUC-2012-08-10-Run4'!CD19</f>
        <v>4.128387125146372E-5</v>
      </c>
      <c r="BC17" s="55">
        <f>'LUC-2012-08-10-Run4'!CE19</f>
        <v>4.1815303450219195E-5</v>
      </c>
      <c r="BD17" s="55">
        <f>'LUC-2012-08-10-Run4'!CF19</f>
        <v>4.2350455674365956E-5</v>
      </c>
      <c r="BE17" s="55">
        <f>'LUC-2012-08-10-Run4'!CG19</f>
        <v>4.2889353964081748E-5</v>
      </c>
      <c r="BF17" s="55">
        <f>'LUC-2012-08-10-Run4'!CH19</f>
        <v>4.3432024541825556E-5</v>
      </c>
      <c r="BG17" s="55">
        <f>'LUC-2012-08-10-Run4'!CI19</f>
        <v>4.397849381361356E-5</v>
      </c>
      <c r="BH17" s="55">
        <f>'LUC-2012-08-10-Run4'!CJ19</f>
        <v>4.4528788370304082E-5</v>
      </c>
      <c r="BI17" s="55">
        <f>'LUC-2012-08-10-Run4'!CK19</f>
        <v>4.5082934988891445E-5</v>
      </c>
      <c r="BJ17" s="55">
        <f>'LUC-2012-08-10-Run4'!CL19</f>
        <v>4.5640960633808913E-5</v>
      </c>
      <c r="BK17" s="55">
        <f>'LUC-2012-08-10-Run4'!CM19</f>
        <v>4.6202892458240802E-5</v>
      </c>
      <c r="BM17" s="104"/>
      <c r="BN17" s="57" t="s">
        <v>99</v>
      </c>
      <c r="BO17" s="65">
        <f t="shared" si="7"/>
        <v>37.310549777117387</v>
      </c>
      <c r="BP17" s="65">
        <f t="shared" si="8"/>
        <v>38.001485884101037</v>
      </c>
      <c r="BQ17" s="65">
        <f t="shared" si="9"/>
        <v>40.807993113849527</v>
      </c>
      <c r="BR17" s="65">
        <f t="shared" si="10"/>
        <v>46.394407300157347</v>
      </c>
      <c r="BS17" s="65">
        <f t="shared" si="11"/>
        <v>51.980821486465189</v>
      </c>
      <c r="BT17" s="65">
        <f t="shared" si="12"/>
        <v>51.980821486465189</v>
      </c>
      <c r="BU17" s="65">
        <f t="shared" si="13"/>
        <v>51.980821486465189</v>
      </c>
    </row>
    <row r="18" spans="1:73" x14ac:dyDescent="0.25">
      <c r="A18" s="54" t="s">
        <v>38</v>
      </c>
      <c r="B18" s="54" t="s">
        <v>99</v>
      </c>
      <c r="C18" s="54" t="s">
        <v>92</v>
      </c>
      <c r="D18" s="55">
        <f>'LUC-2012-08-10-Run4'!AF21</f>
        <v>3.7310549777117386E-5</v>
      </c>
      <c r="E18" s="55">
        <f>'LUC-2012-08-10-Run4'!AG21</f>
        <v>3.7387320455671127E-5</v>
      </c>
      <c r="F18" s="55">
        <f>'LUC-2012-08-10-Run4'!AH21</f>
        <v>3.7464091134224867E-5</v>
      </c>
      <c r="G18" s="55">
        <f>'LUC-2012-08-10-Run4'!AI21</f>
        <v>3.7540861812778601E-5</v>
      </c>
      <c r="H18" s="55">
        <f>'LUC-2012-08-10-Run4'!AJ21</f>
        <v>3.7617632491332342E-5</v>
      </c>
      <c r="I18" s="55">
        <f>'LUC-2012-08-10-Run4'!AK21</f>
        <v>3.7694403169886082E-5</v>
      </c>
      <c r="J18" s="55">
        <f>'LUC-2012-08-10-Run4'!AL21</f>
        <v>3.7771173848439823E-5</v>
      </c>
      <c r="K18" s="55">
        <f>'LUC-2012-08-10-Run4'!AM21</f>
        <v>3.7847944526993563E-5</v>
      </c>
      <c r="L18" s="55">
        <f>'LUC-2012-08-10-Run4'!AN21</f>
        <v>3.7924715205547297E-5</v>
      </c>
      <c r="M18" s="55">
        <f>'LUC-2012-08-10-Run4'!AO21</f>
        <v>3.8001485884101038E-5</v>
      </c>
      <c r="N18" s="55">
        <f>'LUC-2012-08-10-Run4'!AP21</f>
        <v>3.8078256562654778E-5</v>
      </c>
      <c r="O18" s="55">
        <f>'LUC-2012-08-10-Run4'!AQ21</f>
        <v>3.8155027241208519E-5</v>
      </c>
      <c r="P18" s="55">
        <f>'LUC-2012-08-10-Run4'!AR21</f>
        <v>3.823179791976226E-5</v>
      </c>
      <c r="Q18" s="55">
        <f>'LUC-2012-08-10-Run4'!AS21</f>
        <v>3.8308568598315993E-5</v>
      </c>
      <c r="R18" s="55">
        <f>'LUC-2012-08-10-Run4'!AT21</f>
        <v>3.8385339276869734E-5</v>
      </c>
      <c r="S18" s="55">
        <f>'LUC-2012-08-10-Run4'!AU21</f>
        <v>3.8573427439326397E-5</v>
      </c>
      <c r="T18" s="55">
        <f>'LUC-2012-08-10-Run4'!AV21</f>
        <v>3.9132068857957175E-5</v>
      </c>
      <c r="U18" s="55">
        <f>'LUC-2012-08-10-Run4'!AW21</f>
        <v>3.9690710276587974E-5</v>
      </c>
      <c r="V18" s="55">
        <f>'LUC-2012-08-10-Run4'!AX21</f>
        <v>4.0249351695218752E-5</v>
      </c>
      <c r="W18" s="55">
        <f>'LUC-2012-08-10-Run4'!AY21</f>
        <v>4.080799311384953E-5</v>
      </c>
      <c r="X18" s="55">
        <f>'LUC-2012-08-10-Run4'!AZ21</f>
        <v>4.1366634532480307E-5</v>
      </c>
      <c r="Y18" s="55">
        <f>'LUC-2012-08-10-Run4'!BA21</f>
        <v>4.1925275951111085E-5</v>
      </c>
      <c r="Z18" s="55">
        <f>'LUC-2012-08-10-Run4'!BB21</f>
        <v>4.2483917369741884E-5</v>
      </c>
      <c r="AA18" s="55">
        <f>'LUC-2012-08-10-Run4'!BC21</f>
        <v>4.3042558788372662E-5</v>
      </c>
      <c r="AB18" s="55">
        <f>'LUC-2012-08-10-Run4'!BD21</f>
        <v>4.360120020700344E-5</v>
      </c>
      <c r="AC18" s="55">
        <f>'LUC-2012-08-10-Run4'!BE21</f>
        <v>4.4159841625634238E-5</v>
      </c>
      <c r="AD18" s="55">
        <f>'LUC-2012-08-10-Run4'!BF21</f>
        <v>4.4718483044265016E-5</v>
      </c>
      <c r="AE18" s="55">
        <f>'LUC-2012-08-10-Run4'!BG21</f>
        <v>4.5277124462895794E-5</v>
      </c>
      <c r="AF18" s="55">
        <f>'LUC-2012-08-10-Run4'!BH21</f>
        <v>4.5835765881526572E-5</v>
      </c>
      <c r="AG18" s="55">
        <f>'LUC-2012-08-10-Run4'!BI21</f>
        <v>4.639440730015735E-5</v>
      </c>
      <c r="AH18" s="55">
        <f>'LUC-2012-08-10-Run4'!BJ21</f>
        <v>4.6953048718788148E-5</v>
      </c>
      <c r="AI18" s="55">
        <f>'LUC-2012-08-10-Run4'!BK21</f>
        <v>4.7511690137418926E-5</v>
      </c>
      <c r="AJ18" s="55">
        <f>'LUC-2012-08-10-Run4'!BL21</f>
        <v>4.8070331556049704E-5</v>
      </c>
      <c r="AK18" s="55">
        <f>'LUC-2012-08-10-Run4'!BM21</f>
        <v>4.8628972974680502E-5</v>
      </c>
      <c r="AL18" s="55">
        <f>'LUC-2012-08-10-Run4'!BN21</f>
        <v>4.918761439331128E-5</v>
      </c>
      <c r="AM18" s="55">
        <f>'LUC-2012-08-10-Run4'!BO21</f>
        <v>4.9746255811942058E-5</v>
      </c>
      <c r="AN18" s="55">
        <f>'LUC-2012-08-10-Run4'!BP21</f>
        <v>5.0304897230572836E-5</v>
      </c>
      <c r="AO18" s="55">
        <f>'LUC-2012-08-10-Run4'!BQ21</f>
        <v>5.0863538649203614E-5</v>
      </c>
      <c r="AP18" s="55">
        <f>'LUC-2012-08-10-Run4'!BR21</f>
        <v>5.1422180067834412E-5</v>
      </c>
      <c r="AQ18" s="55">
        <f>'LUC-2012-08-10-Run4'!BS21</f>
        <v>5.198082148646519E-5</v>
      </c>
      <c r="AR18" s="55">
        <f>'LUC-2012-08-10-Run4'!BT21</f>
        <v>5.198082148646519E-5</v>
      </c>
      <c r="AS18" s="55">
        <f>'LUC-2012-08-10-Run4'!BU21</f>
        <v>5.198082148646519E-5</v>
      </c>
      <c r="AT18" s="55">
        <f>'LUC-2012-08-10-Run4'!BV21</f>
        <v>5.198082148646519E-5</v>
      </c>
      <c r="AU18" s="55">
        <f>'LUC-2012-08-10-Run4'!BW21</f>
        <v>5.198082148646519E-5</v>
      </c>
      <c r="AV18" s="55">
        <f>'LUC-2012-08-10-Run4'!BX21</f>
        <v>5.198082148646519E-5</v>
      </c>
      <c r="AW18" s="55">
        <f>'LUC-2012-08-10-Run4'!BY21</f>
        <v>5.198082148646519E-5</v>
      </c>
      <c r="AX18" s="55">
        <f>'LUC-2012-08-10-Run4'!BZ21</f>
        <v>5.198082148646519E-5</v>
      </c>
      <c r="AY18" s="55">
        <f>'LUC-2012-08-10-Run4'!CA21</f>
        <v>5.198082148646519E-5</v>
      </c>
      <c r="AZ18" s="55">
        <f>'LUC-2012-08-10-Run4'!CB21</f>
        <v>5.198082148646519E-5</v>
      </c>
      <c r="BA18" s="55">
        <f>'LUC-2012-08-10-Run4'!CC21</f>
        <v>5.198082148646519E-5</v>
      </c>
      <c r="BB18" s="55">
        <f>'LUC-2012-08-10-Run4'!CD21</f>
        <v>5.198082148646519E-5</v>
      </c>
      <c r="BC18" s="55">
        <f>'LUC-2012-08-10-Run4'!CE21</f>
        <v>5.198082148646519E-5</v>
      </c>
      <c r="BD18" s="55">
        <f>'LUC-2012-08-10-Run4'!CF21</f>
        <v>5.198082148646519E-5</v>
      </c>
      <c r="BE18" s="55">
        <f>'LUC-2012-08-10-Run4'!CG21</f>
        <v>5.198082148646519E-5</v>
      </c>
      <c r="BF18" s="55">
        <f>'LUC-2012-08-10-Run4'!CH21</f>
        <v>5.198082148646519E-5</v>
      </c>
      <c r="BG18" s="55">
        <f>'LUC-2012-08-10-Run4'!CI21</f>
        <v>5.198082148646519E-5</v>
      </c>
      <c r="BH18" s="55">
        <f>'LUC-2012-08-10-Run4'!CJ21</f>
        <v>5.198082148646519E-5</v>
      </c>
      <c r="BI18" s="55">
        <f>'LUC-2012-08-10-Run4'!CK21</f>
        <v>5.198082148646519E-5</v>
      </c>
      <c r="BJ18" s="55">
        <f>'LUC-2012-08-10-Run4'!CL21</f>
        <v>5.198082148646519E-5</v>
      </c>
      <c r="BK18" s="55">
        <f>'LUC-2012-08-10-Run4'!CM21</f>
        <v>5.198082148646519E-5</v>
      </c>
      <c r="BM18" s="104"/>
      <c r="BN18" s="57" t="s">
        <v>100</v>
      </c>
      <c r="BO18" s="65">
        <f t="shared" si="7"/>
        <v>53.438335809806837</v>
      </c>
      <c r="BP18" s="65">
        <f t="shared" si="8"/>
        <v>54.427934621099553</v>
      </c>
      <c r="BQ18" s="65">
        <f t="shared" si="9"/>
        <v>55.557054097938625</v>
      </c>
      <c r="BR18" s="65">
        <f t="shared" si="10"/>
        <v>56.331933027777737</v>
      </c>
      <c r="BS18" s="65">
        <f t="shared" si="11"/>
        <v>57.106811957616856</v>
      </c>
      <c r="BT18" s="65">
        <f t="shared" si="12"/>
        <v>57.106811957616856</v>
      </c>
      <c r="BU18" s="65">
        <f t="shared" si="13"/>
        <v>57.106811957616856</v>
      </c>
    </row>
    <row r="19" spans="1:73" x14ac:dyDescent="0.25">
      <c r="A19" s="54" t="s">
        <v>38</v>
      </c>
      <c r="B19" s="54" t="s">
        <v>100</v>
      </c>
      <c r="C19" s="54" t="s">
        <v>92</v>
      </c>
      <c r="D19" s="55">
        <f>'LUC-2012-08-10-Run4'!AF22</f>
        <v>5.3438335809806834E-5</v>
      </c>
      <c r="E19" s="55">
        <f>'LUC-2012-08-10-Run4'!AG22</f>
        <v>5.3548291233283803E-5</v>
      </c>
      <c r="F19" s="55">
        <f>'LUC-2012-08-10-Run4'!AH22</f>
        <v>5.3658246656760772E-5</v>
      </c>
      <c r="G19" s="55">
        <f>'LUC-2012-08-10-Run4'!AI22</f>
        <v>5.3768202080237741E-5</v>
      </c>
      <c r="H19" s="55">
        <f>'LUC-2012-08-10-Run4'!AJ22</f>
        <v>5.3878157503714709E-5</v>
      </c>
      <c r="I19" s="55">
        <f>'LUC-2012-08-10-Run4'!AK22</f>
        <v>5.3988112927191678E-5</v>
      </c>
      <c r="J19" s="55">
        <f>'LUC-2012-08-10-Run4'!AL22</f>
        <v>5.4098068350668647E-5</v>
      </c>
      <c r="K19" s="55">
        <f>'LUC-2012-08-10-Run4'!AM22</f>
        <v>5.4208023774145616E-5</v>
      </c>
      <c r="L19" s="55">
        <f>'LUC-2012-08-10-Run4'!AN22</f>
        <v>5.4317979197622585E-5</v>
      </c>
      <c r="M19" s="55">
        <f>'LUC-2012-08-10-Run4'!AO22</f>
        <v>5.4427934621099554E-5</v>
      </c>
      <c r="N19" s="55">
        <f>'LUC-2012-08-10-Run4'!AP22</f>
        <v>5.4537890044576523E-5</v>
      </c>
      <c r="O19" s="55">
        <f>'LUC-2012-08-10-Run4'!AQ22</f>
        <v>5.4647845468053492E-5</v>
      </c>
      <c r="P19" s="55">
        <f>'LUC-2012-08-10-Run4'!AR22</f>
        <v>5.4757800891530461E-5</v>
      </c>
      <c r="Q19" s="55">
        <f>'LUC-2012-08-10-Run4'!AS22</f>
        <v>5.4867756315007429E-5</v>
      </c>
      <c r="R19" s="55">
        <f>'LUC-2012-08-10-Run4'!AT22</f>
        <v>5.4977711738484398E-5</v>
      </c>
      <c r="S19" s="55">
        <f>'LUC-2012-08-10-Run4'!AU22</f>
        <v>5.5247102526002975E-5</v>
      </c>
      <c r="T19" s="55">
        <f>'LUC-2012-08-10-Run4'!AV22</f>
        <v>5.5324590418986889E-5</v>
      </c>
      <c r="U19" s="55">
        <f>'LUC-2012-08-10-Run4'!AW22</f>
        <v>5.5402078311970795E-5</v>
      </c>
      <c r="V19" s="55">
        <f>'LUC-2012-08-10-Run4'!AX22</f>
        <v>5.5479566204954709E-5</v>
      </c>
      <c r="W19" s="55">
        <f>'LUC-2012-08-10-Run4'!AY22</f>
        <v>5.5557054097938623E-5</v>
      </c>
      <c r="X19" s="55">
        <f>'LUC-2012-08-10-Run4'!AZ22</f>
        <v>5.5634541990922537E-5</v>
      </c>
      <c r="Y19" s="55">
        <f>'LUC-2012-08-10-Run4'!BA22</f>
        <v>5.5712029883906443E-5</v>
      </c>
      <c r="Z19" s="55">
        <f>'LUC-2012-08-10-Run4'!BB22</f>
        <v>5.5789517776890357E-5</v>
      </c>
      <c r="AA19" s="55">
        <f>'LUC-2012-08-10-Run4'!BC22</f>
        <v>5.5867005669874271E-5</v>
      </c>
      <c r="AB19" s="55">
        <f>'LUC-2012-08-10-Run4'!BD22</f>
        <v>5.5944493562858178E-5</v>
      </c>
      <c r="AC19" s="55">
        <f>'LUC-2012-08-10-Run4'!BE22</f>
        <v>5.6021981455842091E-5</v>
      </c>
      <c r="AD19" s="55">
        <f>'LUC-2012-08-10-Run4'!BF22</f>
        <v>5.6099469348826005E-5</v>
      </c>
      <c r="AE19" s="55">
        <f>'LUC-2012-08-10-Run4'!BG22</f>
        <v>5.6176957241809919E-5</v>
      </c>
      <c r="AF19" s="55">
        <f>'LUC-2012-08-10-Run4'!BH22</f>
        <v>5.6254445134793826E-5</v>
      </c>
      <c r="AG19" s="55">
        <f>'LUC-2012-08-10-Run4'!BI22</f>
        <v>5.633193302777774E-5</v>
      </c>
      <c r="AH19" s="55">
        <f>'LUC-2012-08-10-Run4'!BJ22</f>
        <v>5.6409420920761653E-5</v>
      </c>
      <c r="AI19" s="55">
        <f>'LUC-2012-08-10-Run4'!BK22</f>
        <v>5.648690881374556E-5</v>
      </c>
      <c r="AJ19" s="55">
        <f>'LUC-2012-08-10-Run4'!BL22</f>
        <v>5.6564396706729474E-5</v>
      </c>
      <c r="AK19" s="55">
        <f>'LUC-2012-08-10-Run4'!BM22</f>
        <v>5.6641884599713388E-5</v>
      </c>
      <c r="AL19" s="55">
        <f>'LUC-2012-08-10-Run4'!BN22</f>
        <v>5.6719372492697294E-5</v>
      </c>
      <c r="AM19" s="55">
        <f>'LUC-2012-08-10-Run4'!BO22</f>
        <v>5.6796860385681208E-5</v>
      </c>
      <c r="AN19" s="55">
        <f>'LUC-2012-08-10-Run4'!BP22</f>
        <v>5.6874348278665122E-5</v>
      </c>
      <c r="AO19" s="55">
        <f>'LUC-2012-08-10-Run4'!BQ22</f>
        <v>5.6951836171649036E-5</v>
      </c>
      <c r="AP19" s="55">
        <f>'LUC-2012-08-10-Run4'!BR22</f>
        <v>5.7029324064632942E-5</v>
      </c>
      <c r="AQ19" s="55">
        <f>'LUC-2012-08-10-Run4'!BS22</f>
        <v>5.7106811957616856E-5</v>
      </c>
      <c r="AR19" s="55">
        <f>'LUC-2012-08-10-Run4'!BT22</f>
        <v>5.7106811957616856E-5</v>
      </c>
      <c r="AS19" s="55">
        <f>'LUC-2012-08-10-Run4'!BU22</f>
        <v>5.7106811957616856E-5</v>
      </c>
      <c r="AT19" s="55">
        <f>'LUC-2012-08-10-Run4'!BV22</f>
        <v>5.7106811957616856E-5</v>
      </c>
      <c r="AU19" s="55">
        <f>'LUC-2012-08-10-Run4'!BW22</f>
        <v>5.7106811957616856E-5</v>
      </c>
      <c r="AV19" s="55">
        <f>'LUC-2012-08-10-Run4'!BX22</f>
        <v>5.7106811957616856E-5</v>
      </c>
      <c r="AW19" s="55">
        <f>'LUC-2012-08-10-Run4'!BY22</f>
        <v>5.7106811957616856E-5</v>
      </c>
      <c r="AX19" s="55">
        <f>'LUC-2012-08-10-Run4'!BZ22</f>
        <v>5.7106811957616856E-5</v>
      </c>
      <c r="AY19" s="55">
        <f>'LUC-2012-08-10-Run4'!CA22</f>
        <v>5.7106811957616856E-5</v>
      </c>
      <c r="AZ19" s="55">
        <f>'LUC-2012-08-10-Run4'!CB22</f>
        <v>5.7106811957616856E-5</v>
      </c>
      <c r="BA19" s="55">
        <f>'LUC-2012-08-10-Run4'!CC22</f>
        <v>5.7106811957616856E-5</v>
      </c>
      <c r="BB19" s="55">
        <f>'LUC-2012-08-10-Run4'!CD22</f>
        <v>5.7106811957616856E-5</v>
      </c>
      <c r="BC19" s="55">
        <f>'LUC-2012-08-10-Run4'!CE22</f>
        <v>5.7106811957616856E-5</v>
      </c>
      <c r="BD19" s="55">
        <f>'LUC-2012-08-10-Run4'!CF22</f>
        <v>5.7106811957616856E-5</v>
      </c>
      <c r="BE19" s="55">
        <f>'LUC-2012-08-10-Run4'!CG22</f>
        <v>5.7106811957616856E-5</v>
      </c>
      <c r="BF19" s="55">
        <f>'LUC-2012-08-10-Run4'!CH22</f>
        <v>5.7106811957616856E-5</v>
      </c>
      <c r="BG19" s="55">
        <f>'LUC-2012-08-10-Run4'!CI22</f>
        <v>5.7106811957616856E-5</v>
      </c>
      <c r="BH19" s="55">
        <f>'LUC-2012-08-10-Run4'!CJ22</f>
        <v>5.7106811957616856E-5</v>
      </c>
      <c r="BI19" s="55">
        <f>'LUC-2012-08-10-Run4'!CK22</f>
        <v>5.7106811957616856E-5</v>
      </c>
      <c r="BJ19" s="55">
        <f>'LUC-2012-08-10-Run4'!CL22</f>
        <v>5.7106811957616856E-5</v>
      </c>
      <c r="BK19" s="55">
        <f>'LUC-2012-08-10-Run4'!CM22</f>
        <v>5.7106811957616856E-5</v>
      </c>
      <c r="BM19" s="104"/>
      <c r="BN19" s="57" t="s">
        <v>101</v>
      </c>
      <c r="BO19" s="65">
        <f t="shared" si="7"/>
        <v>38.032689450222882</v>
      </c>
      <c r="BP19" s="65">
        <f t="shared" si="8"/>
        <v>38.736998514115896</v>
      </c>
      <c r="BQ19" s="65">
        <f t="shared" si="9"/>
        <v>39.627826304946105</v>
      </c>
      <c r="BR19" s="65">
        <f t="shared" si="10"/>
        <v>40.397367302576363</v>
      </c>
      <c r="BS19" s="65">
        <f t="shared" si="11"/>
        <v>41.166908300206622</v>
      </c>
      <c r="BT19" s="65">
        <f t="shared" si="12"/>
        <v>41.166908300206622</v>
      </c>
      <c r="BU19" s="65">
        <f t="shared" si="13"/>
        <v>41.166908300206622</v>
      </c>
    </row>
    <row r="20" spans="1:73" x14ac:dyDescent="0.25">
      <c r="A20" s="54" t="s">
        <v>38</v>
      </c>
      <c r="B20" s="54" t="s">
        <v>101</v>
      </c>
      <c r="C20" s="54" t="s">
        <v>92</v>
      </c>
      <c r="D20" s="55">
        <f>'LUC-2012-08-10-Run4'!AF23</f>
        <v>3.8032689450222883E-5</v>
      </c>
      <c r="E20" s="55">
        <f>'LUC-2012-08-10-Run4'!AG23</f>
        <v>3.8110946012877659E-5</v>
      </c>
      <c r="F20" s="55">
        <f>'LUC-2012-08-10-Run4'!AH23</f>
        <v>3.8189202575532442E-5</v>
      </c>
      <c r="G20" s="55">
        <f>'LUC-2012-08-10-Run4'!AI23</f>
        <v>3.8267459138187219E-5</v>
      </c>
      <c r="H20" s="55">
        <f>'LUC-2012-08-10-Run4'!AJ23</f>
        <v>3.8345715700842002E-5</v>
      </c>
      <c r="I20" s="55">
        <f>'LUC-2012-08-10-Run4'!AK23</f>
        <v>3.8423972263496778E-5</v>
      </c>
      <c r="J20" s="55">
        <f>'LUC-2012-08-10-Run4'!AL23</f>
        <v>3.8502228826151561E-5</v>
      </c>
      <c r="K20" s="55">
        <f>'LUC-2012-08-10-Run4'!AM23</f>
        <v>3.8580485388806337E-5</v>
      </c>
      <c r="L20" s="55">
        <f>'LUC-2012-08-10-Run4'!AN23</f>
        <v>3.865874195146112E-5</v>
      </c>
      <c r="M20" s="55">
        <f>'LUC-2012-08-10-Run4'!AO23</f>
        <v>3.8736998514115897E-5</v>
      </c>
      <c r="N20" s="55">
        <f>'LUC-2012-08-10-Run4'!AP23</f>
        <v>3.881525507677068E-5</v>
      </c>
      <c r="O20" s="55">
        <f>'LUC-2012-08-10-Run4'!AQ23</f>
        <v>3.8893511639425456E-5</v>
      </c>
      <c r="P20" s="55">
        <f>'LUC-2012-08-10-Run4'!AR23</f>
        <v>3.8971768202080239E-5</v>
      </c>
      <c r="Q20" s="55">
        <f>'LUC-2012-08-10-Run4'!AS23</f>
        <v>3.9050024764735016E-5</v>
      </c>
      <c r="R20" s="55">
        <f>'LUC-2012-08-10-Run4'!AT23</f>
        <v>3.9128281327389799E-5</v>
      </c>
      <c r="S20" s="55">
        <f>'LUC-2012-08-10-Run4'!AU23</f>
        <v>3.9320009905894E-5</v>
      </c>
      <c r="T20" s="55">
        <f>'LUC-2012-08-10-Run4'!AV23</f>
        <v>3.9396964005657025E-5</v>
      </c>
      <c r="U20" s="55">
        <f>'LUC-2012-08-10-Run4'!AW23</f>
        <v>3.9473918105420051E-5</v>
      </c>
      <c r="V20" s="55">
        <f>'LUC-2012-08-10-Run4'!AX23</f>
        <v>3.9550872205183077E-5</v>
      </c>
      <c r="W20" s="55">
        <f>'LUC-2012-08-10-Run4'!AY23</f>
        <v>3.9627826304946103E-5</v>
      </c>
      <c r="X20" s="55">
        <f>'LUC-2012-08-10-Run4'!AZ23</f>
        <v>3.9704780404709129E-5</v>
      </c>
      <c r="Y20" s="55">
        <f>'LUC-2012-08-10-Run4'!BA23</f>
        <v>3.9781734504472154E-5</v>
      </c>
      <c r="Z20" s="55">
        <f>'LUC-2012-08-10-Run4'!BB23</f>
        <v>3.985868860423518E-5</v>
      </c>
      <c r="AA20" s="55">
        <f>'LUC-2012-08-10-Run4'!BC23</f>
        <v>3.9935642703998206E-5</v>
      </c>
      <c r="AB20" s="55">
        <f>'LUC-2012-08-10-Run4'!BD23</f>
        <v>4.0012596803761232E-5</v>
      </c>
      <c r="AC20" s="55">
        <f>'LUC-2012-08-10-Run4'!BE23</f>
        <v>4.0089550903524258E-5</v>
      </c>
      <c r="AD20" s="55">
        <f>'LUC-2012-08-10-Run4'!BF23</f>
        <v>4.0166505003287283E-5</v>
      </c>
      <c r="AE20" s="55">
        <f>'LUC-2012-08-10-Run4'!BG23</f>
        <v>4.0243459103050309E-5</v>
      </c>
      <c r="AF20" s="55">
        <f>'LUC-2012-08-10-Run4'!BH23</f>
        <v>4.0320413202813335E-5</v>
      </c>
      <c r="AG20" s="55">
        <f>'LUC-2012-08-10-Run4'!BI23</f>
        <v>4.0397367302576361E-5</v>
      </c>
      <c r="AH20" s="55">
        <f>'LUC-2012-08-10-Run4'!BJ23</f>
        <v>4.0474321402339387E-5</v>
      </c>
      <c r="AI20" s="55">
        <f>'LUC-2012-08-10-Run4'!BK23</f>
        <v>4.0551275502102413E-5</v>
      </c>
      <c r="AJ20" s="55">
        <f>'LUC-2012-08-10-Run4'!BL23</f>
        <v>4.0628229601865438E-5</v>
      </c>
      <c r="AK20" s="55">
        <f>'LUC-2012-08-10-Run4'!BM23</f>
        <v>4.0705183701628464E-5</v>
      </c>
      <c r="AL20" s="55">
        <f>'LUC-2012-08-10-Run4'!BN23</f>
        <v>4.078213780139149E-5</v>
      </c>
      <c r="AM20" s="55">
        <f>'LUC-2012-08-10-Run4'!BO23</f>
        <v>4.0859091901154516E-5</v>
      </c>
      <c r="AN20" s="55">
        <f>'LUC-2012-08-10-Run4'!BP23</f>
        <v>4.0936046000917542E-5</v>
      </c>
      <c r="AO20" s="55">
        <f>'LUC-2012-08-10-Run4'!BQ23</f>
        <v>4.1013000100680567E-5</v>
      </c>
      <c r="AP20" s="55">
        <f>'LUC-2012-08-10-Run4'!BR23</f>
        <v>4.1089954200443593E-5</v>
      </c>
      <c r="AQ20" s="55">
        <f>'LUC-2012-08-10-Run4'!BS23</f>
        <v>4.1166908300206619E-5</v>
      </c>
      <c r="AR20" s="55">
        <f>'LUC-2012-08-10-Run4'!BT23</f>
        <v>4.1166908300206619E-5</v>
      </c>
      <c r="AS20" s="55">
        <f>'LUC-2012-08-10-Run4'!BU23</f>
        <v>4.1166908300206619E-5</v>
      </c>
      <c r="AT20" s="55">
        <f>'LUC-2012-08-10-Run4'!BV23</f>
        <v>4.1166908300206619E-5</v>
      </c>
      <c r="AU20" s="55">
        <f>'LUC-2012-08-10-Run4'!BW23</f>
        <v>4.1166908300206619E-5</v>
      </c>
      <c r="AV20" s="55">
        <f>'LUC-2012-08-10-Run4'!BX23</f>
        <v>4.1166908300206619E-5</v>
      </c>
      <c r="AW20" s="55">
        <f>'LUC-2012-08-10-Run4'!BY23</f>
        <v>4.1166908300206619E-5</v>
      </c>
      <c r="AX20" s="55">
        <f>'LUC-2012-08-10-Run4'!BZ23</f>
        <v>4.1166908300206619E-5</v>
      </c>
      <c r="AY20" s="55">
        <f>'LUC-2012-08-10-Run4'!CA23</f>
        <v>4.1166908300206619E-5</v>
      </c>
      <c r="AZ20" s="55">
        <f>'LUC-2012-08-10-Run4'!CB23</f>
        <v>4.1166908300206619E-5</v>
      </c>
      <c r="BA20" s="55">
        <f>'LUC-2012-08-10-Run4'!CC23</f>
        <v>4.1166908300206619E-5</v>
      </c>
      <c r="BB20" s="55">
        <f>'LUC-2012-08-10-Run4'!CD23</f>
        <v>4.1166908300206619E-5</v>
      </c>
      <c r="BC20" s="55">
        <f>'LUC-2012-08-10-Run4'!CE23</f>
        <v>4.1166908300206619E-5</v>
      </c>
      <c r="BD20" s="55">
        <f>'LUC-2012-08-10-Run4'!CF23</f>
        <v>4.1166908300206619E-5</v>
      </c>
      <c r="BE20" s="55">
        <f>'LUC-2012-08-10-Run4'!CG23</f>
        <v>4.1166908300206619E-5</v>
      </c>
      <c r="BF20" s="55">
        <f>'LUC-2012-08-10-Run4'!CH23</f>
        <v>4.1166908300206619E-5</v>
      </c>
      <c r="BG20" s="55">
        <f>'LUC-2012-08-10-Run4'!CI23</f>
        <v>4.1166908300206619E-5</v>
      </c>
      <c r="BH20" s="55">
        <f>'LUC-2012-08-10-Run4'!CJ23</f>
        <v>4.1166908300206619E-5</v>
      </c>
      <c r="BI20" s="55">
        <f>'LUC-2012-08-10-Run4'!CK23</f>
        <v>4.1166908300206619E-5</v>
      </c>
      <c r="BJ20" s="55">
        <f>'LUC-2012-08-10-Run4'!CL23</f>
        <v>4.1166908300206619E-5</v>
      </c>
      <c r="BK20" s="55">
        <f>'LUC-2012-08-10-Run4'!CM23</f>
        <v>4.1166908300206619E-5</v>
      </c>
      <c r="BM20" s="104"/>
      <c r="BN20" s="57" t="s">
        <v>111</v>
      </c>
      <c r="BO20" s="65">
        <f t="shared" si="7"/>
        <v>33.2184249628529</v>
      </c>
      <c r="BP20" s="65">
        <f t="shared" si="8"/>
        <v>33.833580980683507</v>
      </c>
      <c r="BQ20" s="65">
        <f t="shared" si="9"/>
        <v>35.063297851853505</v>
      </c>
      <c r="BR20" s="65">
        <f t="shared" si="10"/>
        <v>36.86455882621236</v>
      </c>
      <c r="BS20" s="65">
        <f t="shared" si="11"/>
        <v>38.665819800571214</v>
      </c>
      <c r="BT20" s="65">
        <f t="shared" si="12"/>
        <v>38.665819800571214</v>
      </c>
      <c r="BU20" s="65">
        <f t="shared" si="13"/>
        <v>38.665819800571214</v>
      </c>
    </row>
    <row r="21" spans="1:73" x14ac:dyDescent="0.25">
      <c r="A21" s="54" t="s">
        <v>38</v>
      </c>
      <c r="B21" s="54" t="s">
        <v>111</v>
      </c>
      <c r="C21" s="54" t="s">
        <v>92</v>
      </c>
      <c r="D21" s="55">
        <f>'LUC-2012-08-10-Run4'!AF24</f>
        <v>3.3218424962852898E-5</v>
      </c>
      <c r="E21" s="55">
        <f>'LUC-2012-08-10-Run4'!AG24</f>
        <v>3.3286775631500744E-5</v>
      </c>
      <c r="F21" s="55">
        <f>'LUC-2012-08-10-Run4'!AH24</f>
        <v>3.3355126300148591E-5</v>
      </c>
      <c r="G21" s="55">
        <f>'LUC-2012-08-10-Run4'!AI24</f>
        <v>3.3423476968796431E-5</v>
      </c>
      <c r="H21" s="55">
        <f>'LUC-2012-08-10-Run4'!AJ24</f>
        <v>3.3491827637444278E-5</v>
      </c>
      <c r="I21" s="55">
        <f>'LUC-2012-08-10-Run4'!AK24</f>
        <v>3.3560178306092124E-5</v>
      </c>
      <c r="J21" s="55">
        <f>'LUC-2012-08-10-Run4'!AL24</f>
        <v>3.3628528974739971E-5</v>
      </c>
      <c r="K21" s="55">
        <f>'LUC-2012-08-10-Run4'!AM24</f>
        <v>3.3696879643387817E-5</v>
      </c>
      <c r="L21" s="55">
        <f>'LUC-2012-08-10-Run4'!AN24</f>
        <v>3.3765230312035657E-5</v>
      </c>
      <c r="M21" s="55">
        <f>'LUC-2012-08-10-Run4'!AO24</f>
        <v>3.3833580980683504E-5</v>
      </c>
      <c r="N21" s="55">
        <f>'LUC-2012-08-10-Run4'!AP24</f>
        <v>3.3901931649331351E-5</v>
      </c>
      <c r="O21" s="55">
        <f>'LUC-2012-08-10-Run4'!AQ24</f>
        <v>3.3970282317979197E-5</v>
      </c>
      <c r="P21" s="55">
        <f>'LUC-2012-08-10-Run4'!AR24</f>
        <v>3.4038632986627044E-5</v>
      </c>
      <c r="Q21" s="55">
        <f>'LUC-2012-08-10-Run4'!AS24</f>
        <v>3.4106983655274884E-5</v>
      </c>
      <c r="R21" s="55">
        <f>'LUC-2012-08-10-Run4'!AT24</f>
        <v>3.417533432392273E-5</v>
      </c>
      <c r="S21" s="55">
        <f>'LUC-2012-08-10-Run4'!AU24</f>
        <v>3.4342793462109958E-5</v>
      </c>
      <c r="T21" s="55">
        <f>'LUC-2012-08-10-Run4'!AV24</f>
        <v>3.4522919559545845E-5</v>
      </c>
      <c r="U21" s="55">
        <f>'LUC-2012-08-10-Run4'!AW24</f>
        <v>3.4703045656981732E-5</v>
      </c>
      <c r="V21" s="55">
        <f>'LUC-2012-08-10-Run4'!AX24</f>
        <v>3.4883171754417618E-5</v>
      </c>
      <c r="W21" s="55">
        <f>'LUC-2012-08-10-Run4'!AY24</f>
        <v>3.5063297851853505E-5</v>
      </c>
      <c r="X21" s="55">
        <f>'LUC-2012-08-10-Run4'!AZ24</f>
        <v>3.5243423949289392E-5</v>
      </c>
      <c r="Y21" s="55">
        <f>'LUC-2012-08-10-Run4'!BA24</f>
        <v>3.5423550046725279E-5</v>
      </c>
      <c r="Z21" s="55">
        <f>'LUC-2012-08-10-Run4'!BB24</f>
        <v>3.5603676144161152E-5</v>
      </c>
      <c r="AA21" s="55">
        <f>'LUC-2012-08-10-Run4'!BC24</f>
        <v>3.5783802241597039E-5</v>
      </c>
      <c r="AB21" s="55">
        <f>'LUC-2012-08-10-Run4'!BD24</f>
        <v>3.5963928339032926E-5</v>
      </c>
      <c r="AC21" s="55">
        <f>'LUC-2012-08-10-Run4'!BE24</f>
        <v>3.6144054436468813E-5</v>
      </c>
      <c r="AD21" s="55">
        <f>'LUC-2012-08-10-Run4'!BF24</f>
        <v>3.63241805339047E-5</v>
      </c>
      <c r="AE21" s="55">
        <f>'LUC-2012-08-10-Run4'!BG24</f>
        <v>3.6504306631340587E-5</v>
      </c>
      <c r="AF21" s="55">
        <f>'LUC-2012-08-10-Run4'!BH24</f>
        <v>3.6684432728776473E-5</v>
      </c>
      <c r="AG21" s="55">
        <f>'LUC-2012-08-10-Run4'!BI24</f>
        <v>3.686455882621236E-5</v>
      </c>
      <c r="AH21" s="55">
        <f>'LUC-2012-08-10-Run4'!BJ24</f>
        <v>3.7044684923648247E-5</v>
      </c>
      <c r="AI21" s="55">
        <f>'LUC-2012-08-10-Run4'!BK24</f>
        <v>3.7224811021084134E-5</v>
      </c>
      <c r="AJ21" s="55">
        <f>'LUC-2012-08-10-Run4'!BL24</f>
        <v>3.7404937118520021E-5</v>
      </c>
      <c r="AK21" s="55">
        <f>'LUC-2012-08-10-Run4'!BM24</f>
        <v>3.7585063215955894E-5</v>
      </c>
      <c r="AL21" s="55">
        <f>'LUC-2012-08-10-Run4'!BN24</f>
        <v>3.7765189313391781E-5</v>
      </c>
      <c r="AM21" s="55">
        <f>'LUC-2012-08-10-Run4'!BO24</f>
        <v>3.7945315410827668E-5</v>
      </c>
      <c r="AN21" s="55">
        <f>'LUC-2012-08-10-Run4'!BP24</f>
        <v>3.8125441508263555E-5</v>
      </c>
      <c r="AO21" s="55">
        <f>'LUC-2012-08-10-Run4'!BQ24</f>
        <v>3.8305567605699441E-5</v>
      </c>
      <c r="AP21" s="55">
        <f>'LUC-2012-08-10-Run4'!BR24</f>
        <v>3.8485693703135328E-5</v>
      </c>
      <c r="AQ21" s="55">
        <f>'LUC-2012-08-10-Run4'!BS24</f>
        <v>3.8665819800571215E-5</v>
      </c>
      <c r="AR21" s="55">
        <f>'LUC-2012-08-10-Run4'!BT24</f>
        <v>3.8665819800571215E-5</v>
      </c>
      <c r="AS21" s="55">
        <f>'LUC-2012-08-10-Run4'!BU24</f>
        <v>3.8665819800571215E-5</v>
      </c>
      <c r="AT21" s="55">
        <f>'LUC-2012-08-10-Run4'!BV24</f>
        <v>3.8665819800571215E-5</v>
      </c>
      <c r="AU21" s="55">
        <f>'LUC-2012-08-10-Run4'!BW24</f>
        <v>3.8665819800571215E-5</v>
      </c>
      <c r="AV21" s="55">
        <f>'LUC-2012-08-10-Run4'!BX24</f>
        <v>3.8665819800571215E-5</v>
      </c>
      <c r="AW21" s="55">
        <f>'LUC-2012-08-10-Run4'!BY24</f>
        <v>3.8665819800571215E-5</v>
      </c>
      <c r="AX21" s="55">
        <f>'LUC-2012-08-10-Run4'!BZ24</f>
        <v>3.8665819800571215E-5</v>
      </c>
      <c r="AY21" s="55">
        <f>'LUC-2012-08-10-Run4'!CA24</f>
        <v>3.8665819800571215E-5</v>
      </c>
      <c r="AZ21" s="55">
        <f>'LUC-2012-08-10-Run4'!CB24</f>
        <v>3.8665819800571215E-5</v>
      </c>
      <c r="BA21" s="55">
        <f>'LUC-2012-08-10-Run4'!CC24</f>
        <v>3.8665819800571215E-5</v>
      </c>
      <c r="BB21" s="55">
        <f>'LUC-2012-08-10-Run4'!CD24</f>
        <v>3.8665819800571215E-5</v>
      </c>
      <c r="BC21" s="55">
        <f>'LUC-2012-08-10-Run4'!CE24</f>
        <v>3.8665819800571215E-5</v>
      </c>
      <c r="BD21" s="55">
        <f>'LUC-2012-08-10-Run4'!CF24</f>
        <v>3.8665819800571215E-5</v>
      </c>
      <c r="BE21" s="55">
        <f>'LUC-2012-08-10-Run4'!CG24</f>
        <v>3.8665819800571215E-5</v>
      </c>
      <c r="BF21" s="55">
        <f>'LUC-2012-08-10-Run4'!CH24</f>
        <v>3.8665819800571215E-5</v>
      </c>
      <c r="BG21" s="55">
        <f>'LUC-2012-08-10-Run4'!CI24</f>
        <v>3.8665819800571215E-5</v>
      </c>
      <c r="BH21" s="55">
        <f>'LUC-2012-08-10-Run4'!CJ24</f>
        <v>3.8665819800571215E-5</v>
      </c>
      <c r="BI21" s="55">
        <f>'LUC-2012-08-10-Run4'!CK24</f>
        <v>3.8665819800571215E-5</v>
      </c>
      <c r="BJ21" s="55">
        <f>'LUC-2012-08-10-Run4'!CL24</f>
        <v>3.8665819800571215E-5</v>
      </c>
      <c r="BK21" s="55">
        <f>'LUC-2012-08-10-Run4'!CM24</f>
        <v>3.8665819800571215E-5</v>
      </c>
      <c r="BM21" s="104"/>
      <c r="BN21" s="57" t="s">
        <v>102</v>
      </c>
      <c r="BO21" s="65">
        <f t="shared" si="7"/>
        <v>16</v>
      </c>
      <c r="BP21" s="65">
        <f t="shared" si="8"/>
        <v>17.8</v>
      </c>
      <c r="BQ21" s="65">
        <f t="shared" si="9"/>
        <v>19.698333333333338</v>
      </c>
      <c r="BR21" s="65">
        <f t="shared" si="10"/>
        <v>20.71916666666668</v>
      </c>
      <c r="BS21" s="65">
        <f t="shared" si="11"/>
        <v>21.740000000000016</v>
      </c>
      <c r="BT21" s="65">
        <f t="shared" si="12"/>
        <v>22.965000000000018</v>
      </c>
      <c r="BU21" s="65">
        <f t="shared" si="13"/>
        <v>24.190000000000019</v>
      </c>
    </row>
    <row r="22" spans="1:73" x14ac:dyDescent="0.25">
      <c r="A22" s="54" t="s">
        <v>38</v>
      </c>
      <c r="B22" s="54" t="s">
        <v>102</v>
      </c>
      <c r="C22" s="54" t="s">
        <v>92</v>
      </c>
      <c r="D22" s="55">
        <f>'LUC-2012-08-10-Run4'!AF25</f>
        <v>1.5999999999999999E-5</v>
      </c>
      <c r="E22" s="55">
        <f>'LUC-2012-08-10-Run4'!AG25</f>
        <v>1.6200000000000001E-5</v>
      </c>
      <c r="F22" s="55">
        <f>'LUC-2012-08-10-Run4'!AH25</f>
        <v>1.6399999999999999E-5</v>
      </c>
      <c r="G22" s="55">
        <f>'LUC-2012-08-10-Run4'!AI25</f>
        <v>1.66E-5</v>
      </c>
      <c r="H22" s="55">
        <f>'LUC-2012-08-10-Run4'!AJ25</f>
        <v>1.6799999999999998E-5</v>
      </c>
      <c r="I22" s="55">
        <f>'LUC-2012-08-10-Run4'!AK25</f>
        <v>1.7E-5</v>
      </c>
      <c r="J22" s="55">
        <f>'LUC-2012-08-10-Run4'!AL25</f>
        <v>1.7200000000000001E-5</v>
      </c>
      <c r="K22" s="55">
        <f>'LUC-2012-08-10-Run4'!AM25</f>
        <v>1.7399999999999999E-5</v>
      </c>
      <c r="L22" s="55">
        <f>'LUC-2012-08-10-Run4'!AN25</f>
        <v>1.7600000000000001E-5</v>
      </c>
      <c r="M22" s="55">
        <f>'LUC-2012-08-10-Run4'!AO25</f>
        <v>1.7799999999999999E-5</v>
      </c>
      <c r="N22" s="55">
        <f>'LUC-2012-08-10-Run4'!AP25</f>
        <v>1.8E-5</v>
      </c>
      <c r="O22" s="55">
        <f>'LUC-2012-08-10-Run4'!AQ25</f>
        <v>1.8200000000000002E-5</v>
      </c>
      <c r="P22" s="55">
        <f>'LUC-2012-08-10-Run4'!AR25</f>
        <v>1.84E-5</v>
      </c>
      <c r="Q22" s="55">
        <f>'LUC-2012-08-10-Run4'!AS25</f>
        <v>1.8600000000000001E-5</v>
      </c>
      <c r="R22" s="55">
        <f>'LUC-2012-08-10-Run4'!AT25</f>
        <v>1.88E-5</v>
      </c>
      <c r="S22" s="55">
        <f>'LUC-2012-08-10-Run4'!AU25</f>
        <v>1.9290000000000003E-5</v>
      </c>
      <c r="T22" s="55">
        <f>'LUC-2012-08-10-Run4'!AV25</f>
        <v>1.9392083333333337E-5</v>
      </c>
      <c r="U22" s="55">
        <f>'LUC-2012-08-10-Run4'!AW25</f>
        <v>1.949416666666667E-5</v>
      </c>
      <c r="V22" s="55">
        <f>'LUC-2012-08-10-Run4'!AX25</f>
        <v>1.9596250000000004E-5</v>
      </c>
      <c r="W22" s="55">
        <f>'LUC-2012-08-10-Run4'!AY25</f>
        <v>1.9698333333333338E-5</v>
      </c>
      <c r="X22" s="55">
        <f>'LUC-2012-08-10-Run4'!AZ25</f>
        <v>1.9800416666666671E-5</v>
      </c>
      <c r="Y22" s="55">
        <f>'LUC-2012-08-10-Run4'!BA25</f>
        <v>1.9902500000000005E-5</v>
      </c>
      <c r="Z22" s="55">
        <f>'LUC-2012-08-10-Run4'!BB25</f>
        <v>2.0004583333333338E-5</v>
      </c>
      <c r="AA22" s="55">
        <f>'LUC-2012-08-10-Run4'!BC25</f>
        <v>2.0106666666666672E-5</v>
      </c>
      <c r="AB22" s="55">
        <f>'LUC-2012-08-10-Run4'!BD25</f>
        <v>2.0208750000000005E-5</v>
      </c>
      <c r="AC22" s="55">
        <f>'LUC-2012-08-10-Run4'!BE25</f>
        <v>2.0310833333333339E-5</v>
      </c>
      <c r="AD22" s="55">
        <f>'LUC-2012-08-10-Run4'!BF25</f>
        <v>2.0412916666666672E-5</v>
      </c>
      <c r="AE22" s="55">
        <f>'LUC-2012-08-10-Run4'!BG25</f>
        <v>2.0515000000000006E-5</v>
      </c>
      <c r="AF22" s="55">
        <f>'LUC-2012-08-10-Run4'!BH25</f>
        <v>2.0617083333333346E-5</v>
      </c>
      <c r="AG22" s="55">
        <f>'LUC-2012-08-10-Run4'!BI25</f>
        <v>2.071916666666668E-5</v>
      </c>
      <c r="AH22" s="55">
        <f>'LUC-2012-08-10-Run4'!BJ25</f>
        <v>2.0821250000000013E-5</v>
      </c>
      <c r="AI22" s="55">
        <f>'LUC-2012-08-10-Run4'!BK25</f>
        <v>2.0923333333333347E-5</v>
      </c>
      <c r="AJ22" s="55">
        <f>'LUC-2012-08-10-Run4'!BL25</f>
        <v>2.1025416666666681E-5</v>
      </c>
      <c r="AK22" s="55">
        <f>'LUC-2012-08-10-Run4'!BM25</f>
        <v>2.1127500000000014E-5</v>
      </c>
      <c r="AL22" s="55">
        <f>'LUC-2012-08-10-Run4'!BN25</f>
        <v>2.1229583333333348E-5</v>
      </c>
      <c r="AM22" s="55">
        <f>'LUC-2012-08-10-Run4'!BO25</f>
        <v>2.1331666666666681E-5</v>
      </c>
      <c r="AN22" s="55">
        <f>'LUC-2012-08-10-Run4'!BP25</f>
        <v>2.1433750000000015E-5</v>
      </c>
      <c r="AO22" s="55">
        <f>'LUC-2012-08-10-Run4'!BQ25</f>
        <v>2.1535833333333348E-5</v>
      </c>
      <c r="AP22" s="55">
        <f>'LUC-2012-08-10-Run4'!BR25</f>
        <v>2.1637916666666682E-5</v>
      </c>
      <c r="AQ22" s="55">
        <f>'LUC-2012-08-10-Run4'!BS25</f>
        <v>2.1740000000000015E-5</v>
      </c>
      <c r="AR22" s="55">
        <f>'LUC-2012-08-10-Run4'!BT25</f>
        <v>2.186250000000002E-5</v>
      </c>
      <c r="AS22" s="55">
        <f>'LUC-2012-08-10-Run4'!BU25</f>
        <v>2.1985000000000014E-5</v>
      </c>
      <c r="AT22" s="55">
        <f>'LUC-2012-08-10-Run4'!BV25</f>
        <v>2.2107500000000018E-5</v>
      </c>
      <c r="AU22" s="55">
        <f>'LUC-2012-08-10-Run4'!BW25</f>
        <v>2.2230000000000012E-5</v>
      </c>
      <c r="AV22" s="55">
        <f>'LUC-2012-08-10-Run4'!BX25</f>
        <v>2.2352500000000017E-5</v>
      </c>
      <c r="AW22" s="55">
        <f>'LUC-2012-08-10-Run4'!BY25</f>
        <v>2.2475000000000021E-5</v>
      </c>
      <c r="AX22" s="55">
        <f>'LUC-2012-08-10-Run4'!BZ25</f>
        <v>2.2597500000000015E-5</v>
      </c>
      <c r="AY22" s="55">
        <f>'LUC-2012-08-10-Run4'!CA25</f>
        <v>2.272000000000002E-5</v>
      </c>
      <c r="AZ22" s="55">
        <f>'LUC-2012-08-10-Run4'!CB25</f>
        <v>2.2842500000000014E-5</v>
      </c>
      <c r="BA22" s="55">
        <f>'LUC-2012-08-10-Run4'!CC25</f>
        <v>2.2965000000000018E-5</v>
      </c>
      <c r="BB22" s="55">
        <f>'LUC-2012-08-10-Run4'!CD25</f>
        <v>2.3087500000000022E-5</v>
      </c>
      <c r="BC22" s="55">
        <f>'LUC-2012-08-10-Run4'!CE25</f>
        <v>2.3210000000000017E-5</v>
      </c>
      <c r="BD22" s="55">
        <f>'LUC-2012-08-10-Run4'!CF25</f>
        <v>2.3332500000000021E-5</v>
      </c>
      <c r="BE22" s="55">
        <f>'LUC-2012-08-10-Run4'!CG25</f>
        <v>2.3455000000000015E-5</v>
      </c>
      <c r="BF22" s="55">
        <f>'LUC-2012-08-10-Run4'!CH25</f>
        <v>2.3577500000000019E-5</v>
      </c>
      <c r="BG22" s="55">
        <f>'LUC-2012-08-10-Run4'!CI25</f>
        <v>2.3700000000000024E-5</v>
      </c>
      <c r="BH22" s="55">
        <f>'LUC-2012-08-10-Run4'!CJ25</f>
        <v>2.3822500000000018E-5</v>
      </c>
      <c r="BI22" s="55">
        <f>'LUC-2012-08-10-Run4'!CK25</f>
        <v>2.3945000000000022E-5</v>
      </c>
      <c r="BJ22" s="55">
        <f>'LUC-2012-08-10-Run4'!CL25</f>
        <v>2.4067500000000016E-5</v>
      </c>
      <c r="BK22" s="55">
        <f>'LUC-2012-08-10-Run4'!CM25</f>
        <v>2.4190000000000021E-5</v>
      </c>
      <c r="BM22" s="104"/>
      <c r="BN22" s="57" t="s">
        <v>103</v>
      </c>
      <c r="BO22" s="65">
        <f t="shared" si="7"/>
        <v>36</v>
      </c>
      <c r="BP22" s="65">
        <f t="shared" si="8"/>
        <v>34.799999999999997</v>
      </c>
      <c r="BQ22" s="65">
        <f t="shared" si="9"/>
        <v>34.268333333333338</v>
      </c>
      <c r="BR22" s="65">
        <f t="shared" si="10"/>
        <v>34.455833333333345</v>
      </c>
      <c r="BS22" s="65">
        <f t="shared" si="11"/>
        <v>34.643333333333345</v>
      </c>
      <c r="BT22" s="65">
        <f t="shared" si="12"/>
        <v>34.643333333333345</v>
      </c>
      <c r="BU22" s="65">
        <f t="shared" si="13"/>
        <v>34.643333333333345</v>
      </c>
    </row>
    <row r="23" spans="1:73" x14ac:dyDescent="0.25">
      <c r="A23" s="54" t="s">
        <v>38</v>
      </c>
      <c r="B23" s="54" t="s">
        <v>103</v>
      </c>
      <c r="C23" s="54" t="s">
        <v>92</v>
      </c>
      <c r="D23" s="55">
        <f>'LUC-2012-08-10-Run4'!AF26</f>
        <v>3.6000000000000001E-5</v>
      </c>
      <c r="E23" s="55">
        <f>'LUC-2012-08-10-Run4'!AG26</f>
        <v>3.5866666666666667E-5</v>
      </c>
      <c r="F23" s="55">
        <f>'LUC-2012-08-10-Run4'!AH26</f>
        <v>3.5733333333333332E-5</v>
      </c>
      <c r="G23" s="55">
        <f>'LUC-2012-08-10-Run4'!AI26</f>
        <v>3.5599999999999998E-5</v>
      </c>
      <c r="H23" s="55">
        <f>'LUC-2012-08-10-Run4'!AJ26</f>
        <v>3.546666666666667E-5</v>
      </c>
      <c r="I23" s="55">
        <f>'LUC-2012-08-10-Run4'!AK26</f>
        <v>3.5333333333333336E-5</v>
      </c>
      <c r="J23" s="55">
        <f>'LUC-2012-08-10-Run4'!AL26</f>
        <v>3.5200000000000002E-5</v>
      </c>
      <c r="K23" s="55">
        <f>'LUC-2012-08-10-Run4'!AM26</f>
        <v>3.5066666666666667E-5</v>
      </c>
      <c r="L23" s="55">
        <f>'LUC-2012-08-10-Run4'!AN26</f>
        <v>3.4933333333333333E-5</v>
      </c>
      <c r="M23" s="55">
        <f>'LUC-2012-08-10-Run4'!AO26</f>
        <v>3.4799999999999999E-5</v>
      </c>
      <c r="N23" s="55">
        <f>'LUC-2012-08-10-Run4'!AP26</f>
        <v>3.4666666666666665E-5</v>
      </c>
      <c r="O23" s="55">
        <f>'LUC-2012-08-10-Run4'!AQ26</f>
        <v>3.453333333333333E-5</v>
      </c>
      <c r="P23" s="55">
        <f>'LUC-2012-08-10-Run4'!AR26</f>
        <v>3.4400000000000003E-5</v>
      </c>
      <c r="Q23" s="55">
        <f>'LUC-2012-08-10-Run4'!AS26</f>
        <v>3.4266666666666668E-5</v>
      </c>
      <c r="R23" s="55">
        <f>'LUC-2012-08-10-Run4'!AT26</f>
        <v>3.4133333333333334E-5</v>
      </c>
      <c r="S23" s="55">
        <f>'LUC-2012-08-10-Run4'!AU26</f>
        <v>3.4193333333333337E-5</v>
      </c>
      <c r="T23" s="55">
        <f>'LUC-2012-08-10-Run4'!AV26</f>
        <v>3.4212083333333334E-5</v>
      </c>
      <c r="U23" s="55">
        <f>'LUC-2012-08-10-Run4'!AW26</f>
        <v>3.4230833333333338E-5</v>
      </c>
      <c r="V23" s="55">
        <f>'LUC-2012-08-10-Run4'!AX26</f>
        <v>3.4249583333333342E-5</v>
      </c>
      <c r="W23" s="55">
        <f>'LUC-2012-08-10-Run4'!AY26</f>
        <v>3.4268333333333339E-5</v>
      </c>
      <c r="X23" s="55">
        <f>'LUC-2012-08-10-Run4'!AZ26</f>
        <v>3.4287083333333336E-5</v>
      </c>
      <c r="Y23" s="55">
        <f>'LUC-2012-08-10-Run4'!BA26</f>
        <v>3.430583333333334E-5</v>
      </c>
      <c r="Z23" s="55">
        <f>'LUC-2012-08-10-Run4'!BB26</f>
        <v>3.4324583333333343E-5</v>
      </c>
      <c r="AA23" s="55">
        <f>'LUC-2012-08-10-Run4'!BC26</f>
        <v>3.4343333333333341E-5</v>
      </c>
      <c r="AB23" s="55">
        <f>'LUC-2012-08-10-Run4'!BD26</f>
        <v>3.4362083333333338E-5</v>
      </c>
      <c r="AC23" s="55">
        <f>'LUC-2012-08-10-Run4'!BE26</f>
        <v>3.4380833333333341E-5</v>
      </c>
      <c r="AD23" s="55">
        <f>'LUC-2012-08-10-Run4'!BF26</f>
        <v>3.4399583333333345E-5</v>
      </c>
      <c r="AE23" s="55">
        <f>'LUC-2012-08-10-Run4'!BG26</f>
        <v>3.4418333333333342E-5</v>
      </c>
      <c r="AF23" s="55">
        <f>'LUC-2012-08-10-Run4'!BH26</f>
        <v>3.4437083333333339E-5</v>
      </c>
      <c r="AG23" s="55">
        <f>'LUC-2012-08-10-Run4'!BI26</f>
        <v>3.4455833333333343E-5</v>
      </c>
      <c r="AH23" s="55">
        <f>'LUC-2012-08-10-Run4'!BJ26</f>
        <v>3.4474583333333347E-5</v>
      </c>
      <c r="AI23" s="55">
        <f>'LUC-2012-08-10-Run4'!BK26</f>
        <v>3.4493333333333344E-5</v>
      </c>
      <c r="AJ23" s="55">
        <f>'LUC-2012-08-10-Run4'!BL26</f>
        <v>3.4512083333333341E-5</v>
      </c>
      <c r="AK23" s="55">
        <f>'LUC-2012-08-10-Run4'!BM26</f>
        <v>3.4530833333333345E-5</v>
      </c>
      <c r="AL23" s="55">
        <f>'LUC-2012-08-10-Run4'!BN26</f>
        <v>3.4549583333333349E-5</v>
      </c>
      <c r="AM23" s="55">
        <f>'LUC-2012-08-10-Run4'!BO26</f>
        <v>3.4568333333333346E-5</v>
      </c>
      <c r="AN23" s="55">
        <f>'LUC-2012-08-10-Run4'!BP26</f>
        <v>3.4587083333333343E-5</v>
      </c>
      <c r="AO23" s="55">
        <f>'LUC-2012-08-10-Run4'!BQ26</f>
        <v>3.4605833333333347E-5</v>
      </c>
      <c r="AP23" s="55">
        <f>'LUC-2012-08-10-Run4'!BR26</f>
        <v>3.4624583333333351E-5</v>
      </c>
      <c r="AQ23" s="55">
        <f>'LUC-2012-08-10-Run4'!BS26</f>
        <v>3.4643333333333348E-5</v>
      </c>
      <c r="AR23" s="55">
        <f>'LUC-2012-08-10-Run4'!BT26</f>
        <v>3.4643333333333348E-5</v>
      </c>
      <c r="AS23" s="55">
        <f>'LUC-2012-08-10-Run4'!BU26</f>
        <v>3.4643333333333348E-5</v>
      </c>
      <c r="AT23" s="55">
        <f>'LUC-2012-08-10-Run4'!BV26</f>
        <v>3.4643333333333348E-5</v>
      </c>
      <c r="AU23" s="55">
        <f>'LUC-2012-08-10-Run4'!BW26</f>
        <v>3.4643333333333348E-5</v>
      </c>
      <c r="AV23" s="55">
        <f>'LUC-2012-08-10-Run4'!BX26</f>
        <v>3.4643333333333348E-5</v>
      </c>
      <c r="AW23" s="55">
        <f>'LUC-2012-08-10-Run4'!BY26</f>
        <v>3.4643333333333348E-5</v>
      </c>
      <c r="AX23" s="55">
        <f>'LUC-2012-08-10-Run4'!BZ26</f>
        <v>3.4643333333333348E-5</v>
      </c>
      <c r="AY23" s="55">
        <f>'LUC-2012-08-10-Run4'!CA26</f>
        <v>3.4643333333333348E-5</v>
      </c>
      <c r="AZ23" s="55">
        <f>'LUC-2012-08-10-Run4'!CB26</f>
        <v>3.4643333333333348E-5</v>
      </c>
      <c r="BA23" s="55">
        <f>'LUC-2012-08-10-Run4'!CC26</f>
        <v>3.4643333333333348E-5</v>
      </c>
      <c r="BB23" s="55">
        <f>'LUC-2012-08-10-Run4'!CD26</f>
        <v>3.4643333333333348E-5</v>
      </c>
      <c r="BC23" s="55">
        <f>'LUC-2012-08-10-Run4'!CE26</f>
        <v>3.4643333333333348E-5</v>
      </c>
      <c r="BD23" s="55">
        <f>'LUC-2012-08-10-Run4'!CF26</f>
        <v>3.4643333333333348E-5</v>
      </c>
      <c r="BE23" s="55">
        <f>'LUC-2012-08-10-Run4'!CG26</f>
        <v>3.4643333333333348E-5</v>
      </c>
      <c r="BF23" s="55">
        <f>'LUC-2012-08-10-Run4'!CH26</f>
        <v>3.4643333333333348E-5</v>
      </c>
      <c r="BG23" s="55">
        <f>'LUC-2012-08-10-Run4'!CI26</f>
        <v>3.4643333333333348E-5</v>
      </c>
      <c r="BH23" s="55">
        <f>'LUC-2012-08-10-Run4'!CJ26</f>
        <v>3.4643333333333348E-5</v>
      </c>
      <c r="BI23" s="55">
        <f>'LUC-2012-08-10-Run4'!CK26</f>
        <v>3.4643333333333348E-5</v>
      </c>
      <c r="BJ23" s="55">
        <f>'LUC-2012-08-10-Run4'!CL26</f>
        <v>3.4643333333333348E-5</v>
      </c>
      <c r="BK23" s="55">
        <f>'LUC-2012-08-10-Run4'!CM26</f>
        <v>3.4643333333333348E-5</v>
      </c>
      <c r="BM23" s="105"/>
      <c r="BN23" s="58" t="s">
        <v>104</v>
      </c>
      <c r="BO23" s="66">
        <f t="shared" si="7"/>
        <v>80.900000000000006</v>
      </c>
      <c r="BP23" s="66">
        <f t="shared" si="8"/>
        <v>80.3</v>
      </c>
      <c r="BQ23" s="66">
        <f t="shared" si="9"/>
        <v>80.193030303030298</v>
      </c>
      <c r="BR23" s="66">
        <f t="shared" si="10"/>
        <v>80.683939393939397</v>
      </c>
      <c r="BS23" s="66">
        <f t="shared" si="11"/>
        <v>81.751666666666679</v>
      </c>
      <c r="BT23" s="66">
        <f t="shared" si="12"/>
        <v>81.954166666666723</v>
      </c>
      <c r="BU23" s="66">
        <f t="shared" si="13"/>
        <v>82.156666666666752</v>
      </c>
    </row>
    <row r="24" spans="1:73" x14ac:dyDescent="0.25">
      <c r="A24" s="54" t="s">
        <v>38</v>
      </c>
      <c r="B24" s="54" t="s">
        <v>104</v>
      </c>
      <c r="C24" s="54" t="s">
        <v>92</v>
      </c>
      <c r="D24" s="55">
        <f>'LUC-2012-08-10-Run4'!AF28</f>
        <v>8.0900000000000001E-5</v>
      </c>
      <c r="E24" s="55">
        <f>'LUC-2012-08-10-Run4'!AG28</f>
        <v>8.0833333333333338E-5</v>
      </c>
      <c r="F24" s="55">
        <f>'LUC-2012-08-10-Run4'!AH28</f>
        <v>8.0766666666666674E-5</v>
      </c>
      <c r="G24" s="55">
        <f>'LUC-2012-08-10-Run4'!AI28</f>
        <v>8.0699999999999996E-5</v>
      </c>
      <c r="H24" s="55">
        <f>'LUC-2012-08-10-Run4'!AJ28</f>
        <v>8.0633333333333333E-5</v>
      </c>
      <c r="I24" s="55">
        <f>'LUC-2012-08-10-Run4'!AK28</f>
        <v>8.0566666666666669E-5</v>
      </c>
      <c r="J24" s="55">
        <f>'LUC-2012-08-10-Run4'!AL28</f>
        <v>8.0500000000000005E-5</v>
      </c>
      <c r="K24" s="55">
        <f>'LUC-2012-08-10-Run4'!AM28</f>
        <v>8.0433333333333341E-5</v>
      </c>
      <c r="L24" s="55">
        <f>'LUC-2012-08-10-Run4'!AN28</f>
        <v>8.0366666666666664E-5</v>
      </c>
      <c r="M24" s="55">
        <f>'LUC-2012-08-10-Run4'!AO28</f>
        <v>8.03E-5</v>
      </c>
      <c r="N24" s="55">
        <f>'LUC-2012-08-10-Run4'!AP28</f>
        <v>8.0233333333333337E-5</v>
      </c>
      <c r="O24" s="55">
        <f>'LUC-2012-08-10-Run4'!AQ28</f>
        <v>8.0166666666666673E-5</v>
      </c>
      <c r="P24" s="55">
        <f>'LUC-2012-08-10-Run4'!AR28</f>
        <v>8.0100000000000009E-5</v>
      </c>
      <c r="Q24" s="55">
        <f>'LUC-2012-08-10-Run4'!AS28</f>
        <v>8.0033333333333332E-5</v>
      </c>
      <c r="R24" s="55">
        <f>'LUC-2012-08-10-Run4'!AT28</f>
        <v>7.9966666666666668E-5</v>
      </c>
      <c r="S24" s="55">
        <f>'LUC-2012-08-10-Run4'!AU28</f>
        <v>7.9996666666666666E-5</v>
      </c>
      <c r="T24" s="55">
        <f>'LUC-2012-08-10-Run4'!AV28</f>
        <v>8.0045757575757575E-5</v>
      </c>
      <c r="U24" s="55">
        <f>'LUC-2012-08-10-Run4'!AW28</f>
        <v>8.0094848484848485E-5</v>
      </c>
      <c r="V24" s="55">
        <f>'LUC-2012-08-10-Run4'!AX28</f>
        <v>8.0143939393939395E-5</v>
      </c>
      <c r="W24" s="55">
        <f>'LUC-2012-08-10-Run4'!AY28</f>
        <v>8.0193030303030304E-5</v>
      </c>
      <c r="X24" s="55">
        <f>'LUC-2012-08-10-Run4'!AZ28</f>
        <v>8.0242121212121214E-5</v>
      </c>
      <c r="Y24" s="55">
        <f>'LUC-2012-08-10-Run4'!BA28</f>
        <v>8.0291212121212123E-5</v>
      </c>
      <c r="Z24" s="55">
        <f>'LUC-2012-08-10-Run4'!BB28</f>
        <v>8.0340303030303033E-5</v>
      </c>
      <c r="AA24" s="55">
        <f>'LUC-2012-08-10-Run4'!BC28</f>
        <v>8.0389393939393942E-5</v>
      </c>
      <c r="AB24" s="55">
        <f>'LUC-2012-08-10-Run4'!BD28</f>
        <v>8.0438484848484852E-5</v>
      </c>
      <c r="AC24" s="55">
        <f>'LUC-2012-08-10-Run4'!BE28</f>
        <v>8.0487575757575761E-5</v>
      </c>
      <c r="AD24" s="55">
        <f>'LUC-2012-08-10-Run4'!BF28</f>
        <v>8.0536666666666671E-5</v>
      </c>
      <c r="AE24" s="55">
        <f>'LUC-2012-08-10-Run4'!BG28</f>
        <v>8.058575757575758E-5</v>
      </c>
      <c r="AF24" s="55">
        <f>'LUC-2012-08-10-Run4'!BH28</f>
        <v>8.063484848484849E-5</v>
      </c>
      <c r="AG24" s="55">
        <f>'LUC-2012-08-10-Run4'!BI28</f>
        <v>8.06839393939394E-5</v>
      </c>
      <c r="AH24" s="55">
        <f>'LUC-2012-08-10-Run4'!BJ28</f>
        <v>8.0733030303030309E-5</v>
      </c>
      <c r="AI24" s="55">
        <f>'LUC-2012-08-10-Run4'!BK28</f>
        <v>8.0782121212121219E-5</v>
      </c>
      <c r="AJ24" s="55">
        <f>'LUC-2012-08-10-Run4'!BL28</f>
        <v>8.0831212121212128E-5</v>
      </c>
      <c r="AK24" s="55">
        <f>'LUC-2012-08-10-Run4'!BM28</f>
        <v>8.0880303030303038E-5</v>
      </c>
      <c r="AL24" s="55">
        <f>'LUC-2012-08-10-Run4'!BN28</f>
        <v>8.0929393939393947E-5</v>
      </c>
      <c r="AM24" s="55">
        <f>'LUC-2012-08-10-Run4'!BO28</f>
        <v>8.0978484848484857E-5</v>
      </c>
      <c r="AN24" s="55">
        <f>'LUC-2012-08-10-Run4'!BP28</f>
        <v>8.1027575757575766E-5</v>
      </c>
      <c r="AO24" s="55">
        <f>'LUC-2012-08-10-Run4'!BQ28</f>
        <v>8.1076666666666676E-5</v>
      </c>
      <c r="AP24" s="55">
        <f>'LUC-2012-08-10-Run4'!BR28</f>
        <v>8.1125757575757585E-5</v>
      </c>
      <c r="AQ24" s="55">
        <f>'LUC-2012-08-10-Run4'!BS28</f>
        <v>8.1751666666666679E-5</v>
      </c>
      <c r="AR24" s="55">
        <f>'LUC-2012-08-10-Run4'!BT28</f>
        <v>8.1771916666666686E-5</v>
      </c>
      <c r="AS24" s="55">
        <f>'LUC-2012-08-10-Run4'!BU28</f>
        <v>8.1792166666666693E-5</v>
      </c>
      <c r="AT24" s="55">
        <f>'LUC-2012-08-10-Run4'!BV28</f>
        <v>8.1812416666666687E-5</v>
      </c>
      <c r="AU24" s="55">
        <f>'LUC-2012-08-10-Run4'!BW28</f>
        <v>8.1832666666666694E-5</v>
      </c>
      <c r="AV24" s="55">
        <f>'LUC-2012-08-10-Run4'!BX28</f>
        <v>8.1852916666666701E-5</v>
      </c>
      <c r="AW24" s="55">
        <f>'LUC-2012-08-10-Run4'!BY28</f>
        <v>8.1873166666666694E-5</v>
      </c>
      <c r="AX24" s="55">
        <f>'LUC-2012-08-10-Run4'!BZ28</f>
        <v>8.1893416666666702E-5</v>
      </c>
      <c r="AY24" s="55">
        <f>'LUC-2012-08-10-Run4'!CA28</f>
        <v>8.1913666666666709E-5</v>
      </c>
      <c r="AZ24" s="55">
        <f>'LUC-2012-08-10-Run4'!CB28</f>
        <v>8.1933916666666716E-5</v>
      </c>
      <c r="BA24" s="55">
        <f>'LUC-2012-08-10-Run4'!CC28</f>
        <v>8.1954166666666723E-5</v>
      </c>
      <c r="BB24" s="55">
        <f>'LUC-2012-08-10-Run4'!CD28</f>
        <v>8.1974416666666717E-5</v>
      </c>
      <c r="BC24" s="55">
        <f>'LUC-2012-08-10-Run4'!CE28</f>
        <v>8.1994666666666724E-5</v>
      </c>
      <c r="BD24" s="55">
        <f>'LUC-2012-08-10-Run4'!CF28</f>
        <v>8.2014916666666731E-5</v>
      </c>
      <c r="BE24" s="55">
        <f>'LUC-2012-08-10-Run4'!CG28</f>
        <v>8.2035166666666724E-5</v>
      </c>
      <c r="BF24" s="55">
        <f>'LUC-2012-08-10-Run4'!CH28</f>
        <v>8.2055416666666732E-5</v>
      </c>
      <c r="BG24" s="55">
        <f>'LUC-2012-08-10-Run4'!CI28</f>
        <v>8.2075666666666739E-5</v>
      </c>
      <c r="BH24" s="55">
        <f>'LUC-2012-08-10-Run4'!CJ28</f>
        <v>8.2095916666666746E-5</v>
      </c>
      <c r="BI24" s="55">
        <f>'LUC-2012-08-10-Run4'!CK28</f>
        <v>8.2116166666666753E-5</v>
      </c>
      <c r="BJ24" s="55">
        <f>'LUC-2012-08-10-Run4'!CL28</f>
        <v>8.2136416666666747E-5</v>
      </c>
      <c r="BK24" s="55">
        <f>'LUC-2012-08-10-Run4'!CM28</f>
        <v>8.2156666666666754E-5</v>
      </c>
      <c r="BN24" s="54" t="s">
        <v>112</v>
      </c>
    </row>
    <row r="25" spans="1:73" x14ac:dyDescent="0.25">
      <c r="BM25" s="60" t="s">
        <v>93</v>
      </c>
      <c r="BN25" s="60" t="s">
        <v>94</v>
      </c>
      <c r="BO25" s="60">
        <v>1991</v>
      </c>
      <c r="BP25" s="60">
        <v>2000</v>
      </c>
      <c r="BQ25" s="60">
        <v>2010</v>
      </c>
      <c r="BR25" s="60">
        <v>2020</v>
      </c>
      <c r="BS25" s="60">
        <v>2030</v>
      </c>
      <c r="BT25" s="60">
        <v>2040</v>
      </c>
      <c r="BU25" s="60">
        <v>2050</v>
      </c>
    </row>
    <row r="26" spans="1:73" x14ac:dyDescent="0.25">
      <c r="A26" s="56" t="s">
        <v>71</v>
      </c>
      <c r="B26" s="54" t="s">
        <v>99</v>
      </c>
      <c r="C26" s="56" t="s">
        <v>107</v>
      </c>
      <c r="D26" s="55">
        <f>'LUC-2012-08-10-Run4'!AF30</f>
        <v>2.8586557155908612E-3</v>
      </c>
      <c r="E26" s="55">
        <f>'LUC-2012-08-10-Run4'!AG30</f>
        <v>2.909963886131464E-3</v>
      </c>
      <c r="F26" s="55">
        <f>'LUC-2012-08-10-Run4'!AH30</f>
        <v>2.9612720566720677E-3</v>
      </c>
      <c r="G26" s="55">
        <f>'LUC-2012-08-10-Run4'!AI30</f>
        <v>3.0125802272126705E-3</v>
      </c>
      <c r="H26" s="55">
        <f>'LUC-2012-08-10-Run4'!AJ30</f>
        <v>3.0638883977532742E-3</v>
      </c>
      <c r="I26" s="55">
        <f>'LUC-2012-08-10-Run4'!AK30</f>
        <v>3.1151965682938766E-3</v>
      </c>
      <c r="J26" s="55">
        <f>'LUC-2012-08-10-Run4'!AL30</f>
        <v>3.1665047388344802E-3</v>
      </c>
      <c r="K26" s="55">
        <f>'LUC-2012-08-10-Run4'!AM30</f>
        <v>3.2178129093750835E-3</v>
      </c>
      <c r="L26" s="55">
        <f>'LUC-2012-08-10-Run4'!AN30</f>
        <v>3.2691210799156863E-3</v>
      </c>
      <c r="M26" s="55">
        <f>'LUC-2012-08-10-Run4'!AO30</f>
        <v>3.3204292504562887E-3</v>
      </c>
      <c r="N26" s="55">
        <f>'LUC-2012-08-10-Run4'!AP30</f>
        <v>3.3717374209968911E-3</v>
      </c>
      <c r="O26" s="55">
        <f>'LUC-2012-08-10-Run4'!AQ30</f>
        <v>3.4230455915374956E-3</v>
      </c>
      <c r="P26" s="55">
        <f>'LUC-2012-08-10-Run4'!AR30</f>
        <v>3.474353762078098E-3</v>
      </c>
      <c r="Q26" s="55">
        <f>'LUC-2012-08-10-Run4'!AS30</f>
        <v>3.5256619326187004E-3</v>
      </c>
      <c r="R26" s="55">
        <f>'LUC-2012-08-10-Run4'!AT30</f>
        <v>3.5769701031593041E-3</v>
      </c>
      <c r="S26" s="55">
        <f>'LUC-2012-08-10-Run4'!AU30</f>
        <v>3.6282782736999073E-3</v>
      </c>
      <c r="T26" s="55">
        <f>'LUC-2012-08-10-Run4'!AV30</f>
        <v>3.6601435786098075E-3</v>
      </c>
      <c r="U26" s="55">
        <f>'LUC-2012-08-10-Run4'!AW30</f>
        <v>3.6920088835197063E-3</v>
      </c>
      <c r="V26" s="55">
        <f>'LUC-2012-08-10-Run4'!AX30</f>
        <v>3.7238741884296055E-3</v>
      </c>
      <c r="W26" s="55">
        <f>'LUC-2012-08-10-Run4'!AY30</f>
        <v>3.7557394933395052E-3</v>
      </c>
      <c r="X26" s="55">
        <f>'LUC-2012-08-10-Run4'!AZ30</f>
        <v>3.7876047982494045E-3</v>
      </c>
      <c r="Y26" s="55">
        <f>'LUC-2012-08-10-Run4'!BA30</f>
        <v>3.8194701031593042E-3</v>
      </c>
      <c r="Z26" s="55">
        <f>'LUC-2012-08-10-Run4'!BB30</f>
        <v>3.8513354080692043E-3</v>
      </c>
      <c r="AA26" s="55">
        <f>'LUC-2012-08-10-Run4'!BC30</f>
        <v>3.8832007129791031E-3</v>
      </c>
      <c r="AB26" s="55">
        <f>'LUC-2012-08-10-Run4'!BD30</f>
        <v>3.9150660178890037E-3</v>
      </c>
      <c r="AC26" s="55">
        <f>'LUC-2012-08-10-Run4'!BE30</f>
        <v>3.9469313227989029E-3</v>
      </c>
      <c r="AD26" s="55">
        <f>'LUC-2012-08-10-Run4'!BF30</f>
        <v>3.9787966277088022E-3</v>
      </c>
      <c r="AE26" s="55">
        <f>'LUC-2012-08-10-Run4'!BG30</f>
        <v>4.0106619326187015E-3</v>
      </c>
      <c r="AF26" s="55">
        <f>'LUC-2012-08-10-Run4'!BH30</f>
        <v>4.0425272375286016E-3</v>
      </c>
      <c r="AG26" s="55">
        <f>'LUC-2012-08-10-Run4'!BI30</f>
        <v>4.0743925424385008E-3</v>
      </c>
      <c r="AH26" s="55">
        <f>'LUC-2012-08-10-Run4'!BJ30</f>
        <v>4.1062578473483992E-3</v>
      </c>
      <c r="AI26" s="55">
        <f>'LUC-2012-08-10-Run4'!BK30</f>
        <v>4.1381231522582993E-3</v>
      </c>
      <c r="AJ26" s="55">
        <f>'LUC-2012-08-10-Run4'!BL30</f>
        <v>4.1699884571681986E-3</v>
      </c>
      <c r="AK26" s="55">
        <f>'LUC-2012-08-10-Run4'!BM30</f>
        <v>4.2018537620780979E-3</v>
      </c>
      <c r="AL26" s="55">
        <f>'LUC-2012-08-10-Run4'!BN30</f>
        <v>4.233719066987998E-3</v>
      </c>
      <c r="AM26" s="55">
        <f>'LUC-2012-08-10-Run4'!BO30</f>
        <v>4.2655843718978972E-3</v>
      </c>
      <c r="AN26" s="55">
        <f>'LUC-2012-08-10-Run4'!BP30</f>
        <v>4.2974496768077956E-3</v>
      </c>
      <c r="AO26" s="55">
        <f>'LUC-2012-08-10-Run4'!BQ30</f>
        <v>4.3293149817176958E-3</v>
      </c>
      <c r="AP26" s="55">
        <f>'LUC-2012-08-10-Run4'!BR30</f>
        <v>4.3611802866275959E-3</v>
      </c>
      <c r="AQ26" s="55">
        <f>'LUC-2012-08-10-Run4'!BS30</f>
        <v>4.3930455915374969E-3</v>
      </c>
      <c r="AR26" s="55">
        <f>'LUC-2012-08-10-Run4'!BT30</f>
        <v>4.4249108964473944E-3</v>
      </c>
      <c r="AS26" s="55">
        <f>'LUC-2012-08-10-Run4'!BU30</f>
        <v>4.4567762013572945E-3</v>
      </c>
      <c r="AT26" s="55">
        <f>'LUC-2012-08-10-Run4'!BV30</f>
        <v>4.4886415062671938E-3</v>
      </c>
      <c r="AU26" s="55">
        <f>'LUC-2012-08-10-Run4'!BW30</f>
        <v>4.520506811177093E-3</v>
      </c>
      <c r="AV26" s="55">
        <f>'LUC-2012-08-10-Run4'!BX30</f>
        <v>4.5523721160869923E-3</v>
      </c>
      <c r="AW26" s="55">
        <f>'LUC-2012-08-10-Run4'!BY30</f>
        <v>4.5842374209968924E-3</v>
      </c>
      <c r="AX26" s="55">
        <f>'LUC-2012-08-10-Run4'!BZ30</f>
        <v>4.6161027259067908E-3</v>
      </c>
      <c r="AY26" s="55">
        <f>'LUC-2012-08-10-Run4'!CA30</f>
        <v>4.6479680308166918E-3</v>
      </c>
      <c r="AZ26" s="55">
        <f>'LUC-2012-08-10-Run4'!CB30</f>
        <v>4.6798333357265902E-3</v>
      </c>
      <c r="BA26" s="55">
        <f>'LUC-2012-08-10-Run4'!CC30</f>
        <v>4.7116986406364903E-3</v>
      </c>
      <c r="BB26" s="55">
        <f>'LUC-2012-08-10-Run4'!CD30</f>
        <v>4.7435639455463896E-3</v>
      </c>
      <c r="BC26" s="55">
        <f>'LUC-2012-08-10-Run4'!CE30</f>
        <v>4.7754292504562897E-3</v>
      </c>
      <c r="BD26" s="55">
        <f>'LUC-2012-08-10-Run4'!CF30</f>
        <v>4.8072945553661881E-3</v>
      </c>
      <c r="BE26" s="55">
        <f>'LUC-2012-08-10-Run4'!CG30</f>
        <v>4.8391598602760891E-3</v>
      </c>
      <c r="BF26" s="55">
        <f>'LUC-2012-08-10-Run4'!CH30</f>
        <v>4.8710251651859866E-3</v>
      </c>
      <c r="BG26" s="55">
        <f>'LUC-2012-08-10-Run4'!CI30</f>
        <v>4.9028904700958876E-3</v>
      </c>
      <c r="BH26" s="55">
        <f>'LUC-2012-08-10-Run4'!CJ30</f>
        <v>4.9347557750057851E-3</v>
      </c>
      <c r="BI26" s="55">
        <f>'LUC-2012-08-10-Run4'!CK30</f>
        <v>4.9666210799156861E-3</v>
      </c>
      <c r="BJ26" s="55">
        <f>'LUC-2012-08-10-Run4'!CL30</f>
        <v>4.9984863848255862E-3</v>
      </c>
      <c r="BK26" s="55">
        <f>'LUC-2012-08-10-Run4'!CM30</f>
        <v>5.0303516897354846E-3</v>
      </c>
      <c r="BM26" s="103" t="s">
        <v>71</v>
      </c>
      <c r="BN26" s="59" t="s">
        <v>99</v>
      </c>
      <c r="BO26" s="85">
        <f t="shared" ref="BO26:BO32" si="14">D26*1000</f>
        <v>2.8586557155908614</v>
      </c>
      <c r="BP26" s="85">
        <f t="shared" ref="BP26:BP32" si="15">M26*1000</f>
        <v>3.3204292504562889</v>
      </c>
      <c r="BQ26" s="85">
        <f t="shared" ref="BQ26:BQ32" si="16">W26*1000</f>
        <v>3.7557394933395054</v>
      </c>
      <c r="BR26" s="85">
        <f t="shared" ref="BR26:BR32" si="17">AG26*1000</f>
        <v>4.0743925424385008</v>
      </c>
      <c r="BS26" s="85">
        <f t="shared" ref="BS26:BS32" si="18">AQ26*1000</f>
        <v>4.3930455915374971</v>
      </c>
      <c r="BT26" s="85">
        <f t="shared" ref="BT26:BT32" si="19">BA26*1000</f>
        <v>4.7116986406364907</v>
      </c>
      <c r="BU26" s="85">
        <f t="shared" ref="BU26:BU32" si="20">BK26*1000</f>
        <v>5.0303516897354843</v>
      </c>
    </row>
    <row r="27" spans="1:73" x14ac:dyDescent="0.25">
      <c r="A27" s="56" t="s">
        <v>71</v>
      </c>
      <c r="B27" s="54" t="s">
        <v>100</v>
      </c>
      <c r="C27" s="56" t="s">
        <v>107</v>
      </c>
      <c r="D27" s="55">
        <f>'LUC-2012-08-10-Run4'!AF31</f>
        <v>2.21991625074704E-3</v>
      </c>
      <c r="E27" s="55">
        <f>'LUC-2012-08-10-Run4'!AG31</f>
        <v>2.2566263371078163E-3</v>
      </c>
      <c r="F27" s="55">
        <f>'LUC-2012-08-10-Run4'!AH31</f>
        <v>2.2933364234685931E-3</v>
      </c>
      <c r="G27" s="55">
        <f>'LUC-2012-08-10-Run4'!AI31</f>
        <v>2.3300465098293689E-3</v>
      </c>
      <c r="H27" s="55">
        <f>'LUC-2012-08-10-Run4'!AJ31</f>
        <v>2.3667565961901457E-3</v>
      </c>
      <c r="I27" s="55">
        <f>'LUC-2012-08-10-Run4'!AK31</f>
        <v>2.403466682550922E-3</v>
      </c>
      <c r="J27" s="55">
        <f>'LUC-2012-08-10-Run4'!AL31</f>
        <v>2.4401767689116983E-3</v>
      </c>
      <c r="K27" s="55">
        <f>'LUC-2012-08-10-Run4'!AM31</f>
        <v>2.4768868552724754E-3</v>
      </c>
      <c r="L27" s="55">
        <f>'LUC-2012-08-10-Run4'!AN31</f>
        <v>2.5135969416332517E-3</v>
      </c>
      <c r="M27" s="55">
        <f>'LUC-2012-08-10-Run4'!AO31</f>
        <v>2.5503070279940276E-3</v>
      </c>
      <c r="N27" s="55">
        <f>'LUC-2012-08-10-Run4'!AP31</f>
        <v>2.5870171143548043E-3</v>
      </c>
      <c r="O27" s="55">
        <f>'LUC-2012-08-10-Run4'!AQ31</f>
        <v>2.6237272007155811E-3</v>
      </c>
      <c r="P27" s="55">
        <f>'LUC-2012-08-10-Run4'!AR31</f>
        <v>2.6604372870763569E-3</v>
      </c>
      <c r="Q27" s="55">
        <f>'LUC-2012-08-10-Run4'!AS31</f>
        <v>2.6971473734371336E-3</v>
      </c>
      <c r="R27" s="55">
        <f>'LUC-2012-08-10-Run4'!AT31</f>
        <v>2.7338574597979095E-3</v>
      </c>
      <c r="S27" s="55">
        <f>'LUC-2012-08-10-Run4'!AU31</f>
        <v>2.7705675461586858E-3</v>
      </c>
      <c r="T27" s="55">
        <f>'LUC-2012-08-10-Run4'!AV31</f>
        <v>2.7941732069956472E-3</v>
      </c>
      <c r="U27" s="55">
        <f>'LUC-2012-08-10-Run4'!AW31</f>
        <v>2.8177788678326082E-3</v>
      </c>
      <c r="V27" s="55">
        <f>'LUC-2012-08-10-Run4'!AX31</f>
        <v>2.8413845286695688E-3</v>
      </c>
      <c r="W27" s="55">
        <f>'LUC-2012-08-10-Run4'!AY31</f>
        <v>2.8649901895065294E-3</v>
      </c>
      <c r="X27" s="55">
        <f>'LUC-2012-08-10-Run4'!AZ31</f>
        <v>2.8885958503434904E-3</v>
      </c>
      <c r="Y27" s="55">
        <f>'LUC-2012-08-10-Run4'!BA31</f>
        <v>2.9122015111804514E-3</v>
      </c>
      <c r="Z27" s="55">
        <f>'LUC-2012-08-10-Run4'!BB31</f>
        <v>2.9358071720174115E-3</v>
      </c>
      <c r="AA27" s="55">
        <f>'LUC-2012-08-10-Run4'!BC31</f>
        <v>2.9594128328543738E-3</v>
      </c>
      <c r="AB27" s="55">
        <f>'LUC-2012-08-10-Run4'!BD31</f>
        <v>2.9830184936913344E-3</v>
      </c>
      <c r="AC27" s="55">
        <f>'LUC-2012-08-10-Run4'!BE31</f>
        <v>3.0066241545282949E-3</v>
      </c>
      <c r="AD27" s="55">
        <f>'LUC-2012-08-10-Run4'!BF31</f>
        <v>3.030229815365256E-3</v>
      </c>
      <c r="AE27" s="55">
        <f>'LUC-2012-08-10-Run4'!BG31</f>
        <v>3.0538354762022174E-3</v>
      </c>
      <c r="AF27" s="55">
        <f>'LUC-2012-08-10-Run4'!BH31</f>
        <v>3.0774411370391771E-3</v>
      </c>
      <c r="AG27" s="55">
        <f>'LUC-2012-08-10-Run4'!BI31</f>
        <v>3.1010467978761381E-3</v>
      </c>
      <c r="AH27" s="55">
        <f>'LUC-2012-08-10-Run4'!BJ31</f>
        <v>3.1246524587130987E-3</v>
      </c>
      <c r="AI27" s="55">
        <f>'LUC-2012-08-10-Run4'!BK31</f>
        <v>3.1482581195500597E-3</v>
      </c>
      <c r="AJ27" s="55">
        <f>'LUC-2012-08-10-Run4'!BL31</f>
        <v>3.1718637803870211E-3</v>
      </c>
      <c r="AK27" s="55">
        <f>'LUC-2012-08-10-Run4'!BM31</f>
        <v>3.1954694412239821E-3</v>
      </c>
      <c r="AL27" s="55">
        <f>'LUC-2012-08-10-Run4'!BN31</f>
        <v>3.2190751020609435E-3</v>
      </c>
      <c r="AM27" s="55">
        <f>'LUC-2012-08-10-Run4'!BO31</f>
        <v>3.2426807628979037E-3</v>
      </c>
      <c r="AN27" s="55">
        <f>'LUC-2012-08-10-Run4'!BP31</f>
        <v>3.2662864237348651E-3</v>
      </c>
      <c r="AO27" s="55">
        <f>'LUC-2012-08-10-Run4'!BQ31</f>
        <v>3.2898920845718252E-3</v>
      </c>
      <c r="AP27" s="55">
        <f>'LUC-2012-08-10-Run4'!BR31</f>
        <v>3.3134977454087858E-3</v>
      </c>
      <c r="AQ27" s="55">
        <f>'LUC-2012-08-10-Run4'!BS31</f>
        <v>3.3371034062457468E-3</v>
      </c>
      <c r="AR27" s="55">
        <f>'LUC-2012-08-10-Run4'!BT31</f>
        <v>3.3607090670827078E-3</v>
      </c>
      <c r="AS27" s="55">
        <f>'LUC-2012-08-10-Run4'!BU31</f>
        <v>3.3843147279196684E-3</v>
      </c>
      <c r="AT27" s="55">
        <f>'LUC-2012-08-10-Run4'!BV31</f>
        <v>3.4079203887566302E-3</v>
      </c>
      <c r="AU27" s="55">
        <f>'LUC-2012-08-10-Run4'!BW31</f>
        <v>3.4315260495935899E-3</v>
      </c>
      <c r="AV27" s="55">
        <f>'LUC-2012-08-10-Run4'!BX31</f>
        <v>3.4551317104305514E-3</v>
      </c>
      <c r="AW27" s="55">
        <f>'LUC-2012-08-10-Run4'!BY31</f>
        <v>3.4787373712675128E-3</v>
      </c>
      <c r="AX27" s="55">
        <f>'LUC-2012-08-10-Run4'!BZ31</f>
        <v>3.5023430321044729E-3</v>
      </c>
      <c r="AY27" s="55">
        <f>'LUC-2012-08-10-Run4'!CA31</f>
        <v>3.5259486929414339E-3</v>
      </c>
      <c r="AZ27" s="55">
        <f>'LUC-2012-08-10-Run4'!CB31</f>
        <v>3.5495543537783945E-3</v>
      </c>
      <c r="BA27" s="55">
        <f>'LUC-2012-08-10-Run4'!CC31</f>
        <v>3.5731600146153551E-3</v>
      </c>
      <c r="BB27" s="55">
        <f>'LUC-2012-08-10-Run4'!CD31</f>
        <v>3.5967656754523165E-3</v>
      </c>
      <c r="BC27" s="55">
        <f>'LUC-2012-08-10-Run4'!CE31</f>
        <v>3.6203713362892771E-3</v>
      </c>
      <c r="BD27" s="55">
        <f>'LUC-2012-08-10-Run4'!CF31</f>
        <v>3.6439769971262381E-3</v>
      </c>
      <c r="BE27" s="55">
        <f>'LUC-2012-08-10-Run4'!CG31</f>
        <v>3.6675826579631995E-3</v>
      </c>
      <c r="BF27" s="55">
        <f>'LUC-2012-08-10-Run4'!CH31</f>
        <v>3.6911883188001609E-3</v>
      </c>
      <c r="BG27" s="55">
        <f>'LUC-2012-08-10-Run4'!CI31</f>
        <v>3.7147939796371206E-3</v>
      </c>
      <c r="BH27" s="55">
        <f>'LUC-2012-08-10-Run4'!CJ31</f>
        <v>3.7383996404740821E-3</v>
      </c>
      <c r="BI27" s="55">
        <f>'LUC-2012-08-10-Run4'!CK31</f>
        <v>3.7620053013110422E-3</v>
      </c>
      <c r="BJ27" s="55">
        <f>'LUC-2012-08-10-Run4'!CL31</f>
        <v>3.7856109621480032E-3</v>
      </c>
      <c r="BK27" s="55">
        <f>'LUC-2012-08-10-Run4'!CM31</f>
        <v>3.8092166229849646E-3</v>
      </c>
      <c r="BM27" s="104"/>
      <c r="BN27" s="57" t="s">
        <v>100</v>
      </c>
      <c r="BO27" s="83">
        <f t="shared" si="14"/>
        <v>2.21991625074704</v>
      </c>
      <c r="BP27" s="83">
        <f t="shared" si="15"/>
        <v>2.5503070279940276</v>
      </c>
      <c r="BQ27" s="83">
        <f t="shared" si="16"/>
        <v>2.8649901895065293</v>
      </c>
      <c r="BR27" s="83">
        <f t="shared" si="17"/>
        <v>3.1010467978761382</v>
      </c>
      <c r="BS27" s="83">
        <f t="shared" si="18"/>
        <v>3.3371034062457468</v>
      </c>
      <c r="BT27" s="83">
        <f t="shared" si="19"/>
        <v>3.5731600146153553</v>
      </c>
      <c r="BU27" s="83">
        <f t="shared" si="20"/>
        <v>3.8092166229849647</v>
      </c>
    </row>
    <row r="28" spans="1:73" x14ac:dyDescent="0.25">
      <c r="A28" s="56" t="s">
        <v>71</v>
      </c>
      <c r="B28" s="54" t="s">
        <v>101</v>
      </c>
      <c r="C28" s="56" t="s">
        <v>107</v>
      </c>
      <c r="D28" s="55">
        <f>'LUC-2012-08-10-Run4'!AF32</f>
        <v>3.2695631189309741E-3</v>
      </c>
      <c r="E28" s="55">
        <f>'LUC-2012-08-10-Run4'!AG32</f>
        <v>3.3190680876783053E-3</v>
      </c>
      <c r="F28" s="55">
        <f>'LUC-2012-08-10-Run4'!AH32</f>
        <v>3.3685730564256351E-3</v>
      </c>
      <c r="G28" s="55">
        <f>'LUC-2012-08-10-Run4'!AI32</f>
        <v>3.4180780251729654E-3</v>
      </c>
      <c r="H28" s="55">
        <f>'LUC-2012-08-10-Run4'!AJ32</f>
        <v>3.4675829939202975E-3</v>
      </c>
      <c r="I28" s="55">
        <f>'LUC-2012-08-10-Run4'!AK32</f>
        <v>3.5170879626676278E-3</v>
      </c>
      <c r="J28" s="55">
        <f>'LUC-2012-08-10-Run4'!AL32</f>
        <v>3.566592931414959E-3</v>
      </c>
      <c r="K28" s="55">
        <f>'LUC-2012-08-10-Run4'!AM32</f>
        <v>3.6160979001622893E-3</v>
      </c>
      <c r="L28" s="55">
        <f>'LUC-2012-08-10-Run4'!AN32</f>
        <v>3.66560286890962E-3</v>
      </c>
      <c r="M28" s="55">
        <f>'LUC-2012-08-10-Run4'!AO32</f>
        <v>3.7151078376569512E-3</v>
      </c>
      <c r="N28" s="55">
        <f>'LUC-2012-08-10-Run4'!AP32</f>
        <v>3.764612806404282E-3</v>
      </c>
      <c r="O28" s="55">
        <f>'LUC-2012-08-10-Run4'!AQ32</f>
        <v>3.8141177751516123E-3</v>
      </c>
      <c r="P28" s="55">
        <f>'LUC-2012-08-10-Run4'!AR32</f>
        <v>3.8636227438989435E-3</v>
      </c>
      <c r="Q28" s="55">
        <f>'LUC-2012-08-10-Run4'!AS32</f>
        <v>3.9131277126462733E-3</v>
      </c>
      <c r="R28" s="55">
        <f>'LUC-2012-08-10-Run4'!AT32</f>
        <v>3.9626326813936045E-3</v>
      </c>
      <c r="S28" s="55">
        <f>'LUC-2012-08-10-Run4'!AU32</f>
        <v>4.0121376501409357E-3</v>
      </c>
      <c r="T28" s="55">
        <f>'LUC-2012-08-10-Run4'!AV32</f>
        <v>4.0409850921853223E-3</v>
      </c>
      <c r="U28" s="55">
        <f>'LUC-2012-08-10-Run4'!AW32</f>
        <v>4.0698325342297097E-3</v>
      </c>
      <c r="V28" s="55">
        <f>'LUC-2012-08-10-Run4'!AX32</f>
        <v>4.0986799762740963E-3</v>
      </c>
      <c r="W28" s="55">
        <f>'LUC-2012-08-10-Run4'!AY32</f>
        <v>4.127527418318482E-3</v>
      </c>
      <c r="X28" s="55">
        <f>'LUC-2012-08-10-Run4'!AZ32</f>
        <v>4.1563748603628704E-3</v>
      </c>
      <c r="Y28" s="55">
        <f>'LUC-2012-08-10-Run4'!BA32</f>
        <v>4.1852223024072561E-3</v>
      </c>
      <c r="Z28" s="55">
        <f>'LUC-2012-08-10-Run4'!BB32</f>
        <v>4.2140697444516435E-3</v>
      </c>
      <c r="AA28" s="55">
        <f>'LUC-2012-08-10-Run4'!BC32</f>
        <v>4.2429171864960301E-3</v>
      </c>
      <c r="AB28" s="55">
        <f>'LUC-2012-08-10-Run4'!BD32</f>
        <v>4.2717646285404158E-3</v>
      </c>
      <c r="AC28" s="55">
        <f>'LUC-2012-08-10-Run4'!BE32</f>
        <v>4.3006120705848042E-3</v>
      </c>
      <c r="AD28" s="55">
        <f>'LUC-2012-08-10-Run4'!BF32</f>
        <v>4.3294595126291899E-3</v>
      </c>
      <c r="AE28" s="55">
        <f>'LUC-2012-08-10-Run4'!BG32</f>
        <v>4.3583069546735782E-3</v>
      </c>
      <c r="AF28" s="55">
        <f>'LUC-2012-08-10-Run4'!BH32</f>
        <v>4.3871543967179639E-3</v>
      </c>
      <c r="AG28" s="55">
        <f>'LUC-2012-08-10-Run4'!BI32</f>
        <v>4.4160018387623514E-3</v>
      </c>
      <c r="AH28" s="55">
        <f>'LUC-2012-08-10-Run4'!BJ32</f>
        <v>4.444849280806738E-3</v>
      </c>
      <c r="AI28" s="55">
        <f>'LUC-2012-08-10-Run4'!BK32</f>
        <v>4.4736967228511245E-3</v>
      </c>
      <c r="AJ28" s="55">
        <f>'LUC-2012-08-10-Run4'!BL32</f>
        <v>4.5025441648955111E-3</v>
      </c>
      <c r="AK28" s="55">
        <f>'LUC-2012-08-10-Run4'!BM32</f>
        <v>4.5313916069398994E-3</v>
      </c>
      <c r="AL28" s="55">
        <f>'LUC-2012-08-10-Run4'!BN32</f>
        <v>4.5602390489842852E-3</v>
      </c>
      <c r="AM28" s="55">
        <f>'LUC-2012-08-10-Run4'!BO32</f>
        <v>4.5890864910286726E-3</v>
      </c>
      <c r="AN28" s="55">
        <f>'LUC-2012-08-10-Run4'!BP32</f>
        <v>4.6179339330730601E-3</v>
      </c>
      <c r="AO28" s="55">
        <f>'LUC-2012-08-10-Run4'!BQ32</f>
        <v>4.6467813751174458E-3</v>
      </c>
      <c r="AP28" s="55">
        <f>'LUC-2012-08-10-Run4'!BR32</f>
        <v>4.6756288171618332E-3</v>
      </c>
      <c r="AQ28" s="55">
        <f>'LUC-2012-08-10-Run4'!BS32</f>
        <v>4.7044762592062198E-3</v>
      </c>
      <c r="AR28" s="55">
        <f>'LUC-2012-08-10-Run4'!BT32</f>
        <v>4.7333237012506073E-3</v>
      </c>
      <c r="AS28" s="55">
        <f>'LUC-2012-08-10-Run4'!BU32</f>
        <v>4.762171143294993E-3</v>
      </c>
      <c r="AT28" s="55">
        <f>'LUC-2012-08-10-Run4'!BV32</f>
        <v>4.7910185853393805E-3</v>
      </c>
      <c r="AU28" s="55">
        <f>'LUC-2012-08-10-Run4'!BW32</f>
        <v>4.8198660273837679E-3</v>
      </c>
      <c r="AV28" s="55">
        <f>'LUC-2012-08-10-Run4'!BX32</f>
        <v>4.8487134694281545E-3</v>
      </c>
      <c r="AW28" s="55">
        <f>'LUC-2012-08-10-Run4'!BY32</f>
        <v>4.8775609114725419E-3</v>
      </c>
      <c r="AX28" s="55">
        <f>'LUC-2012-08-10-Run4'!BZ32</f>
        <v>4.9064083535169277E-3</v>
      </c>
      <c r="AY28" s="55">
        <f>'LUC-2012-08-10-Run4'!CA32</f>
        <v>4.9352557955613151E-3</v>
      </c>
      <c r="AZ28" s="55">
        <f>'LUC-2012-08-10-Run4'!CB32</f>
        <v>4.9641032376057017E-3</v>
      </c>
      <c r="BA28" s="55">
        <f>'LUC-2012-08-10-Run4'!CC32</f>
        <v>4.9929506796500883E-3</v>
      </c>
      <c r="BB28" s="55">
        <f>'LUC-2012-08-10-Run4'!CD32</f>
        <v>5.0217981216944757E-3</v>
      </c>
      <c r="BC28" s="55">
        <f>'LUC-2012-08-10-Run4'!CE32</f>
        <v>5.0506455637388623E-3</v>
      </c>
      <c r="BD28" s="55">
        <f>'LUC-2012-08-10-Run4'!CF32</f>
        <v>5.0794930057832489E-3</v>
      </c>
      <c r="BE28" s="55">
        <f>'LUC-2012-08-10-Run4'!CG32</f>
        <v>5.1083404478276355E-3</v>
      </c>
      <c r="BF28" s="55">
        <f>'LUC-2012-08-10-Run4'!CH32</f>
        <v>5.1371878898720212E-3</v>
      </c>
      <c r="BG28" s="55">
        <f>'LUC-2012-08-10-Run4'!CI32</f>
        <v>5.1660353319164087E-3</v>
      </c>
      <c r="BH28" s="55">
        <f>'LUC-2012-08-10-Run4'!CJ32</f>
        <v>5.1948827739607961E-3</v>
      </c>
      <c r="BI28" s="55">
        <f>'LUC-2012-08-10-Run4'!CK32</f>
        <v>5.2237302160051836E-3</v>
      </c>
      <c r="BJ28" s="55">
        <f>'LUC-2012-08-10-Run4'!CL32</f>
        <v>5.252577658049571E-3</v>
      </c>
      <c r="BK28" s="55">
        <f>'LUC-2012-08-10-Run4'!CM32</f>
        <v>5.2814251000939559E-3</v>
      </c>
      <c r="BM28" s="104"/>
      <c r="BN28" s="57" t="s">
        <v>101</v>
      </c>
      <c r="BO28" s="83">
        <f t="shared" si="14"/>
        <v>3.2695631189309742</v>
      </c>
      <c r="BP28" s="83">
        <f t="shared" si="15"/>
        <v>3.7151078376569511</v>
      </c>
      <c r="BQ28" s="83">
        <f t="shared" si="16"/>
        <v>4.1275274183184818</v>
      </c>
      <c r="BR28" s="83">
        <f t="shared" si="17"/>
        <v>4.4160018387623516</v>
      </c>
      <c r="BS28" s="83">
        <f t="shared" si="18"/>
        <v>4.7044762592062197</v>
      </c>
      <c r="BT28" s="83">
        <f t="shared" si="19"/>
        <v>4.9929506796500887</v>
      </c>
      <c r="BU28" s="83">
        <f t="shared" si="20"/>
        <v>5.2814251000939558</v>
      </c>
    </row>
    <row r="29" spans="1:73" x14ac:dyDescent="0.25">
      <c r="A29" s="56" t="s">
        <v>71</v>
      </c>
      <c r="B29" s="54" t="s">
        <v>111</v>
      </c>
      <c r="C29" s="56" t="s">
        <v>107</v>
      </c>
      <c r="D29" s="55">
        <f>'LUC-2012-08-10-Run4'!AF33</f>
        <v>1.4251346260975677E-3</v>
      </c>
      <c r="E29" s="55">
        <f>'LUC-2012-08-10-Run4'!AG33</f>
        <v>1.4394010133432365E-3</v>
      </c>
      <c r="F29" s="55">
        <f>'LUC-2012-08-10-Run4'!AH33</f>
        <v>1.4536674005889065E-3</v>
      </c>
      <c r="G29" s="55">
        <f>'LUC-2012-08-10-Run4'!AI33</f>
        <v>1.4679337878345756E-3</v>
      </c>
      <c r="H29" s="55">
        <f>'LUC-2012-08-10-Run4'!AJ33</f>
        <v>1.4822001750802451E-3</v>
      </c>
      <c r="I29" s="55">
        <f>'LUC-2012-08-10-Run4'!AK33</f>
        <v>1.4964665623259147E-3</v>
      </c>
      <c r="J29" s="55">
        <f>'LUC-2012-08-10-Run4'!AL33</f>
        <v>1.5107329495715842E-3</v>
      </c>
      <c r="K29" s="55">
        <f>'LUC-2012-08-10-Run4'!AM33</f>
        <v>1.5249993368172535E-3</v>
      </c>
      <c r="L29" s="55">
        <f>'LUC-2012-08-10-Run4'!AN33</f>
        <v>1.5392657240629226E-3</v>
      </c>
      <c r="M29" s="55">
        <f>'LUC-2012-08-10-Run4'!AO33</f>
        <v>1.5535321113085924E-3</v>
      </c>
      <c r="N29" s="55">
        <f>'LUC-2012-08-10-Run4'!AP33</f>
        <v>1.5677984985542617E-3</v>
      </c>
      <c r="O29" s="55">
        <f>'LUC-2012-08-10-Run4'!AQ33</f>
        <v>1.5820648857999312E-3</v>
      </c>
      <c r="P29" s="55">
        <f>'LUC-2012-08-10-Run4'!AR33</f>
        <v>1.5963312730456008E-3</v>
      </c>
      <c r="Q29" s="55">
        <f>'LUC-2012-08-10-Run4'!AS33</f>
        <v>1.6105976602912699E-3</v>
      </c>
      <c r="R29" s="55">
        <f>'LUC-2012-08-10-Run4'!AT33</f>
        <v>1.6248640475369394E-3</v>
      </c>
      <c r="S29" s="55">
        <f>'LUC-2012-08-10-Run4'!AU33</f>
        <v>1.6391304347826087E-3</v>
      </c>
      <c r="T29" s="55">
        <f>'LUC-2012-08-10-Run4'!AV33</f>
        <v>1.6512056578914661E-3</v>
      </c>
      <c r="U29" s="55">
        <f>'LUC-2012-08-10-Run4'!AW33</f>
        <v>1.6632808810003231E-3</v>
      </c>
      <c r="V29" s="55">
        <f>'LUC-2012-08-10-Run4'!AX33</f>
        <v>1.6753561041091803E-3</v>
      </c>
      <c r="W29" s="55">
        <f>'LUC-2012-08-10-Run4'!AY33</f>
        <v>1.6874313272180379E-3</v>
      </c>
      <c r="X29" s="55">
        <f>'LUC-2012-08-10-Run4'!AZ33</f>
        <v>1.6995065503268951E-3</v>
      </c>
      <c r="Y29" s="55">
        <f>'LUC-2012-08-10-Run4'!BA33</f>
        <v>1.7115817734357521E-3</v>
      </c>
      <c r="Z29" s="55">
        <f>'LUC-2012-08-10-Run4'!BB33</f>
        <v>1.7236569965446093E-3</v>
      </c>
      <c r="AA29" s="55">
        <f>'LUC-2012-08-10-Run4'!BC33</f>
        <v>1.7357322196534667E-3</v>
      </c>
      <c r="AB29" s="55">
        <f>'LUC-2012-08-10-Run4'!BD33</f>
        <v>1.7478074427623236E-3</v>
      </c>
      <c r="AC29" s="55">
        <f>'LUC-2012-08-10-Run4'!BE33</f>
        <v>1.759882665871181E-3</v>
      </c>
      <c r="AD29" s="55">
        <f>'LUC-2012-08-10-Run4'!BF33</f>
        <v>1.7719578889800382E-3</v>
      </c>
      <c r="AE29" s="55">
        <f>'LUC-2012-08-10-Run4'!BG33</f>
        <v>1.7840331120888959E-3</v>
      </c>
      <c r="AF29" s="55">
        <f>'LUC-2012-08-10-Run4'!BH33</f>
        <v>1.7961083351977531E-3</v>
      </c>
      <c r="AG29" s="55">
        <f>'LUC-2012-08-10-Run4'!BI33</f>
        <v>1.8081835583066094E-3</v>
      </c>
      <c r="AH29" s="55">
        <f>'LUC-2012-08-10-Run4'!BJ33</f>
        <v>1.8202587814154672E-3</v>
      </c>
      <c r="AI29" s="55">
        <f>'LUC-2012-08-10-Run4'!BK33</f>
        <v>1.8323340045243244E-3</v>
      </c>
      <c r="AJ29" s="55">
        <f>'LUC-2012-08-10-Run4'!BL33</f>
        <v>1.844409227633182E-3</v>
      </c>
      <c r="AK29" s="55">
        <f>'LUC-2012-08-10-Run4'!BM33</f>
        <v>1.8564844507420388E-3</v>
      </c>
      <c r="AL29" s="55">
        <f>'LUC-2012-08-10-Run4'!BN33</f>
        <v>1.8685596738508962E-3</v>
      </c>
      <c r="AM29" s="55">
        <f>'LUC-2012-08-10-Run4'!BO33</f>
        <v>1.8806348969597534E-3</v>
      </c>
      <c r="AN29" s="55">
        <f>'LUC-2012-08-10-Run4'!BP33</f>
        <v>1.8927101200686108E-3</v>
      </c>
      <c r="AO29" s="55">
        <f>'LUC-2012-08-10-Run4'!BQ33</f>
        <v>1.9047853431774678E-3</v>
      </c>
      <c r="AP29" s="55">
        <f>'LUC-2012-08-10-Run4'!BR33</f>
        <v>1.9168605662863256E-3</v>
      </c>
      <c r="AQ29" s="55">
        <f>'LUC-2012-08-10-Run4'!BS33</f>
        <v>1.9289357893951824E-3</v>
      </c>
      <c r="AR29" s="55">
        <f>'LUC-2012-08-10-Run4'!BT33</f>
        <v>1.9410110125040402E-3</v>
      </c>
      <c r="AS29" s="55">
        <f>'LUC-2012-08-10-Run4'!BU33</f>
        <v>1.9530862356128972E-3</v>
      </c>
      <c r="AT29" s="55">
        <f>'LUC-2012-08-10-Run4'!BV33</f>
        <v>1.9651614587217541E-3</v>
      </c>
      <c r="AU29" s="55">
        <f>'LUC-2012-08-10-Run4'!BW33</f>
        <v>1.9772366818306113E-3</v>
      </c>
      <c r="AV29" s="55">
        <f>'LUC-2012-08-10-Run4'!BX33</f>
        <v>1.989311904939469E-3</v>
      </c>
      <c r="AW29" s="55">
        <f>'LUC-2012-08-10-Run4'!BY33</f>
        <v>2.0013871280483257E-3</v>
      </c>
      <c r="AX29" s="55">
        <f>'LUC-2012-08-10-Run4'!BZ33</f>
        <v>2.0134623511571829E-3</v>
      </c>
      <c r="AY29" s="55">
        <f>'LUC-2012-08-10-Run4'!CA33</f>
        <v>2.0255375742660405E-3</v>
      </c>
      <c r="AZ29" s="55">
        <f>'LUC-2012-08-10-Run4'!CB33</f>
        <v>2.0376127973748973E-3</v>
      </c>
      <c r="BA29" s="55">
        <f>'LUC-2012-08-10-Run4'!CC33</f>
        <v>2.0496880204837549E-3</v>
      </c>
      <c r="BB29" s="55">
        <f>'LUC-2012-08-10-Run4'!CD33</f>
        <v>2.0617632435926121E-3</v>
      </c>
      <c r="BC29" s="55">
        <f>'LUC-2012-08-10-Run4'!CE33</f>
        <v>2.0738384667014697E-3</v>
      </c>
      <c r="BD29" s="55">
        <f>'LUC-2012-08-10-Run4'!CF33</f>
        <v>2.0859136898103261E-3</v>
      </c>
      <c r="BE29" s="55">
        <f>'LUC-2012-08-10-Run4'!CG33</f>
        <v>2.0979889129191837E-3</v>
      </c>
      <c r="BF29" s="55">
        <f>'LUC-2012-08-10-Run4'!CH33</f>
        <v>2.1100641360280409E-3</v>
      </c>
      <c r="BG29" s="55">
        <f>'LUC-2012-08-10-Run4'!CI33</f>
        <v>2.1221393591368985E-3</v>
      </c>
      <c r="BH29" s="55">
        <f>'LUC-2012-08-10-Run4'!CJ33</f>
        <v>2.1342145822457557E-3</v>
      </c>
      <c r="BI29" s="55">
        <f>'LUC-2012-08-10-Run4'!CK33</f>
        <v>2.1462898053546129E-3</v>
      </c>
      <c r="BJ29" s="55">
        <f>'LUC-2012-08-10-Run4'!CL33</f>
        <v>2.1583650284634701E-3</v>
      </c>
      <c r="BK29" s="55">
        <f>'LUC-2012-08-10-Run4'!CM33</f>
        <v>2.1704402515723277E-3</v>
      </c>
      <c r="BM29" s="104"/>
      <c r="BN29" s="57" t="s">
        <v>111</v>
      </c>
      <c r="BO29" s="83">
        <f t="shared" si="14"/>
        <v>1.4251346260975677</v>
      </c>
      <c r="BP29" s="83">
        <f t="shared" si="15"/>
        <v>1.5535321113085925</v>
      </c>
      <c r="BQ29" s="83">
        <f t="shared" si="16"/>
        <v>1.6874313272180379</v>
      </c>
      <c r="BR29" s="83">
        <f t="shared" si="17"/>
        <v>1.8081835583066095</v>
      </c>
      <c r="BS29" s="83">
        <f t="shared" si="18"/>
        <v>1.9289357893951824</v>
      </c>
      <c r="BT29" s="83">
        <f t="shared" si="19"/>
        <v>2.0496880204837549</v>
      </c>
      <c r="BU29" s="83">
        <f t="shared" si="20"/>
        <v>2.1704402515723276</v>
      </c>
    </row>
    <row r="30" spans="1:73" x14ac:dyDescent="0.25">
      <c r="A30" s="56" t="s">
        <v>71</v>
      </c>
      <c r="B30" s="54" t="s">
        <v>102</v>
      </c>
      <c r="C30" s="56" t="s">
        <v>107</v>
      </c>
      <c r="D30" s="55">
        <f>'LUC-2012-08-10-Run4'!AF34</f>
        <v>1.6577549140049134E-3</v>
      </c>
      <c r="E30" s="55">
        <f>'LUC-2012-08-10-Run4'!AG34</f>
        <v>1.6804361179361179E-3</v>
      </c>
      <c r="F30" s="55">
        <f>'LUC-2012-08-10-Run4'!AH34</f>
        <v>1.7031173218673219E-3</v>
      </c>
      <c r="G30" s="55">
        <f>'LUC-2012-08-10-Run4'!AI34</f>
        <v>1.7257985257985258E-3</v>
      </c>
      <c r="H30" s="55">
        <f>'LUC-2012-08-10-Run4'!AJ34</f>
        <v>1.7484797297297294E-3</v>
      </c>
      <c r="I30" s="55">
        <f>'LUC-2012-08-10-Run4'!AK34</f>
        <v>1.7711609336609332E-3</v>
      </c>
      <c r="J30" s="55">
        <f>'LUC-2012-08-10-Run4'!AL34</f>
        <v>1.7938421375921377E-3</v>
      </c>
      <c r="K30" s="55">
        <f>'LUC-2012-08-10-Run4'!AM34</f>
        <v>1.8165233415233415E-3</v>
      </c>
      <c r="L30" s="55">
        <f>'LUC-2012-08-10-Run4'!AN34</f>
        <v>1.8392045454545453E-3</v>
      </c>
      <c r="M30" s="55">
        <f>'LUC-2012-08-10-Run4'!AO34</f>
        <v>1.8618857493857496E-3</v>
      </c>
      <c r="N30" s="55">
        <f>'LUC-2012-08-10-Run4'!AP34</f>
        <v>1.8845669533169532E-3</v>
      </c>
      <c r="O30" s="55">
        <f>'LUC-2012-08-10-Run4'!AQ34</f>
        <v>1.9072481572481575E-3</v>
      </c>
      <c r="P30" s="55">
        <f>'LUC-2012-08-10-Run4'!AR34</f>
        <v>1.9299293611793611E-3</v>
      </c>
      <c r="Q30" s="55">
        <f>'LUC-2012-08-10-Run4'!AS34</f>
        <v>1.9526105651105647E-3</v>
      </c>
      <c r="R30" s="55">
        <f>'LUC-2012-08-10-Run4'!AT34</f>
        <v>1.9752917690417696E-3</v>
      </c>
      <c r="S30" s="55">
        <f>'LUC-2012-08-10-Run4'!AU34</f>
        <v>1.9979729729729728E-3</v>
      </c>
      <c r="T30" s="55">
        <f>'LUC-2012-08-10-Run4'!AV34</f>
        <v>2.0184735872235877E-3</v>
      </c>
      <c r="U30" s="55">
        <f>'LUC-2012-08-10-Run4'!AW34</f>
        <v>2.0389742014742013E-3</v>
      </c>
      <c r="V30" s="55">
        <f>'LUC-2012-08-10-Run4'!AX34</f>
        <v>2.0594748157248153E-3</v>
      </c>
      <c r="W30" s="55">
        <f>'LUC-2012-08-10-Run4'!AY34</f>
        <v>2.0799754299754298E-3</v>
      </c>
      <c r="X30" s="55">
        <f>'LUC-2012-08-10-Run4'!AZ34</f>
        <v>2.1004760442260443E-3</v>
      </c>
      <c r="Y30" s="55">
        <f>'LUC-2012-08-10-Run4'!BA34</f>
        <v>2.1209766584766587E-3</v>
      </c>
      <c r="Z30" s="55">
        <f>'LUC-2012-08-10-Run4'!BB34</f>
        <v>2.1414772727272723E-3</v>
      </c>
      <c r="AA30" s="55">
        <f>'LUC-2012-08-10-Run4'!BC34</f>
        <v>2.1619778869778868E-3</v>
      </c>
      <c r="AB30" s="55">
        <f>'LUC-2012-08-10-Run4'!BD34</f>
        <v>2.1824785012285013E-3</v>
      </c>
      <c r="AC30" s="55">
        <f>'LUC-2012-08-10-Run4'!BE34</f>
        <v>2.2029791154791153E-3</v>
      </c>
      <c r="AD30" s="55">
        <f>'LUC-2012-08-10-Run4'!BF34</f>
        <v>2.2234797297297293E-3</v>
      </c>
      <c r="AE30" s="55">
        <f>'LUC-2012-08-10-Run4'!BG34</f>
        <v>2.2439803439803438E-3</v>
      </c>
      <c r="AF30" s="55">
        <f>'LUC-2012-08-10-Run4'!BH34</f>
        <v>2.2644809582309583E-3</v>
      </c>
      <c r="AG30" s="55">
        <f>'LUC-2012-08-10-Run4'!BI34</f>
        <v>2.2849815724815723E-3</v>
      </c>
      <c r="AH30" s="55">
        <f>'LUC-2012-08-10-Run4'!BJ34</f>
        <v>2.3054821867321868E-3</v>
      </c>
      <c r="AI30" s="55">
        <f>'LUC-2012-08-10-Run4'!BK34</f>
        <v>2.3259828009828008E-3</v>
      </c>
      <c r="AJ30" s="55">
        <f>'LUC-2012-08-10-Run4'!BL34</f>
        <v>2.3464834152334153E-3</v>
      </c>
      <c r="AK30" s="55">
        <f>'LUC-2012-08-10-Run4'!BM34</f>
        <v>2.3669840294840293E-3</v>
      </c>
      <c r="AL30" s="55">
        <f>'LUC-2012-08-10-Run4'!BN34</f>
        <v>2.3874846437346438E-3</v>
      </c>
      <c r="AM30" s="55">
        <f>'LUC-2012-08-10-Run4'!BO34</f>
        <v>2.4079852579852574E-3</v>
      </c>
      <c r="AN30" s="55">
        <f>'LUC-2012-08-10-Run4'!BP34</f>
        <v>2.4284858722358718E-3</v>
      </c>
      <c r="AO30" s="55">
        <f>'LUC-2012-08-10-Run4'!BQ34</f>
        <v>2.4489864864864859E-3</v>
      </c>
      <c r="AP30" s="55">
        <f>'LUC-2012-08-10-Run4'!BR34</f>
        <v>2.4694871007371003E-3</v>
      </c>
      <c r="AQ30" s="55">
        <f>'LUC-2012-08-10-Run4'!BS34</f>
        <v>2.4899877149877148E-3</v>
      </c>
      <c r="AR30" s="55">
        <f>'LUC-2012-08-10-Run4'!BT34</f>
        <v>2.5104883292383293E-3</v>
      </c>
      <c r="AS30" s="55">
        <f>'LUC-2012-08-10-Run4'!BU34</f>
        <v>2.5309889434889433E-3</v>
      </c>
      <c r="AT30" s="55">
        <f>'LUC-2012-08-10-Run4'!BV34</f>
        <v>2.5514895577395573E-3</v>
      </c>
      <c r="AU30" s="55">
        <f>'LUC-2012-08-10-Run4'!BW34</f>
        <v>2.5719901719901722E-3</v>
      </c>
      <c r="AV30" s="55">
        <f>'LUC-2012-08-10-Run4'!BX34</f>
        <v>2.5924907862407863E-3</v>
      </c>
      <c r="AW30" s="55">
        <f>'LUC-2012-08-10-Run4'!BY34</f>
        <v>2.6129914004914007E-3</v>
      </c>
      <c r="AX30" s="55">
        <f>'LUC-2012-08-10-Run4'!BZ34</f>
        <v>2.6334920147420139E-3</v>
      </c>
      <c r="AY30" s="55">
        <f>'LUC-2012-08-10-Run4'!CA34</f>
        <v>2.6539926289926284E-3</v>
      </c>
      <c r="AZ30" s="55">
        <f>'LUC-2012-08-10-Run4'!CB34</f>
        <v>2.6744932432432428E-3</v>
      </c>
      <c r="BA30" s="55">
        <f>'LUC-2012-08-10-Run4'!CC34</f>
        <v>2.6949938574938573E-3</v>
      </c>
      <c r="BB30" s="55">
        <f>'LUC-2012-08-10-Run4'!CD34</f>
        <v>2.7154944717444713E-3</v>
      </c>
      <c r="BC30" s="55">
        <f>'LUC-2012-08-10-Run4'!CE34</f>
        <v>2.7359950859950858E-3</v>
      </c>
      <c r="BD30" s="55">
        <f>'LUC-2012-08-10-Run4'!CF34</f>
        <v>2.7564957002457007E-3</v>
      </c>
      <c r="BE30" s="55">
        <f>'LUC-2012-08-10-Run4'!CG34</f>
        <v>2.7769963144963143E-3</v>
      </c>
      <c r="BF30" s="55">
        <f>'LUC-2012-08-10-Run4'!CH34</f>
        <v>2.7974969287469288E-3</v>
      </c>
      <c r="BG30" s="55">
        <f>'LUC-2012-08-10-Run4'!CI34</f>
        <v>2.8179975429975424E-3</v>
      </c>
      <c r="BH30" s="55">
        <f>'LUC-2012-08-10-Run4'!CJ34</f>
        <v>2.8384981572481573E-3</v>
      </c>
      <c r="BI30" s="55">
        <f>'LUC-2012-08-10-Run4'!CK34</f>
        <v>2.8589987714987713E-3</v>
      </c>
      <c r="BJ30" s="55">
        <f>'LUC-2012-08-10-Run4'!CL34</f>
        <v>2.8794993857493853E-3</v>
      </c>
      <c r="BK30" s="55">
        <f>'LUC-2012-08-10-Run4'!CM34</f>
        <v>2.8999999999999998E-3</v>
      </c>
      <c r="BM30" s="104"/>
      <c r="BN30" s="57" t="s">
        <v>102</v>
      </c>
      <c r="BO30" s="83">
        <f t="shared" si="14"/>
        <v>1.6577549140049135</v>
      </c>
      <c r="BP30" s="83">
        <f t="shared" si="15"/>
        <v>1.8618857493857497</v>
      </c>
      <c r="BQ30" s="83">
        <f t="shared" si="16"/>
        <v>2.0799754299754296</v>
      </c>
      <c r="BR30" s="83">
        <f t="shared" si="17"/>
        <v>2.2849815724815721</v>
      </c>
      <c r="BS30" s="83">
        <f t="shared" si="18"/>
        <v>2.489987714987715</v>
      </c>
      <c r="BT30" s="83">
        <f t="shared" si="19"/>
        <v>2.6949938574938574</v>
      </c>
      <c r="BU30" s="83">
        <f t="shared" si="20"/>
        <v>2.9</v>
      </c>
    </row>
    <row r="31" spans="1:73" x14ac:dyDescent="0.25">
      <c r="A31" s="56" t="s">
        <v>71</v>
      </c>
      <c r="B31" s="54" t="s">
        <v>103</v>
      </c>
      <c r="C31" s="56" t="s">
        <v>107</v>
      </c>
      <c r="D31" s="55">
        <f>'LUC-2012-08-10-Run4'!AF35</f>
        <v>6.1522727272727278E-2</v>
      </c>
      <c r="E31" s="55">
        <f>'LUC-2012-08-10-Run4'!AG35</f>
        <v>6.1954545454545457E-2</v>
      </c>
      <c r="F31" s="55">
        <f>'LUC-2012-08-10-Run4'!AH35</f>
        <v>6.2386363636363643E-2</v>
      </c>
      <c r="G31" s="55">
        <f>'LUC-2012-08-10-Run4'!AI35</f>
        <v>6.2818181818181829E-2</v>
      </c>
      <c r="H31" s="55">
        <f>'LUC-2012-08-10-Run4'!AJ35</f>
        <v>6.3250000000000001E-2</v>
      </c>
      <c r="I31" s="55">
        <f>'LUC-2012-08-10-Run4'!AK35</f>
        <v>6.3681818181818187E-2</v>
      </c>
      <c r="J31" s="55">
        <f>'LUC-2012-08-10-Run4'!AL35</f>
        <v>6.4113636363636373E-2</v>
      </c>
      <c r="K31" s="55">
        <f>'LUC-2012-08-10-Run4'!AM35</f>
        <v>6.4545454545454545E-2</v>
      </c>
      <c r="L31" s="55">
        <f>'LUC-2012-08-10-Run4'!AN35</f>
        <v>6.4977272727272731E-2</v>
      </c>
      <c r="M31" s="55">
        <f>'LUC-2012-08-10-Run4'!AO35</f>
        <v>6.5409090909090917E-2</v>
      </c>
      <c r="N31" s="55">
        <f>'LUC-2012-08-10-Run4'!AP35</f>
        <v>6.5840909090909089E-2</v>
      </c>
      <c r="O31" s="55">
        <f>'LUC-2012-08-10-Run4'!AQ35</f>
        <v>6.6272727272727275E-2</v>
      </c>
      <c r="P31" s="55">
        <f>'LUC-2012-08-10-Run4'!AR35</f>
        <v>6.6704545454545461E-2</v>
      </c>
      <c r="Q31" s="55">
        <f>'LUC-2012-08-10-Run4'!AS35</f>
        <v>6.7136363636363633E-2</v>
      </c>
      <c r="R31" s="55">
        <f>'LUC-2012-08-10-Run4'!AT35</f>
        <v>6.7568181818181819E-2</v>
      </c>
      <c r="S31" s="55">
        <f>'LUC-2012-08-10-Run4'!AU35</f>
        <v>6.8000000000000005E-2</v>
      </c>
      <c r="T31" s="55">
        <f>'LUC-2012-08-10-Run4'!AV35</f>
        <v>6.881818181818182E-2</v>
      </c>
      <c r="U31" s="55">
        <f>'LUC-2012-08-10-Run4'!AW35</f>
        <v>6.9636363636363635E-2</v>
      </c>
      <c r="V31" s="55">
        <f>'LUC-2012-08-10-Run4'!AX35</f>
        <v>7.0454545454545464E-2</v>
      </c>
      <c r="W31" s="55">
        <f>'LUC-2012-08-10-Run4'!AY35</f>
        <v>7.1272727272727279E-2</v>
      </c>
      <c r="X31" s="55">
        <f>'LUC-2012-08-10-Run4'!AZ35</f>
        <v>7.2090909090909094E-2</v>
      </c>
      <c r="Y31" s="55">
        <f>'LUC-2012-08-10-Run4'!BA35</f>
        <v>7.290909090909091E-2</v>
      </c>
      <c r="Z31" s="55">
        <f>'LUC-2012-08-10-Run4'!BB35</f>
        <v>7.3727272727272725E-2</v>
      </c>
      <c r="AA31" s="55">
        <f>'LUC-2012-08-10-Run4'!BC35</f>
        <v>7.4545454545454554E-2</v>
      </c>
      <c r="AB31" s="55">
        <f>'LUC-2012-08-10-Run4'!BD35</f>
        <v>7.5363636363636369E-2</v>
      </c>
      <c r="AC31" s="55">
        <f>'LUC-2012-08-10-Run4'!BE35</f>
        <v>7.6181818181818184E-2</v>
      </c>
      <c r="AD31" s="55">
        <f>'LUC-2012-08-10-Run4'!BF35</f>
        <v>7.6999999999999999E-2</v>
      </c>
      <c r="AE31" s="55">
        <f>'LUC-2012-08-10-Run4'!BG35</f>
        <v>7.7818181818181814E-2</v>
      </c>
      <c r="AF31" s="55">
        <f>'LUC-2012-08-10-Run4'!BH35</f>
        <v>7.8636363636363643E-2</v>
      </c>
      <c r="AG31" s="55">
        <f>'LUC-2012-08-10-Run4'!BI35</f>
        <v>7.9454545454545458E-2</v>
      </c>
      <c r="AH31" s="55">
        <f>'LUC-2012-08-10-Run4'!BJ35</f>
        <v>8.0272727272727273E-2</v>
      </c>
      <c r="AI31" s="55">
        <f>'LUC-2012-08-10-Run4'!BK35</f>
        <v>8.1090909090909088E-2</v>
      </c>
      <c r="AJ31" s="55">
        <f>'LUC-2012-08-10-Run4'!BL35</f>
        <v>8.1909090909090904E-2</v>
      </c>
      <c r="AK31" s="55">
        <f>'LUC-2012-08-10-Run4'!BM35</f>
        <v>8.2727272727272733E-2</v>
      </c>
      <c r="AL31" s="55">
        <f>'LUC-2012-08-10-Run4'!BN35</f>
        <v>8.3545454545454548E-2</v>
      </c>
      <c r="AM31" s="55">
        <f>'LUC-2012-08-10-Run4'!BO35</f>
        <v>8.4363636363636363E-2</v>
      </c>
      <c r="AN31" s="55">
        <f>'LUC-2012-08-10-Run4'!BP35</f>
        <v>8.5181818181818178E-2</v>
      </c>
      <c r="AO31" s="55">
        <f>'LUC-2012-08-10-Run4'!BQ35</f>
        <v>8.5999999999999993E-2</v>
      </c>
      <c r="AP31" s="55">
        <f>'LUC-2012-08-10-Run4'!BR35</f>
        <v>8.6818181818181822E-2</v>
      </c>
      <c r="AQ31" s="55">
        <f>'LUC-2012-08-10-Run4'!BS35</f>
        <v>8.7636363636363637E-2</v>
      </c>
      <c r="AR31" s="55">
        <f>'LUC-2012-08-10-Run4'!BT35</f>
        <v>8.8454545454545452E-2</v>
      </c>
      <c r="AS31" s="55">
        <f>'LUC-2012-08-10-Run4'!BU35</f>
        <v>8.9272727272727267E-2</v>
      </c>
      <c r="AT31" s="55">
        <f>'LUC-2012-08-10-Run4'!BV35</f>
        <v>9.0090909090909083E-2</v>
      </c>
      <c r="AU31" s="55">
        <f>'LUC-2012-08-10-Run4'!BW35</f>
        <v>9.0909090909090912E-2</v>
      </c>
      <c r="AV31" s="55">
        <f>'LUC-2012-08-10-Run4'!BX35</f>
        <v>9.1727272727272727E-2</v>
      </c>
      <c r="AW31" s="55">
        <f>'LUC-2012-08-10-Run4'!BY35</f>
        <v>9.2545454545454542E-2</v>
      </c>
      <c r="AX31" s="55">
        <f>'LUC-2012-08-10-Run4'!BZ35</f>
        <v>9.3363636363636357E-2</v>
      </c>
      <c r="AY31" s="55">
        <f>'LUC-2012-08-10-Run4'!CA35</f>
        <v>9.4181818181818172E-2</v>
      </c>
      <c r="AZ31" s="55">
        <f>'LUC-2012-08-10-Run4'!CB35</f>
        <v>9.5000000000000001E-2</v>
      </c>
      <c r="BA31" s="55">
        <f>'LUC-2012-08-10-Run4'!CC35</f>
        <v>9.5818181818181816E-2</v>
      </c>
      <c r="BB31" s="55">
        <f>'LUC-2012-08-10-Run4'!CD35</f>
        <v>9.6636363636363631E-2</v>
      </c>
      <c r="BC31" s="55">
        <f>'LUC-2012-08-10-Run4'!CE35</f>
        <v>9.7454545454545446E-2</v>
      </c>
      <c r="BD31" s="55">
        <f>'LUC-2012-08-10-Run4'!CF35</f>
        <v>9.8272727272727262E-2</v>
      </c>
      <c r="BE31" s="55">
        <f>'LUC-2012-08-10-Run4'!CG35</f>
        <v>9.9090909090909091E-2</v>
      </c>
      <c r="BF31" s="55">
        <f>'LUC-2012-08-10-Run4'!CH35</f>
        <v>9.9909090909090906E-2</v>
      </c>
      <c r="BG31" s="55">
        <f>'LUC-2012-08-10-Run4'!CI35</f>
        <v>0.10072727272727272</v>
      </c>
      <c r="BH31" s="55">
        <f>'LUC-2012-08-10-Run4'!CJ35</f>
        <v>0.10154545454545455</v>
      </c>
      <c r="BI31" s="55">
        <f>'LUC-2012-08-10-Run4'!CK35</f>
        <v>0.10236363636363635</v>
      </c>
      <c r="BJ31" s="55">
        <f>'LUC-2012-08-10-Run4'!CL35</f>
        <v>0.10318181818181818</v>
      </c>
      <c r="BK31" s="55">
        <f>'LUC-2012-08-10-Run4'!CM35</f>
        <v>0.104</v>
      </c>
      <c r="BM31" s="104"/>
      <c r="BN31" s="57" t="s">
        <v>103</v>
      </c>
      <c r="BO31" s="67">
        <f t="shared" si="14"/>
        <v>61.52272727272728</v>
      </c>
      <c r="BP31" s="67">
        <f t="shared" si="15"/>
        <v>65.409090909090921</v>
      </c>
      <c r="BQ31" s="67">
        <f t="shared" si="16"/>
        <v>71.27272727272728</v>
      </c>
      <c r="BR31" s="67">
        <f t="shared" si="17"/>
        <v>79.454545454545453</v>
      </c>
      <c r="BS31" s="67">
        <f t="shared" si="18"/>
        <v>87.63636363636364</v>
      </c>
      <c r="BT31" s="67">
        <f t="shared" si="19"/>
        <v>95.818181818181813</v>
      </c>
      <c r="BU31" s="67">
        <f t="shared" si="20"/>
        <v>104</v>
      </c>
    </row>
    <row r="32" spans="1:73" x14ac:dyDescent="0.25">
      <c r="A32" s="56" t="s">
        <v>71</v>
      </c>
      <c r="B32" s="54" t="s">
        <v>104</v>
      </c>
      <c r="C32" s="56" t="s">
        <v>107</v>
      </c>
      <c r="D32" s="55">
        <f>'LUC-2012-08-10-Run4'!AF39</f>
        <v>8.6618671127481966E-4</v>
      </c>
      <c r="E32" s="55">
        <f>'LUC-2012-08-10-Run4'!AG39</f>
        <v>8.7332065560907562E-4</v>
      </c>
      <c r="F32" s="55">
        <f>'LUC-2012-08-10-Run4'!AH39</f>
        <v>8.8045459994333169E-4</v>
      </c>
      <c r="G32" s="55">
        <f>'LUC-2012-08-10-Run4'!AI39</f>
        <v>8.8758854427758765E-4</v>
      </c>
      <c r="H32" s="55">
        <f>'LUC-2012-08-10-Run4'!AJ39</f>
        <v>8.9472248861184372E-4</v>
      </c>
      <c r="I32" s="55">
        <f>'LUC-2012-08-10-Run4'!AK39</f>
        <v>9.0185643294609969E-4</v>
      </c>
      <c r="J32" s="55">
        <f>'LUC-2012-08-10-Run4'!AL39</f>
        <v>9.0899037728035576E-4</v>
      </c>
      <c r="K32" s="55">
        <f>'LUC-2012-08-10-Run4'!AM39</f>
        <v>9.1612432161461172E-4</v>
      </c>
      <c r="L32" s="55">
        <f>'LUC-2012-08-10-Run4'!AN39</f>
        <v>9.2325826594886768E-4</v>
      </c>
      <c r="M32" s="55">
        <f>'LUC-2012-08-10-Run4'!AO39</f>
        <v>9.3039221028312375E-4</v>
      </c>
      <c r="N32" s="55">
        <f>'LUC-2012-08-10-Run4'!AP39</f>
        <v>9.3752615461737982E-4</v>
      </c>
      <c r="O32" s="55">
        <f>'LUC-2012-08-10-Run4'!AQ39</f>
        <v>9.4466009895163578E-4</v>
      </c>
      <c r="P32" s="55">
        <f>'LUC-2012-08-10-Run4'!AR39</f>
        <v>9.5179404328589175E-4</v>
      </c>
      <c r="Q32" s="55">
        <f>'LUC-2012-08-10-Run4'!AS39</f>
        <v>9.5892798762014782E-4</v>
      </c>
      <c r="R32" s="55">
        <f>'LUC-2012-08-10-Run4'!AT39</f>
        <v>9.6606193195440389E-4</v>
      </c>
      <c r="S32" s="55">
        <f>'LUC-2012-08-10-Run4'!AU39</f>
        <v>9.7319587628865985E-4</v>
      </c>
      <c r="T32" s="55">
        <f>'LUC-2012-08-10-Run4'!AV39</f>
        <v>9.9072164948453621E-4</v>
      </c>
      <c r="U32" s="55">
        <f>'LUC-2012-08-10-Run4'!AW39</f>
        <v>1.0082474226804125E-3</v>
      </c>
      <c r="V32" s="55">
        <f>'LUC-2012-08-10-Run4'!AX39</f>
        <v>1.0257731958762887E-3</v>
      </c>
      <c r="W32" s="55">
        <f>'LUC-2012-08-10-Run4'!AY39</f>
        <v>1.043298969072165E-3</v>
      </c>
      <c r="X32" s="55">
        <f>'LUC-2012-08-10-Run4'!AZ39</f>
        <v>1.0608247422680412E-3</v>
      </c>
      <c r="Y32" s="55">
        <f>'LUC-2012-08-10-Run4'!BA39</f>
        <v>1.0783505154639175E-3</v>
      </c>
      <c r="Z32" s="55">
        <f>'LUC-2012-08-10-Run4'!BB39</f>
        <v>1.095876288659794E-3</v>
      </c>
      <c r="AA32" s="55">
        <f>'LUC-2012-08-10-Run4'!BC39</f>
        <v>1.1134020618556702E-3</v>
      </c>
      <c r="AB32" s="55">
        <f>'LUC-2012-08-10-Run4'!BD39</f>
        <v>1.1309278350515465E-3</v>
      </c>
      <c r="AC32" s="55">
        <f>'LUC-2012-08-10-Run4'!BE39</f>
        <v>1.1484536082474227E-3</v>
      </c>
      <c r="AD32" s="55">
        <f>'LUC-2012-08-10-Run4'!BF39</f>
        <v>1.165979381443299E-3</v>
      </c>
      <c r="AE32" s="55">
        <f>'LUC-2012-08-10-Run4'!BG39</f>
        <v>1.1835051546391752E-3</v>
      </c>
      <c r="AF32" s="55">
        <f>'LUC-2012-08-10-Run4'!BH39</f>
        <v>1.2010309278350515E-3</v>
      </c>
      <c r="AG32" s="55">
        <f>'LUC-2012-08-10-Run4'!BI39</f>
        <v>1.2185567010309277E-3</v>
      </c>
      <c r="AH32" s="55">
        <f>'LUC-2012-08-10-Run4'!BJ39</f>
        <v>1.236082474226804E-3</v>
      </c>
      <c r="AI32" s="55">
        <f>'LUC-2012-08-10-Run4'!BK39</f>
        <v>1.2536082474226805E-3</v>
      </c>
      <c r="AJ32" s="55">
        <f>'LUC-2012-08-10-Run4'!BL39</f>
        <v>1.2711340206185567E-3</v>
      </c>
      <c r="AK32" s="55">
        <f>'LUC-2012-08-10-Run4'!BM39</f>
        <v>1.288659793814433E-3</v>
      </c>
      <c r="AL32" s="55">
        <f>'LUC-2012-08-10-Run4'!BN39</f>
        <v>1.3061855670103092E-3</v>
      </c>
      <c r="AM32" s="55">
        <f>'LUC-2012-08-10-Run4'!BO39</f>
        <v>1.3237113402061855E-3</v>
      </c>
      <c r="AN32" s="55">
        <f>'LUC-2012-08-10-Run4'!BP39</f>
        <v>1.3412371134020619E-3</v>
      </c>
      <c r="AO32" s="55">
        <f>'LUC-2012-08-10-Run4'!BQ39</f>
        <v>1.3587628865979382E-3</v>
      </c>
      <c r="AP32" s="55">
        <f>'LUC-2012-08-10-Run4'!BR39</f>
        <v>1.3762886597938145E-3</v>
      </c>
      <c r="AQ32" s="55">
        <f>'LUC-2012-08-10-Run4'!BS39</f>
        <v>1.3938144329896907E-3</v>
      </c>
      <c r="AR32" s="55">
        <f>'LUC-2012-08-10-Run4'!BT39</f>
        <v>1.411340206185567E-3</v>
      </c>
      <c r="AS32" s="55">
        <f>'LUC-2012-08-10-Run4'!BU39</f>
        <v>1.4288659793814432E-3</v>
      </c>
      <c r="AT32" s="55">
        <f>'LUC-2012-08-10-Run4'!BV39</f>
        <v>1.4463917525773195E-3</v>
      </c>
      <c r="AU32" s="55">
        <f>'LUC-2012-08-10-Run4'!BW39</f>
        <v>1.4639175257731957E-3</v>
      </c>
      <c r="AV32" s="55">
        <f>'LUC-2012-08-10-Run4'!BX39</f>
        <v>1.481443298969072E-3</v>
      </c>
      <c r="AW32" s="55">
        <f>'LUC-2012-08-10-Run4'!BY39</f>
        <v>1.4989690721649482E-3</v>
      </c>
      <c r="AX32" s="55">
        <f>'LUC-2012-08-10-Run4'!BZ39</f>
        <v>1.5164948453608247E-3</v>
      </c>
      <c r="AY32" s="55">
        <f>'LUC-2012-08-10-Run4'!CA39</f>
        <v>1.534020618556701E-3</v>
      </c>
      <c r="AZ32" s="55">
        <f>'LUC-2012-08-10-Run4'!CB39</f>
        <v>1.5515463917525772E-3</v>
      </c>
      <c r="BA32" s="55">
        <f>'LUC-2012-08-10-Run4'!CC39</f>
        <v>1.5690721649484537E-3</v>
      </c>
      <c r="BB32" s="55">
        <f>'LUC-2012-08-10-Run4'!CD39</f>
        <v>1.5865979381443299E-3</v>
      </c>
      <c r="BC32" s="55">
        <f>'LUC-2012-08-10-Run4'!CE39</f>
        <v>1.6041237113402062E-3</v>
      </c>
      <c r="BD32" s="55">
        <f>'LUC-2012-08-10-Run4'!CF39</f>
        <v>1.6216494845360824E-3</v>
      </c>
      <c r="BE32" s="55">
        <f>'LUC-2012-08-10-Run4'!CG39</f>
        <v>1.6391752577319587E-3</v>
      </c>
      <c r="BF32" s="55">
        <f>'LUC-2012-08-10-Run4'!CH39</f>
        <v>1.656701030927835E-3</v>
      </c>
      <c r="BG32" s="55">
        <f>'LUC-2012-08-10-Run4'!CI39</f>
        <v>1.6742268041237112E-3</v>
      </c>
      <c r="BH32" s="55">
        <f>'LUC-2012-08-10-Run4'!CJ39</f>
        <v>1.6917525773195875E-3</v>
      </c>
      <c r="BI32" s="55">
        <f>'LUC-2012-08-10-Run4'!CK39</f>
        <v>1.7092783505154637E-3</v>
      </c>
      <c r="BJ32" s="55">
        <f>'LUC-2012-08-10-Run4'!CL39</f>
        <v>1.72680412371134E-3</v>
      </c>
      <c r="BK32" s="55">
        <f>'LUC-2012-08-10-Run4'!CM39</f>
        <v>1.7443298969072164E-3</v>
      </c>
      <c r="BM32" s="105"/>
      <c r="BN32" s="58" t="s">
        <v>104</v>
      </c>
      <c r="BO32" s="84">
        <f t="shared" si="14"/>
        <v>0.86618671127481961</v>
      </c>
      <c r="BP32" s="84">
        <f t="shared" si="15"/>
        <v>0.9303922102831238</v>
      </c>
      <c r="BQ32" s="84">
        <f t="shared" si="16"/>
        <v>1.043298969072165</v>
      </c>
      <c r="BR32" s="84">
        <f t="shared" si="17"/>
        <v>1.2185567010309277</v>
      </c>
      <c r="BS32" s="84">
        <f t="shared" si="18"/>
        <v>1.3938144329896907</v>
      </c>
      <c r="BT32" s="84">
        <f t="shared" si="19"/>
        <v>1.5690721649484536</v>
      </c>
      <c r="BU32" s="84">
        <f t="shared" si="20"/>
        <v>1.7443298969072165</v>
      </c>
    </row>
    <row r="33" spans="1:74" x14ac:dyDescent="0.25">
      <c r="BM33" s="108" t="s">
        <v>38</v>
      </c>
      <c r="BN33" s="57" t="s">
        <v>99</v>
      </c>
      <c r="BO33" s="83">
        <f t="shared" ref="BO33:BO39" si="21">D34*1000</f>
        <v>5.0675000000000008</v>
      </c>
      <c r="BP33" s="83">
        <f t="shared" ref="BP33:BP39" si="22">M34*1000</f>
        <v>5.7650000000000015</v>
      </c>
      <c r="BQ33" s="83">
        <f t="shared" ref="BQ33:BQ39" si="23">W34*1000</f>
        <v>6.34</v>
      </c>
      <c r="BR33" s="83">
        <f t="shared" ref="BR33:BR39" si="24">AG34*1000</f>
        <v>6.6150000000000002</v>
      </c>
      <c r="BS33" s="83">
        <f t="shared" ref="BS33:BS39" si="25">AQ34*1000</f>
        <v>6.8900000000000006</v>
      </c>
      <c r="BT33" s="83">
        <f t="shared" ref="BT33:BT39" si="26">BA34*1000</f>
        <v>7.1649999999999991</v>
      </c>
      <c r="BU33" s="83">
        <f t="shared" ref="BU33:BU39" si="27">BK34*1000</f>
        <v>7.4399999999999995</v>
      </c>
    </row>
    <row r="34" spans="1:74" x14ac:dyDescent="0.25">
      <c r="A34" s="56" t="s">
        <v>38</v>
      </c>
      <c r="B34" s="54" t="s">
        <v>99</v>
      </c>
      <c r="C34" s="56" t="s">
        <v>107</v>
      </c>
      <c r="D34" s="55">
        <f>'LUC-2012-08-10-Run4'!AF41</f>
        <v>5.0675000000000008E-3</v>
      </c>
      <c r="E34" s="55">
        <f>'LUC-2012-08-10-Run4'!AG41</f>
        <v>5.1450000000000003E-3</v>
      </c>
      <c r="F34" s="55">
        <f>'LUC-2012-08-10-Run4'!AH41</f>
        <v>5.2225000000000006E-3</v>
      </c>
      <c r="G34" s="55">
        <f>'LUC-2012-08-10-Run4'!AI41</f>
        <v>5.3000000000000009E-3</v>
      </c>
      <c r="H34" s="55">
        <f>'LUC-2012-08-10-Run4'!AJ41</f>
        <v>5.3775000000000003E-3</v>
      </c>
      <c r="I34" s="55">
        <f>'LUC-2012-08-10-Run4'!AK41</f>
        <v>5.4550000000000006E-3</v>
      </c>
      <c r="J34" s="55">
        <f>'LUC-2012-08-10-Run4'!AL41</f>
        <v>5.532500000000001E-3</v>
      </c>
      <c r="K34" s="55">
        <f>'LUC-2012-08-10-Run4'!AM41</f>
        <v>5.6100000000000004E-3</v>
      </c>
      <c r="L34" s="55">
        <f>'LUC-2012-08-10-Run4'!AN41</f>
        <v>5.6874999999999998E-3</v>
      </c>
      <c r="M34" s="55">
        <f>'LUC-2012-08-10-Run4'!AO41</f>
        <v>5.765000000000001E-3</v>
      </c>
      <c r="N34" s="55">
        <f>'LUC-2012-08-10-Run4'!AP41</f>
        <v>5.8425000000000005E-3</v>
      </c>
      <c r="O34" s="55">
        <f>'LUC-2012-08-10-Run4'!AQ41</f>
        <v>5.9199999999999999E-3</v>
      </c>
      <c r="P34" s="55">
        <f>'LUC-2012-08-10-Run4'!AR41</f>
        <v>5.9975000000000011E-3</v>
      </c>
      <c r="Q34" s="55">
        <f>'LUC-2012-08-10-Run4'!AS41</f>
        <v>6.0750000000000005E-3</v>
      </c>
      <c r="R34" s="55">
        <f>'LUC-2012-08-10-Run4'!AT41</f>
        <v>6.1525E-3</v>
      </c>
      <c r="S34" s="55">
        <f>'LUC-2012-08-10-Run4'!AU41</f>
        <v>6.2300000000000003E-3</v>
      </c>
      <c r="T34" s="55">
        <f>'LUC-2012-08-10-Run4'!AV41</f>
        <v>6.2575E-3</v>
      </c>
      <c r="U34" s="55">
        <f>'LUC-2012-08-10-Run4'!AW41</f>
        <v>6.2850000000000007E-3</v>
      </c>
      <c r="V34" s="55">
        <f>'LUC-2012-08-10-Run4'!AX41</f>
        <v>6.3125000000000004E-3</v>
      </c>
      <c r="W34" s="55">
        <f>'LUC-2012-08-10-Run4'!AY41</f>
        <v>6.3400000000000001E-3</v>
      </c>
      <c r="X34" s="55">
        <f>'LUC-2012-08-10-Run4'!AZ41</f>
        <v>6.3674999999999999E-3</v>
      </c>
      <c r="Y34" s="55">
        <f>'LUC-2012-08-10-Run4'!BA41</f>
        <v>6.3950000000000005E-3</v>
      </c>
      <c r="Z34" s="55">
        <f>'LUC-2012-08-10-Run4'!BB41</f>
        <v>6.4225000000000003E-3</v>
      </c>
      <c r="AA34" s="55">
        <f>'LUC-2012-08-10-Run4'!BC41</f>
        <v>6.45E-3</v>
      </c>
      <c r="AB34" s="55">
        <f>'LUC-2012-08-10-Run4'!BD41</f>
        <v>6.4774999999999998E-3</v>
      </c>
      <c r="AC34" s="55">
        <f>'LUC-2012-08-10-Run4'!BE41</f>
        <v>6.5050000000000004E-3</v>
      </c>
      <c r="AD34" s="55">
        <f>'LUC-2012-08-10-Run4'!BF41</f>
        <v>6.5325000000000001E-3</v>
      </c>
      <c r="AE34" s="55">
        <f>'LUC-2012-08-10-Run4'!BG41</f>
        <v>6.5599999999999999E-3</v>
      </c>
      <c r="AF34" s="55">
        <f>'LUC-2012-08-10-Run4'!BH41</f>
        <v>6.5875000000000005E-3</v>
      </c>
      <c r="AG34" s="55">
        <f>'LUC-2012-08-10-Run4'!BI41</f>
        <v>6.6150000000000002E-3</v>
      </c>
      <c r="AH34" s="55">
        <f>'LUC-2012-08-10-Run4'!BJ41</f>
        <v>6.6425E-3</v>
      </c>
      <c r="AI34" s="55">
        <f>'LUC-2012-08-10-Run4'!BK41</f>
        <v>6.6699999999999997E-3</v>
      </c>
      <c r="AJ34" s="55">
        <f>'LUC-2012-08-10-Run4'!BL41</f>
        <v>6.6975000000000003E-3</v>
      </c>
      <c r="AK34" s="55">
        <f>'LUC-2012-08-10-Run4'!BM41</f>
        <v>6.7250000000000001E-3</v>
      </c>
      <c r="AL34" s="55">
        <f>'LUC-2012-08-10-Run4'!BN41</f>
        <v>6.7524999999999998E-3</v>
      </c>
      <c r="AM34" s="55">
        <f>'LUC-2012-08-10-Run4'!BO41</f>
        <v>6.7799999999999996E-3</v>
      </c>
      <c r="AN34" s="55">
        <f>'LUC-2012-08-10-Run4'!BP41</f>
        <v>6.8075000000000002E-3</v>
      </c>
      <c r="AO34" s="55">
        <f>'LUC-2012-08-10-Run4'!BQ41</f>
        <v>6.8349999999999999E-3</v>
      </c>
      <c r="AP34" s="55">
        <f>'LUC-2012-08-10-Run4'!BR41</f>
        <v>6.8624999999999997E-3</v>
      </c>
      <c r="AQ34" s="55">
        <f>'LUC-2012-08-10-Run4'!BS41</f>
        <v>6.8900000000000003E-3</v>
      </c>
      <c r="AR34" s="55">
        <f>'LUC-2012-08-10-Run4'!BT41</f>
        <v>6.9175E-3</v>
      </c>
      <c r="AS34" s="55">
        <f>'LUC-2012-08-10-Run4'!BU41</f>
        <v>6.9449999999999998E-3</v>
      </c>
      <c r="AT34" s="55">
        <f>'LUC-2012-08-10-Run4'!BV41</f>
        <v>6.9724999999999995E-3</v>
      </c>
      <c r="AU34" s="55">
        <f>'LUC-2012-08-10-Run4'!BW41</f>
        <v>7.0000000000000001E-3</v>
      </c>
      <c r="AV34" s="55">
        <f>'LUC-2012-08-10-Run4'!BX41</f>
        <v>7.0274999999999999E-3</v>
      </c>
      <c r="AW34" s="55">
        <f>'LUC-2012-08-10-Run4'!BY41</f>
        <v>7.0549999999999996E-3</v>
      </c>
      <c r="AX34" s="55">
        <f>'LUC-2012-08-10-Run4'!BZ41</f>
        <v>7.0825000000000003E-3</v>
      </c>
      <c r="AY34" s="55">
        <f>'LUC-2012-08-10-Run4'!CA41</f>
        <v>7.11E-3</v>
      </c>
      <c r="AZ34" s="55">
        <f>'LUC-2012-08-10-Run4'!CB41</f>
        <v>7.1374999999999997E-3</v>
      </c>
      <c r="BA34" s="55">
        <f>'LUC-2012-08-10-Run4'!CC41</f>
        <v>7.1649999999999995E-3</v>
      </c>
      <c r="BB34" s="55">
        <f>'LUC-2012-08-10-Run4'!CD41</f>
        <v>7.1925000000000001E-3</v>
      </c>
      <c r="BC34" s="55">
        <f>'LUC-2012-08-10-Run4'!CE41</f>
        <v>7.2199999999999999E-3</v>
      </c>
      <c r="BD34" s="55">
        <f>'LUC-2012-08-10-Run4'!CF41</f>
        <v>7.2474999999999996E-3</v>
      </c>
      <c r="BE34" s="55">
        <f>'LUC-2012-08-10-Run4'!CG41</f>
        <v>7.2750000000000002E-3</v>
      </c>
      <c r="BF34" s="55">
        <f>'LUC-2012-08-10-Run4'!CH41</f>
        <v>7.3025E-3</v>
      </c>
      <c r="BG34" s="55">
        <f>'LUC-2012-08-10-Run4'!CI41</f>
        <v>7.3299999999999997E-3</v>
      </c>
      <c r="BH34" s="55">
        <f>'LUC-2012-08-10-Run4'!CJ41</f>
        <v>7.3574999999999995E-3</v>
      </c>
      <c r="BI34" s="55">
        <f>'LUC-2012-08-10-Run4'!CK41</f>
        <v>7.3849999999999992E-3</v>
      </c>
      <c r="BJ34" s="55">
        <f>'LUC-2012-08-10-Run4'!CL41</f>
        <v>7.4124999999999998E-3</v>
      </c>
      <c r="BK34" s="55">
        <f>'LUC-2012-08-10-Run4'!CM41</f>
        <v>7.4399999999999996E-3</v>
      </c>
      <c r="BM34" s="108"/>
      <c r="BN34" s="57" t="s">
        <v>100</v>
      </c>
      <c r="BO34" s="83">
        <f t="shared" si="21"/>
        <v>2.3129545454545455</v>
      </c>
      <c r="BP34" s="83">
        <f t="shared" si="22"/>
        <v>2.5931818181818183</v>
      </c>
      <c r="BQ34" s="83">
        <f t="shared" si="23"/>
        <v>2.8572727272727274</v>
      </c>
      <c r="BR34" s="83">
        <f t="shared" si="24"/>
        <v>3.0504545454545458</v>
      </c>
      <c r="BS34" s="83">
        <f t="shared" si="25"/>
        <v>3.2436363636363641</v>
      </c>
      <c r="BT34" s="83">
        <f t="shared" si="26"/>
        <v>3.436818181818182</v>
      </c>
      <c r="BU34" s="83">
        <f t="shared" si="27"/>
        <v>3.63</v>
      </c>
    </row>
    <row r="35" spans="1:74" x14ac:dyDescent="0.25">
      <c r="A35" s="56" t="s">
        <v>38</v>
      </c>
      <c r="B35" s="54" t="s">
        <v>100</v>
      </c>
      <c r="C35" s="56" t="s">
        <v>107</v>
      </c>
      <c r="D35" s="55">
        <f>'LUC-2012-08-10-Run4'!AF42</f>
        <v>2.3129545454545456E-3</v>
      </c>
      <c r="E35" s="55">
        <f>'LUC-2012-08-10-Run4'!AG42</f>
        <v>2.3440909090909094E-3</v>
      </c>
      <c r="F35" s="55">
        <f>'LUC-2012-08-10-Run4'!AH42</f>
        <v>2.3752272727272728E-3</v>
      </c>
      <c r="G35" s="55">
        <f>'LUC-2012-08-10-Run4'!AI42</f>
        <v>2.4063636363636366E-3</v>
      </c>
      <c r="H35" s="55">
        <f>'LUC-2012-08-10-Run4'!AJ42</f>
        <v>2.4375000000000004E-3</v>
      </c>
      <c r="I35" s="55">
        <f>'LUC-2012-08-10-Run4'!AK42</f>
        <v>2.4686363636363638E-3</v>
      </c>
      <c r="J35" s="55">
        <f>'LUC-2012-08-10-Run4'!AL42</f>
        <v>2.4997727272727276E-3</v>
      </c>
      <c r="K35" s="55">
        <f>'LUC-2012-08-10-Run4'!AM42</f>
        <v>2.5309090909090915E-3</v>
      </c>
      <c r="L35" s="55">
        <f>'LUC-2012-08-10-Run4'!AN42</f>
        <v>2.5620454545454549E-3</v>
      </c>
      <c r="M35" s="55">
        <f>'LUC-2012-08-10-Run4'!AO42</f>
        <v>2.5931818181818183E-3</v>
      </c>
      <c r="N35" s="55">
        <f>'LUC-2012-08-10-Run4'!AP42</f>
        <v>2.6243181818181821E-3</v>
      </c>
      <c r="O35" s="55">
        <f>'LUC-2012-08-10-Run4'!AQ42</f>
        <v>2.6554545454545459E-3</v>
      </c>
      <c r="P35" s="55">
        <f>'LUC-2012-08-10-Run4'!AR42</f>
        <v>2.6865909090909093E-3</v>
      </c>
      <c r="Q35" s="55">
        <f>'LUC-2012-08-10-Run4'!AS42</f>
        <v>2.7177272727272731E-3</v>
      </c>
      <c r="R35" s="55">
        <f>'LUC-2012-08-10-Run4'!AT42</f>
        <v>2.748863636363637E-3</v>
      </c>
      <c r="S35" s="55">
        <f>'LUC-2012-08-10-Run4'!AU42</f>
        <v>2.7800000000000004E-3</v>
      </c>
      <c r="T35" s="55">
        <f>'LUC-2012-08-10-Run4'!AV42</f>
        <v>2.7993181818181823E-3</v>
      </c>
      <c r="U35" s="55">
        <f>'LUC-2012-08-10-Run4'!AW42</f>
        <v>2.8186363636363639E-3</v>
      </c>
      <c r="V35" s="55">
        <f>'LUC-2012-08-10-Run4'!AX42</f>
        <v>2.8379545454545459E-3</v>
      </c>
      <c r="W35" s="55">
        <f>'LUC-2012-08-10-Run4'!AY42</f>
        <v>2.8572727272727274E-3</v>
      </c>
      <c r="X35" s="55">
        <f>'LUC-2012-08-10-Run4'!AZ42</f>
        <v>2.8765909090909094E-3</v>
      </c>
      <c r="Y35" s="55">
        <f>'LUC-2012-08-10-Run4'!BA42</f>
        <v>2.8959090909090913E-3</v>
      </c>
      <c r="Z35" s="55">
        <f>'LUC-2012-08-10-Run4'!BB42</f>
        <v>2.9152272727272729E-3</v>
      </c>
      <c r="AA35" s="55">
        <f>'LUC-2012-08-10-Run4'!BC42</f>
        <v>2.9345454545454549E-3</v>
      </c>
      <c r="AB35" s="55">
        <f>'LUC-2012-08-10-Run4'!BD42</f>
        <v>2.9538636363636368E-3</v>
      </c>
      <c r="AC35" s="55">
        <f>'LUC-2012-08-10-Run4'!BE42</f>
        <v>2.9731818181818184E-3</v>
      </c>
      <c r="AD35" s="55">
        <f>'LUC-2012-08-10-Run4'!BF42</f>
        <v>2.9925000000000004E-3</v>
      </c>
      <c r="AE35" s="55">
        <f>'LUC-2012-08-10-Run4'!BG42</f>
        <v>3.0118181818181819E-3</v>
      </c>
      <c r="AF35" s="55">
        <f>'LUC-2012-08-10-Run4'!BH42</f>
        <v>3.0311363636363639E-3</v>
      </c>
      <c r="AG35" s="55">
        <f>'LUC-2012-08-10-Run4'!BI42</f>
        <v>3.0504545454545459E-3</v>
      </c>
      <c r="AH35" s="55">
        <f>'LUC-2012-08-10-Run4'!BJ42</f>
        <v>3.0697727272727274E-3</v>
      </c>
      <c r="AI35" s="55">
        <f>'LUC-2012-08-10-Run4'!BK42</f>
        <v>3.0890909090909094E-3</v>
      </c>
      <c r="AJ35" s="55">
        <f>'LUC-2012-08-10-Run4'!BL42</f>
        <v>3.1084090909090914E-3</v>
      </c>
      <c r="AK35" s="55">
        <f>'LUC-2012-08-10-Run4'!BM42</f>
        <v>3.1277272727272729E-3</v>
      </c>
      <c r="AL35" s="55">
        <f>'LUC-2012-08-10-Run4'!BN42</f>
        <v>3.1470454545454549E-3</v>
      </c>
      <c r="AM35" s="55">
        <f>'LUC-2012-08-10-Run4'!BO42</f>
        <v>3.1663636363636364E-3</v>
      </c>
      <c r="AN35" s="55">
        <f>'LUC-2012-08-10-Run4'!BP42</f>
        <v>3.1856818181818184E-3</v>
      </c>
      <c r="AO35" s="55">
        <f>'LUC-2012-08-10-Run4'!BQ42</f>
        <v>3.2050000000000004E-3</v>
      </c>
      <c r="AP35" s="55">
        <f>'LUC-2012-08-10-Run4'!BR42</f>
        <v>3.2243181818181819E-3</v>
      </c>
      <c r="AQ35" s="55">
        <f>'LUC-2012-08-10-Run4'!BS42</f>
        <v>3.2436363636363639E-3</v>
      </c>
      <c r="AR35" s="55">
        <f>'LUC-2012-08-10-Run4'!BT42</f>
        <v>3.2629545454545454E-3</v>
      </c>
      <c r="AS35" s="55">
        <f>'LUC-2012-08-10-Run4'!BU42</f>
        <v>3.2822727272727274E-3</v>
      </c>
      <c r="AT35" s="55">
        <f>'LUC-2012-08-10-Run4'!BV42</f>
        <v>3.3015909090909094E-3</v>
      </c>
      <c r="AU35" s="55">
        <f>'LUC-2012-08-10-Run4'!BW42</f>
        <v>3.3209090909090909E-3</v>
      </c>
      <c r="AV35" s="55">
        <f>'LUC-2012-08-10-Run4'!BX42</f>
        <v>3.3402272727272729E-3</v>
      </c>
      <c r="AW35" s="55">
        <f>'LUC-2012-08-10-Run4'!BY42</f>
        <v>3.3595454545454545E-3</v>
      </c>
      <c r="AX35" s="55">
        <f>'LUC-2012-08-10-Run4'!BZ42</f>
        <v>3.3788636363636364E-3</v>
      </c>
      <c r="AY35" s="55">
        <f>'LUC-2012-08-10-Run4'!CA42</f>
        <v>3.3981818181818184E-3</v>
      </c>
      <c r="AZ35" s="55">
        <f>'LUC-2012-08-10-Run4'!CB42</f>
        <v>3.4175E-3</v>
      </c>
      <c r="BA35" s="55">
        <f>'LUC-2012-08-10-Run4'!CC42</f>
        <v>3.4368181818181819E-3</v>
      </c>
      <c r="BB35" s="55">
        <f>'LUC-2012-08-10-Run4'!CD42</f>
        <v>3.4561363636363635E-3</v>
      </c>
      <c r="BC35" s="55">
        <f>'LUC-2012-08-10-Run4'!CE42</f>
        <v>3.4754545454545455E-3</v>
      </c>
      <c r="BD35" s="55">
        <f>'LUC-2012-08-10-Run4'!CF42</f>
        <v>3.4947727272727274E-3</v>
      </c>
      <c r="BE35" s="55">
        <f>'LUC-2012-08-10-Run4'!CG42</f>
        <v>3.5140909090909094E-3</v>
      </c>
      <c r="BF35" s="55">
        <f>'LUC-2012-08-10-Run4'!CH42</f>
        <v>3.533409090909091E-3</v>
      </c>
      <c r="BG35" s="55">
        <f>'LUC-2012-08-10-Run4'!CI42</f>
        <v>3.5527272727272729E-3</v>
      </c>
      <c r="BH35" s="55">
        <f>'LUC-2012-08-10-Run4'!CJ42</f>
        <v>3.5720454545454545E-3</v>
      </c>
      <c r="BI35" s="55">
        <f>'LUC-2012-08-10-Run4'!CK42</f>
        <v>3.5913636363636365E-3</v>
      </c>
      <c r="BJ35" s="55">
        <f>'LUC-2012-08-10-Run4'!CL42</f>
        <v>3.6106818181818184E-3</v>
      </c>
      <c r="BK35" s="55">
        <f>'LUC-2012-08-10-Run4'!CM42</f>
        <v>3.63E-3</v>
      </c>
      <c r="BM35" s="108"/>
      <c r="BN35" s="57" t="s">
        <v>101</v>
      </c>
      <c r="BO35" s="83">
        <f t="shared" si="21"/>
        <v>3.4209090909090913</v>
      </c>
      <c r="BP35" s="83">
        <f t="shared" si="22"/>
        <v>3.8463636363636371</v>
      </c>
      <c r="BQ35" s="83">
        <f t="shared" si="23"/>
        <v>4.2418181818181822</v>
      </c>
      <c r="BR35" s="83">
        <f t="shared" si="24"/>
        <v>4.5213636363636365</v>
      </c>
      <c r="BS35" s="83">
        <f t="shared" si="25"/>
        <v>4.8009090909090917</v>
      </c>
      <c r="BT35" s="83">
        <f t="shared" si="26"/>
        <v>5.080454545454546</v>
      </c>
      <c r="BU35" s="83">
        <f t="shared" si="27"/>
        <v>5.36</v>
      </c>
    </row>
    <row r="36" spans="1:74" x14ac:dyDescent="0.25">
      <c r="A36" s="56" t="s">
        <v>38</v>
      </c>
      <c r="B36" s="54" t="s">
        <v>101</v>
      </c>
      <c r="C36" s="56" t="s">
        <v>107</v>
      </c>
      <c r="D36" s="55">
        <f>'LUC-2012-08-10-Run4'!AF43</f>
        <v>3.4209090909090912E-3</v>
      </c>
      <c r="E36" s="55">
        <f>'LUC-2012-08-10-Run4'!AG43</f>
        <v>3.4681818181818186E-3</v>
      </c>
      <c r="F36" s="55">
        <f>'LUC-2012-08-10-Run4'!AH43</f>
        <v>3.5154545454545456E-3</v>
      </c>
      <c r="G36" s="55">
        <f>'LUC-2012-08-10-Run4'!AI43</f>
        <v>3.562727272727273E-3</v>
      </c>
      <c r="H36" s="55">
        <f>'LUC-2012-08-10-Run4'!AJ43</f>
        <v>3.6100000000000004E-3</v>
      </c>
      <c r="I36" s="55">
        <f>'LUC-2012-08-10-Run4'!AK43</f>
        <v>3.6572727272727278E-3</v>
      </c>
      <c r="J36" s="55">
        <f>'LUC-2012-08-10-Run4'!AL43</f>
        <v>3.7045454545454552E-3</v>
      </c>
      <c r="K36" s="55">
        <f>'LUC-2012-08-10-Run4'!AM43</f>
        <v>3.7518181818181826E-3</v>
      </c>
      <c r="L36" s="55">
        <f>'LUC-2012-08-10-Run4'!AN43</f>
        <v>3.7990909090909099E-3</v>
      </c>
      <c r="M36" s="55">
        <f>'LUC-2012-08-10-Run4'!AO43</f>
        <v>3.8463636363636369E-3</v>
      </c>
      <c r="N36" s="55">
        <f>'LUC-2012-08-10-Run4'!AP43</f>
        <v>3.8936363636363643E-3</v>
      </c>
      <c r="O36" s="55">
        <f>'LUC-2012-08-10-Run4'!AQ43</f>
        <v>3.9409090909090913E-3</v>
      </c>
      <c r="P36" s="55">
        <f>'LUC-2012-08-10-Run4'!AR43</f>
        <v>3.9881818181818187E-3</v>
      </c>
      <c r="Q36" s="55">
        <f>'LUC-2012-08-10-Run4'!AS43</f>
        <v>4.0354545454545461E-3</v>
      </c>
      <c r="R36" s="55">
        <f>'LUC-2012-08-10-Run4'!AT43</f>
        <v>4.0827272727272735E-3</v>
      </c>
      <c r="S36" s="55">
        <f>'LUC-2012-08-10-Run4'!AU43</f>
        <v>4.1300000000000009E-3</v>
      </c>
      <c r="T36" s="55">
        <f>'LUC-2012-08-10-Run4'!AV43</f>
        <v>4.1579545454545463E-3</v>
      </c>
      <c r="U36" s="55">
        <f>'LUC-2012-08-10-Run4'!AW43</f>
        <v>4.1859090909090917E-3</v>
      </c>
      <c r="V36" s="55">
        <f>'LUC-2012-08-10-Run4'!AX43</f>
        <v>4.2138636363636371E-3</v>
      </c>
      <c r="W36" s="55">
        <f>'LUC-2012-08-10-Run4'!AY43</f>
        <v>4.2418181818181825E-3</v>
      </c>
      <c r="X36" s="55">
        <f>'LUC-2012-08-10-Run4'!AZ43</f>
        <v>4.269772727272728E-3</v>
      </c>
      <c r="Y36" s="55">
        <f>'LUC-2012-08-10-Run4'!BA43</f>
        <v>4.2977272727272734E-3</v>
      </c>
      <c r="Z36" s="55">
        <f>'LUC-2012-08-10-Run4'!BB43</f>
        <v>4.3256818181818188E-3</v>
      </c>
      <c r="AA36" s="55">
        <f>'LUC-2012-08-10-Run4'!BC43</f>
        <v>4.3536363636363642E-3</v>
      </c>
      <c r="AB36" s="55">
        <f>'LUC-2012-08-10-Run4'!BD43</f>
        <v>4.3815909090909096E-3</v>
      </c>
      <c r="AC36" s="55">
        <f>'LUC-2012-08-10-Run4'!BE43</f>
        <v>4.4095454545454551E-3</v>
      </c>
      <c r="AD36" s="55">
        <f>'LUC-2012-08-10-Run4'!BF43</f>
        <v>4.4375000000000005E-3</v>
      </c>
      <c r="AE36" s="55">
        <f>'LUC-2012-08-10-Run4'!BG43</f>
        <v>4.4654545454545459E-3</v>
      </c>
      <c r="AF36" s="55">
        <f>'LUC-2012-08-10-Run4'!BH43</f>
        <v>4.4934090909090913E-3</v>
      </c>
      <c r="AG36" s="55">
        <f>'LUC-2012-08-10-Run4'!BI43</f>
        <v>4.5213636363636367E-3</v>
      </c>
      <c r="AH36" s="55">
        <f>'LUC-2012-08-10-Run4'!BJ43</f>
        <v>4.5493181818181821E-3</v>
      </c>
      <c r="AI36" s="55">
        <f>'LUC-2012-08-10-Run4'!BK43</f>
        <v>4.5772727272727276E-3</v>
      </c>
      <c r="AJ36" s="55">
        <f>'LUC-2012-08-10-Run4'!BL43</f>
        <v>4.605227272727273E-3</v>
      </c>
      <c r="AK36" s="55">
        <f>'LUC-2012-08-10-Run4'!BM43</f>
        <v>4.6331818181818184E-3</v>
      </c>
      <c r="AL36" s="55">
        <f>'LUC-2012-08-10-Run4'!BN43</f>
        <v>4.6611363636363638E-3</v>
      </c>
      <c r="AM36" s="55">
        <f>'LUC-2012-08-10-Run4'!BO43</f>
        <v>4.6890909090909101E-3</v>
      </c>
      <c r="AN36" s="55">
        <f>'LUC-2012-08-10-Run4'!BP43</f>
        <v>4.7170454545454547E-3</v>
      </c>
      <c r="AO36" s="55">
        <f>'LUC-2012-08-10-Run4'!BQ43</f>
        <v>4.745000000000001E-3</v>
      </c>
      <c r="AP36" s="55">
        <f>'LUC-2012-08-10-Run4'!BR43</f>
        <v>4.7729545454545455E-3</v>
      </c>
      <c r="AQ36" s="55">
        <f>'LUC-2012-08-10-Run4'!BS43</f>
        <v>4.8009090909090918E-3</v>
      </c>
      <c r="AR36" s="55">
        <f>'LUC-2012-08-10-Run4'!BT43</f>
        <v>4.8288636363636372E-3</v>
      </c>
      <c r="AS36" s="55">
        <f>'LUC-2012-08-10-Run4'!BU43</f>
        <v>4.8568181818181826E-3</v>
      </c>
      <c r="AT36" s="55">
        <f>'LUC-2012-08-10-Run4'!BV43</f>
        <v>4.8847727272727281E-3</v>
      </c>
      <c r="AU36" s="55">
        <f>'LUC-2012-08-10-Run4'!BW43</f>
        <v>4.9127272727272735E-3</v>
      </c>
      <c r="AV36" s="55">
        <f>'LUC-2012-08-10-Run4'!BX43</f>
        <v>4.9406818181818189E-3</v>
      </c>
      <c r="AW36" s="55">
        <f>'LUC-2012-08-10-Run4'!BY43</f>
        <v>4.9686363636363643E-3</v>
      </c>
      <c r="AX36" s="55">
        <f>'LUC-2012-08-10-Run4'!BZ43</f>
        <v>4.9965909090909097E-3</v>
      </c>
      <c r="AY36" s="55">
        <f>'LUC-2012-08-10-Run4'!CA43</f>
        <v>5.0245454545454551E-3</v>
      </c>
      <c r="AZ36" s="55">
        <f>'LUC-2012-08-10-Run4'!CB43</f>
        <v>5.0525000000000006E-3</v>
      </c>
      <c r="BA36" s="55">
        <f>'LUC-2012-08-10-Run4'!CC43</f>
        <v>5.080454545454546E-3</v>
      </c>
      <c r="BB36" s="55">
        <f>'LUC-2012-08-10-Run4'!CD43</f>
        <v>5.1084090909090914E-3</v>
      </c>
      <c r="BC36" s="55">
        <f>'LUC-2012-08-10-Run4'!CE43</f>
        <v>5.1363636363636368E-3</v>
      </c>
      <c r="BD36" s="55">
        <f>'LUC-2012-08-10-Run4'!CF43</f>
        <v>5.1643181818181822E-3</v>
      </c>
      <c r="BE36" s="55">
        <f>'LUC-2012-08-10-Run4'!CG43</f>
        <v>5.1922727272727277E-3</v>
      </c>
      <c r="BF36" s="55">
        <f>'LUC-2012-08-10-Run4'!CH43</f>
        <v>5.2202272727272731E-3</v>
      </c>
      <c r="BG36" s="55">
        <f>'LUC-2012-08-10-Run4'!CI43</f>
        <v>5.2481818181818185E-3</v>
      </c>
      <c r="BH36" s="55">
        <f>'LUC-2012-08-10-Run4'!CJ43</f>
        <v>5.2761363636363639E-3</v>
      </c>
      <c r="BI36" s="55">
        <f>'LUC-2012-08-10-Run4'!CK43</f>
        <v>5.3040909090909093E-3</v>
      </c>
      <c r="BJ36" s="55">
        <f>'LUC-2012-08-10-Run4'!CL43</f>
        <v>5.3320454545454548E-3</v>
      </c>
      <c r="BK36" s="55">
        <f>'LUC-2012-08-10-Run4'!CM43</f>
        <v>5.3600000000000002E-3</v>
      </c>
      <c r="BM36" s="108"/>
      <c r="BN36" s="57" t="s">
        <v>111</v>
      </c>
      <c r="BO36" s="83">
        <f t="shared" si="21"/>
        <v>1.4251346260975675</v>
      </c>
      <c r="BP36" s="83">
        <f t="shared" si="22"/>
        <v>1.5535321113085923</v>
      </c>
      <c r="BQ36" s="83">
        <f t="shared" si="23"/>
        <v>1.6874313272180377</v>
      </c>
      <c r="BR36" s="83">
        <f t="shared" si="24"/>
        <v>1.8081835583066099</v>
      </c>
      <c r="BS36" s="83">
        <f t="shared" si="25"/>
        <v>1.9289357893951826</v>
      </c>
      <c r="BT36" s="83">
        <f t="shared" si="26"/>
        <v>2.0496880204837549</v>
      </c>
      <c r="BU36" s="83">
        <f t="shared" si="27"/>
        <v>2.1704402515723271</v>
      </c>
    </row>
    <row r="37" spans="1:74" x14ac:dyDescent="0.25">
      <c r="A37" s="56" t="s">
        <v>38</v>
      </c>
      <c r="B37" s="54" t="s">
        <v>111</v>
      </c>
      <c r="C37" s="56" t="s">
        <v>107</v>
      </c>
      <c r="D37" s="55">
        <f>'LUC-2012-08-10-Run4'!AF44</f>
        <v>1.4251346260975674E-3</v>
      </c>
      <c r="E37" s="55">
        <f>'LUC-2012-08-10-Run4'!AG44</f>
        <v>1.4394010133432368E-3</v>
      </c>
      <c r="F37" s="55">
        <f>'LUC-2012-08-10-Run4'!AH44</f>
        <v>1.4536674005889063E-3</v>
      </c>
      <c r="G37" s="55">
        <f>'LUC-2012-08-10-Run4'!AI44</f>
        <v>1.4679337878345756E-3</v>
      </c>
      <c r="H37" s="55">
        <f>'LUC-2012-08-10-Run4'!AJ44</f>
        <v>1.4822001750802451E-3</v>
      </c>
      <c r="I37" s="55">
        <f>'LUC-2012-08-10-Run4'!AK44</f>
        <v>1.4964665623259145E-3</v>
      </c>
      <c r="J37" s="55">
        <f>'LUC-2012-08-10-Run4'!AL44</f>
        <v>1.510732949571584E-3</v>
      </c>
      <c r="K37" s="55">
        <f>'LUC-2012-08-10-Run4'!AM44</f>
        <v>1.5249993368172533E-3</v>
      </c>
      <c r="L37" s="55">
        <f>'LUC-2012-08-10-Run4'!AN44</f>
        <v>1.5392657240629226E-3</v>
      </c>
      <c r="M37" s="55">
        <f>'LUC-2012-08-10-Run4'!AO44</f>
        <v>1.5535321113085922E-3</v>
      </c>
      <c r="N37" s="55">
        <f>'LUC-2012-08-10-Run4'!AP44</f>
        <v>1.5677984985542617E-3</v>
      </c>
      <c r="O37" s="55">
        <f>'LUC-2012-08-10-Run4'!AQ44</f>
        <v>1.582064885799931E-3</v>
      </c>
      <c r="P37" s="55">
        <f>'LUC-2012-08-10-Run4'!AR44</f>
        <v>1.5963312730456003E-3</v>
      </c>
      <c r="Q37" s="55">
        <f>'LUC-2012-08-10-Run4'!AS44</f>
        <v>1.6105976602912699E-3</v>
      </c>
      <c r="R37" s="55">
        <f>'LUC-2012-08-10-Run4'!AT44</f>
        <v>1.6248640475369394E-3</v>
      </c>
      <c r="S37" s="55">
        <f>'LUC-2012-08-10-Run4'!AU44</f>
        <v>1.6391304347826087E-3</v>
      </c>
      <c r="T37" s="55">
        <f>'LUC-2012-08-10-Run4'!AV44</f>
        <v>1.6512056578914659E-3</v>
      </c>
      <c r="U37" s="55">
        <f>'LUC-2012-08-10-Run4'!AW44</f>
        <v>1.6632808810003231E-3</v>
      </c>
      <c r="V37" s="55">
        <f>'LUC-2012-08-10-Run4'!AX44</f>
        <v>1.6753561041091805E-3</v>
      </c>
      <c r="W37" s="55">
        <f>'LUC-2012-08-10-Run4'!AY44</f>
        <v>1.6874313272180377E-3</v>
      </c>
      <c r="X37" s="55">
        <f>'LUC-2012-08-10-Run4'!AZ44</f>
        <v>1.6995065503268949E-3</v>
      </c>
      <c r="Y37" s="55">
        <f>'LUC-2012-08-10-Run4'!BA44</f>
        <v>1.7115817734357521E-3</v>
      </c>
      <c r="Z37" s="55">
        <f>'LUC-2012-08-10-Run4'!BB44</f>
        <v>1.7236569965446095E-3</v>
      </c>
      <c r="AA37" s="55">
        <f>'LUC-2012-08-10-Run4'!BC44</f>
        <v>1.7357322196534667E-3</v>
      </c>
      <c r="AB37" s="55">
        <f>'LUC-2012-08-10-Run4'!BD44</f>
        <v>1.7478074427623239E-3</v>
      </c>
      <c r="AC37" s="55">
        <f>'LUC-2012-08-10-Run4'!BE44</f>
        <v>1.759882665871181E-3</v>
      </c>
      <c r="AD37" s="55">
        <f>'LUC-2012-08-10-Run4'!BF44</f>
        <v>1.7719578889800382E-3</v>
      </c>
      <c r="AE37" s="55">
        <f>'LUC-2012-08-10-Run4'!BG44</f>
        <v>1.7840331120888956E-3</v>
      </c>
      <c r="AF37" s="55">
        <f>'LUC-2012-08-10-Run4'!BH44</f>
        <v>1.7961083351977528E-3</v>
      </c>
      <c r="AG37" s="55">
        <f>'LUC-2012-08-10-Run4'!BI44</f>
        <v>1.80818355830661E-3</v>
      </c>
      <c r="AH37" s="55">
        <f>'LUC-2012-08-10-Run4'!BJ44</f>
        <v>1.8202587814154672E-3</v>
      </c>
      <c r="AI37" s="55">
        <f>'LUC-2012-08-10-Run4'!BK44</f>
        <v>1.8323340045243246E-3</v>
      </c>
      <c r="AJ37" s="55">
        <f>'LUC-2012-08-10-Run4'!BL44</f>
        <v>1.8444092276331818E-3</v>
      </c>
      <c r="AK37" s="55">
        <f>'LUC-2012-08-10-Run4'!BM44</f>
        <v>1.856484450742039E-3</v>
      </c>
      <c r="AL37" s="55">
        <f>'LUC-2012-08-10-Run4'!BN44</f>
        <v>1.8685596738508962E-3</v>
      </c>
      <c r="AM37" s="55">
        <f>'LUC-2012-08-10-Run4'!BO44</f>
        <v>1.8806348969597534E-3</v>
      </c>
      <c r="AN37" s="55">
        <f>'LUC-2012-08-10-Run4'!BP44</f>
        <v>1.8927101200686108E-3</v>
      </c>
      <c r="AO37" s="55">
        <f>'LUC-2012-08-10-Run4'!BQ44</f>
        <v>1.904785343177468E-3</v>
      </c>
      <c r="AP37" s="55">
        <f>'LUC-2012-08-10-Run4'!BR44</f>
        <v>1.9168605662863252E-3</v>
      </c>
      <c r="AQ37" s="55">
        <f>'LUC-2012-08-10-Run4'!BS44</f>
        <v>1.9289357893951826E-3</v>
      </c>
      <c r="AR37" s="55">
        <f>'LUC-2012-08-10-Run4'!BT44</f>
        <v>1.9410110125040398E-3</v>
      </c>
      <c r="AS37" s="55">
        <f>'LUC-2012-08-10-Run4'!BU44</f>
        <v>1.953086235612897E-3</v>
      </c>
      <c r="AT37" s="55">
        <f>'LUC-2012-08-10-Run4'!BV44</f>
        <v>1.9651614587217541E-3</v>
      </c>
      <c r="AU37" s="55">
        <f>'LUC-2012-08-10-Run4'!BW44</f>
        <v>1.9772366818306113E-3</v>
      </c>
      <c r="AV37" s="55">
        <f>'LUC-2012-08-10-Run4'!BX44</f>
        <v>1.9893119049394685E-3</v>
      </c>
      <c r="AW37" s="55">
        <f>'LUC-2012-08-10-Run4'!BY44</f>
        <v>2.0013871280483257E-3</v>
      </c>
      <c r="AX37" s="55">
        <f>'LUC-2012-08-10-Run4'!BZ44</f>
        <v>2.0134623511571829E-3</v>
      </c>
      <c r="AY37" s="55">
        <f>'LUC-2012-08-10-Run4'!CA44</f>
        <v>2.0255375742660405E-3</v>
      </c>
      <c r="AZ37" s="55">
        <f>'LUC-2012-08-10-Run4'!CB44</f>
        <v>2.0376127973748977E-3</v>
      </c>
      <c r="BA37" s="55">
        <f>'LUC-2012-08-10-Run4'!CC44</f>
        <v>2.0496880204837549E-3</v>
      </c>
      <c r="BB37" s="55">
        <f>'LUC-2012-08-10-Run4'!CD44</f>
        <v>2.0617632435926121E-3</v>
      </c>
      <c r="BC37" s="55">
        <f>'LUC-2012-08-10-Run4'!CE44</f>
        <v>2.0738384667014693E-3</v>
      </c>
      <c r="BD37" s="55">
        <f>'LUC-2012-08-10-Run4'!CF44</f>
        <v>2.0859136898103265E-3</v>
      </c>
      <c r="BE37" s="55">
        <f>'LUC-2012-08-10-Run4'!CG44</f>
        <v>2.0979889129191837E-3</v>
      </c>
      <c r="BF37" s="55">
        <f>'LUC-2012-08-10-Run4'!CH44</f>
        <v>2.1100641360280409E-3</v>
      </c>
      <c r="BG37" s="55">
        <f>'LUC-2012-08-10-Run4'!CI44</f>
        <v>2.1221393591368985E-3</v>
      </c>
      <c r="BH37" s="55">
        <f>'LUC-2012-08-10-Run4'!CJ44</f>
        <v>2.1342145822457557E-3</v>
      </c>
      <c r="BI37" s="55">
        <f>'LUC-2012-08-10-Run4'!CK44</f>
        <v>2.1462898053546129E-3</v>
      </c>
      <c r="BJ37" s="55">
        <f>'LUC-2012-08-10-Run4'!CL44</f>
        <v>2.1583650284634701E-3</v>
      </c>
      <c r="BK37" s="55">
        <f>'LUC-2012-08-10-Run4'!CM44</f>
        <v>2.1704402515723272E-3</v>
      </c>
      <c r="BM37" s="108"/>
      <c r="BN37" s="57" t="s">
        <v>102</v>
      </c>
      <c r="BO37" s="83">
        <f t="shared" si="21"/>
        <v>1.6577549140049139</v>
      </c>
      <c r="BP37" s="83">
        <f t="shared" si="22"/>
        <v>1.8618857493857495</v>
      </c>
      <c r="BQ37" s="83">
        <f t="shared" si="23"/>
        <v>2.0799754299754296</v>
      </c>
      <c r="BR37" s="83">
        <f t="shared" si="24"/>
        <v>2.2849815724815721</v>
      </c>
      <c r="BS37" s="83">
        <f t="shared" si="25"/>
        <v>2.489987714987715</v>
      </c>
      <c r="BT37" s="83">
        <f t="shared" si="26"/>
        <v>2.6949938574938574</v>
      </c>
      <c r="BU37" s="83">
        <f t="shared" si="27"/>
        <v>2.9</v>
      </c>
    </row>
    <row r="38" spans="1:74" x14ac:dyDescent="0.25">
      <c r="A38" s="56" t="s">
        <v>38</v>
      </c>
      <c r="B38" s="54" t="s">
        <v>102</v>
      </c>
      <c r="C38" s="56" t="s">
        <v>107</v>
      </c>
      <c r="D38" s="55">
        <f>'LUC-2012-08-10-Run4'!AF45</f>
        <v>1.6577549140049139E-3</v>
      </c>
      <c r="E38" s="55">
        <f>'LUC-2012-08-10-Run4'!AG45</f>
        <v>1.6804361179361179E-3</v>
      </c>
      <c r="F38" s="55">
        <f>'LUC-2012-08-10-Run4'!AH45</f>
        <v>1.7031173218673219E-3</v>
      </c>
      <c r="G38" s="55">
        <f>'LUC-2012-08-10-Run4'!AI45</f>
        <v>1.7257985257985258E-3</v>
      </c>
      <c r="H38" s="55">
        <f>'LUC-2012-08-10-Run4'!AJ45</f>
        <v>1.7484797297297296E-3</v>
      </c>
      <c r="I38" s="55">
        <f>'LUC-2012-08-10-Run4'!AK45</f>
        <v>1.7711609336609336E-3</v>
      </c>
      <c r="J38" s="55">
        <f>'LUC-2012-08-10-Run4'!AL45</f>
        <v>1.7938421375921377E-3</v>
      </c>
      <c r="K38" s="55">
        <f>'LUC-2012-08-10-Run4'!AM45</f>
        <v>1.8165233415233415E-3</v>
      </c>
      <c r="L38" s="55">
        <f>'LUC-2012-08-10-Run4'!AN45</f>
        <v>1.8392045454545453E-3</v>
      </c>
      <c r="M38" s="55">
        <f>'LUC-2012-08-10-Run4'!AO45</f>
        <v>1.8618857493857494E-3</v>
      </c>
      <c r="N38" s="55">
        <f>'LUC-2012-08-10-Run4'!AP45</f>
        <v>1.8845669533169532E-3</v>
      </c>
      <c r="O38" s="55">
        <f>'LUC-2012-08-10-Run4'!AQ45</f>
        <v>1.907248157248157E-3</v>
      </c>
      <c r="P38" s="55">
        <f>'LUC-2012-08-10-Run4'!AR45</f>
        <v>1.9299293611793611E-3</v>
      </c>
      <c r="Q38" s="55">
        <f>'LUC-2012-08-10-Run4'!AS45</f>
        <v>1.9526105651105651E-3</v>
      </c>
      <c r="R38" s="55">
        <f>'LUC-2012-08-10-Run4'!AT45</f>
        <v>1.9752917690417692E-3</v>
      </c>
      <c r="S38" s="55">
        <f>'LUC-2012-08-10-Run4'!AU45</f>
        <v>1.9979729729729728E-3</v>
      </c>
      <c r="T38" s="55">
        <f>'LUC-2012-08-10-Run4'!AV45</f>
        <v>2.0184735872235873E-3</v>
      </c>
      <c r="U38" s="55">
        <f>'LUC-2012-08-10-Run4'!AW45</f>
        <v>2.0389742014742013E-3</v>
      </c>
      <c r="V38" s="55">
        <f>'LUC-2012-08-10-Run4'!AX45</f>
        <v>2.0594748157248153E-3</v>
      </c>
      <c r="W38" s="55">
        <f>'LUC-2012-08-10-Run4'!AY45</f>
        <v>2.0799754299754298E-3</v>
      </c>
      <c r="X38" s="55">
        <f>'LUC-2012-08-10-Run4'!AZ45</f>
        <v>2.1004760442260443E-3</v>
      </c>
      <c r="Y38" s="55">
        <f>'LUC-2012-08-10-Run4'!BA45</f>
        <v>2.1209766584766583E-3</v>
      </c>
      <c r="Z38" s="55">
        <f>'LUC-2012-08-10-Run4'!BB45</f>
        <v>2.1414772727272723E-3</v>
      </c>
      <c r="AA38" s="55">
        <f>'LUC-2012-08-10-Run4'!BC45</f>
        <v>2.1619778869778868E-3</v>
      </c>
      <c r="AB38" s="55">
        <f>'LUC-2012-08-10-Run4'!BD45</f>
        <v>2.1824785012285013E-3</v>
      </c>
      <c r="AC38" s="55">
        <f>'LUC-2012-08-10-Run4'!BE45</f>
        <v>2.2029791154791153E-3</v>
      </c>
      <c r="AD38" s="55">
        <f>'LUC-2012-08-10-Run4'!BF45</f>
        <v>2.2234797297297293E-3</v>
      </c>
      <c r="AE38" s="55">
        <f>'LUC-2012-08-10-Run4'!BG45</f>
        <v>2.2439803439803438E-3</v>
      </c>
      <c r="AF38" s="55">
        <f>'LUC-2012-08-10-Run4'!BH45</f>
        <v>2.2644809582309583E-3</v>
      </c>
      <c r="AG38" s="55">
        <f>'LUC-2012-08-10-Run4'!BI45</f>
        <v>2.2849815724815723E-3</v>
      </c>
      <c r="AH38" s="55">
        <f>'LUC-2012-08-10-Run4'!BJ45</f>
        <v>2.3054821867321863E-3</v>
      </c>
      <c r="AI38" s="55">
        <f>'LUC-2012-08-10-Run4'!BK45</f>
        <v>2.3259828009828008E-3</v>
      </c>
      <c r="AJ38" s="55">
        <f>'LUC-2012-08-10-Run4'!BL45</f>
        <v>2.3464834152334153E-3</v>
      </c>
      <c r="AK38" s="55">
        <f>'LUC-2012-08-10-Run4'!BM45</f>
        <v>2.3669840294840293E-3</v>
      </c>
      <c r="AL38" s="55">
        <f>'LUC-2012-08-10-Run4'!BN45</f>
        <v>2.3874846437346433E-3</v>
      </c>
      <c r="AM38" s="55">
        <f>'LUC-2012-08-10-Run4'!BO45</f>
        <v>2.4079852579852578E-3</v>
      </c>
      <c r="AN38" s="55">
        <f>'LUC-2012-08-10-Run4'!BP45</f>
        <v>2.4284858722358723E-3</v>
      </c>
      <c r="AO38" s="55">
        <f>'LUC-2012-08-10-Run4'!BQ45</f>
        <v>2.4489864864864863E-3</v>
      </c>
      <c r="AP38" s="55">
        <f>'LUC-2012-08-10-Run4'!BR45</f>
        <v>2.4694871007371003E-3</v>
      </c>
      <c r="AQ38" s="55">
        <f>'LUC-2012-08-10-Run4'!BS45</f>
        <v>2.4899877149877148E-3</v>
      </c>
      <c r="AR38" s="55">
        <f>'LUC-2012-08-10-Run4'!BT45</f>
        <v>2.5104883292383293E-3</v>
      </c>
      <c r="AS38" s="55">
        <f>'LUC-2012-08-10-Run4'!BU45</f>
        <v>2.5309889434889433E-3</v>
      </c>
      <c r="AT38" s="55">
        <f>'LUC-2012-08-10-Run4'!BV45</f>
        <v>2.5514895577395573E-3</v>
      </c>
      <c r="AU38" s="55">
        <f>'LUC-2012-08-10-Run4'!BW45</f>
        <v>2.5719901719901718E-3</v>
      </c>
      <c r="AV38" s="55">
        <f>'LUC-2012-08-10-Run4'!BX45</f>
        <v>2.5924907862407863E-3</v>
      </c>
      <c r="AW38" s="55">
        <f>'LUC-2012-08-10-Run4'!BY45</f>
        <v>2.6129914004914003E-3</v>
      </c>
      <c r="AX38" s="55">
        <f>'LUC-2012-08-10-Run4'!BZ45</f>
        <v>2.6334920147420143E-3</v>
      </c>
      <c r="AY38" s="55">
        <f>'LUC-2012-08-10-Run4'!CA45</f>
        <v>2.6539926289926288E-3</v>
      </c>
      <c r="AZ38" s="55">
        <f>'LUC-2012-08-10-Run4'!CB45</f>
        <v>2.6744932432432433E-3</v>
      </c>
      <c r="BA38" s="55">
        <f>'LUC-2012-08-10-Run4'!CC45</f>
        <v>2.6949938574938573E-3</v>
      </c>
      <c r="BB38" s="55">
        <f>'LUC-2012-08-10-Run4'!CD45</f>
        <v>2.7154944717444713E-3</v>
      </c>
      <c r="BC38" s="55">
        <f>'LUC-2012-08-10-Run4'!CE45</f>
        <v>2.7359950859950858E-3</v>
      </c>
      <c r="BD38" s="55">
        <f>'LUC-2012-08-10-Run4'!CF45</f>
        <v>2.7564957002457003E-3</v>
      </c>
      <c r="BE38" s="55">
        <f>'LUC-2012-08-10-Run4'!CG45</f>
        <v>2.7769963144963143E-3</v>
      </c>
      <c r="BF38" s="55">
        <f>'LUC-2012-08-10-Run4'!CH45</f>
        <v>2.7974969287469283E-3</v>
      </c>
      <c r="BG38" s="55">
        <f>'LUC-2012-08-10-Run4'!CI45</f>
        <v>2.8179975429975428E-3</v>
      </c>
      <c r="BH38" s="55">
        <f>'LUC-2012-08-10-Run4'!CJ45</f>
        <v>2.8384981572481573E-3</v>
      </c>
      <c r="BI38" s="55">
        <f>'LUC-2012-08-10-Run4'!CK45</f>
        <v>2.8589987714987713E-3</v>
      </c>
      <c r="BJ38" s="55">
        <f>'LUC-2012-08-10-Run4'!CL45</f>
        <v>2.8794993857493853E-3</v>
      </c>
      <c r="BK38" s="55">
        <f>'LUC-2012-08-10-Run4'!CM45</f>
        <v>2.8999999999999998E-3</v>
      </c>
      <c r="BM38" s="108"/>
      <c r="BN38" s="57" t="s">
        <v>103</v>
      </c>
      <c r="BO38" s="67">
        <f t="shared" si="21"/>
        <v>61.52272727272728</v>
      </c>
      <c r="BP38" s="67">
        <f t="shared" si="22"/>
        <v>65.409090909090921</v>
      </c>
      <c r="BQ38" s="67">
        <f t="shared" si="23"/>
        <v>71.27272727272728</v>
      </c>
      <c r="BR38" s="67">
        <f t="shared" si="24"/>
        <v>79.454545454545453</v>
      </c>
      <c r="BS38" s="67">
        <f t="shared" si="25"/>
        <v>87.63636363636364</v>
      </c>
      <c r="BT38" s="67">
        <f t="shared" si="26"/>
        <v>95.818181818181813</v>
      </c>
      <c r="BU38" s="67">
        <f t="shared" si="27"/>
        <v>104</v>
      </c>
    </row>
    <row r="39" spans="1:74" x14ac:dyDescent="0.25">
      <c r="A39" s="56" t="s">
        <v>38</v>
      </c>
      <c r="B39" s="54" t="s">
        <v>103</v>
      </c>
      <c r="C39" s="56" t="s">
        <v>107</v>
      </c>
      <c r="D39" s="55">
        <f>'LUC-2012-08-10-Run4'!AF46</f>
        <v>6.1522727272727278E-2</v>
      </c>
      <c r="E39" s="55">
        <f>'LUC-2012-08-10-Run4'!AG46</f>
        <v>6.1954545454545457E-2</v>
      </c>
      <c r="F39" s="55">
        <f>'LUC-2012-08-10-Run4'!AH46</f>
        <v>6.2386363636363643E-2</v>
      </c>
      <c r="G39" s="55">
        <f>'LUC-2012-08-10-Run4'!AI46</f>
        <v>6.2818181818181829E-2</v>
      </c>
      <c r="H39" s="55">
        <f>'LUC-2012-08-10-Run4'!AJ46</f>
        <v>6.3250000000000001E-2</v>
      </c>
      <c r="I39" s="55">
        <f>'LUC-2012-08-10-Run4'!AK46</f>
        <v>6.3681818181818187E-2</v>
      </c>
      <c r="J39" s="55">
        <f>'LUC-2012-08-10-Run4'!AL46</f>
        <v>6.4113636363636373E-2</v>
      </c>
      <c r="K39" s="55">
        <f>'LUC-2012-08-10-Run4'!AM46</f>
        <v>6.4545454545454545E-2</v>
      </c>
      <c r="L39" s="55">
        <f>'LUC-2012-08-10-Run4'!AN46</f>
        <v>6.4977272727272731E-2</v>
      </c>
      <c r="M39" s="55">
        <f>'LUC-2012-08-10-Run4'!AO46</f>
        <v>6.5409090909090917E-2</v>
      </c>
      <c r="N39" s="55">
        <f>'LUC-2012-08-10-Run4'!AP46</f>
        <v>6.5840909090909089E-2</v>
      </c>
      <c r="O39" s="55">
        <f>'LUC-2012-08-10-Run4'!AQ46</f>
        <v>6.6272727272727275E-2</v>
      </c>
      <c r="P39" s="55">
        <f>'LUC-2012-08-10-Run4'!AR46</f>
        <v>6.6704545454545461E-2</v>
      </c>
      <c r="Q39" s="55">
        <f>'LUC-2012-08-10-Run4'!AS46</f>
        <v>6.7136363636363633E-2</v>
      </c>
      <c r="R39" s="55">
        <f>'LUC-2012-08-10-Run4'!AT46</f>
        <v>6.7568181818181819E-2</v>
      </c>
      <c r="S39" s="55">
        <f>'LUC-2012-08-10-Run4'!AU46</f>
        <v>6.8000000000000005E-2</v>
      </c>
      <c r="T39" s="55">
        <f>'LUC-2012-08-10-Run4'!AV46</f>
        <v>6.881818181818182E-2</v>
      </c>
      <c r="U39" s="55">
        <f>'LUC-2012-08-10-Run4'!AW46</f>
        <v>6.9636363636363635E-2</v>
      </c>
      <c r="V39" s="55">
        <f>'LUC-2012-08-10-Run4'!AX46</f>
        <v>7.0454545454545464E-2</v>
      </c>
      <c r="W39" s="55">
        <f>'LUC-2012-08-10-Run4'!AY46</f>
        <v>7.1272727272727279E-2</v>
      </c>
      <c r="X39" s="55">
        <f>'LUC-2012-08-10-Run4'!AZ46</f>
        <v>7.2090909090909094E-2</v>
      </c>
      <c r="Y39" s="55">
        <f>'LUC-2012-08-10-Run4'!BA46</f>
        <v>7.290909090909091E-2</v>
      </c>
      <c r="Z39" s="55">
        <f>'LUC-2012-08-10-Run4'!BB46</f>
        <v>7.3727272727272725E-2</v>
      </c>
      <c r="AA39" s="55">
        <f>'LUC-2012-08-10-Run4'!BC46</f>
        <v>7.4545454545454554E-2</v>
      </c>
      <c r="AB39" s="55">
        <f>'LUC-2012-08-10-Run4'!BD46</f>
        <v>7.5363636363636369E-2</v>
      </c>
      <c r="AC39" s="55">
        <f>'LUC-2012-08-10-Run4'!BE46</f>
        <v>7.6181818181818184E-2</v>
      </c>
      <c r="AD39" s="55">
        <f>'LUC-2012-08-10-Run4'!BF46</f>
        <v>7.6999999999999999E-2</v>
      </c>
      <c r="AE39" s="55">
        <f>'LUC-2012-08-10-Run4'!BG46</f>
        <v>7.7818181818181814E-2</v>
      </c>
      <c r="AF39" s="55">
        <f>'LUC-2012-08-10-Run4'!BH46</f>
        <v>7.8636363636363643E-2</v>
      </c>
      <c r="AG39" s="55">
        <f>'LUC-2012-08-10-Run4'!BI46</f>
        <v>7.9454545454545458E-2</v>
      </c>
      <c r="AH39" s="55">
        <f>'LUC-2012-08-10-Run4'!BJ46</f>
        <v>8.0272727272727273E-2</v>
      </c>
      <c r="AI39" s="55">
        <f>'LUC-2012-08-10-Run4'!BK46</f>
        <v>8.1090909090909088E-2</v>
      </c>
      <c r="AJ39" s="55">
        <f>'LUC-2012-08-10-Run4'!BL46</f>
        <v>8.1909090909090904E-2</v>
      </c>
      <c r="AK39" s="55">
        <f>'LUC-2012-08-10-Run4'!BM46</f>
        <v>8.2727272727272733E-2</v>
      </c>
      <c r="AL39" s="55">
        <f>'LUC-2012-08-10-Run4'!BN46</f>
        <v>8.3545454545454548E-2</v>
      </c>
      <c r="AM39" s="55">
        <f>'LUC-2012-08-10-Run4'!BO46</f>
        <v>8.4363636363636363E-2</v>
      </c>
      <c r="AN39" s="55">
        <f>'LUC-2012-08-10-Run4'!BP46</f>
        <v>8.5181818181818178E-2</v>
      </c>
      <c r="AO39" s="55">
        <f>'LUC-2012-08-10-Run4'!BQ46</f>
        <v>8.5999999999999993E-2</v>
      </c>
      <c r="AP39" s="55">
        <f>'LUC-2012-08-10-Run4'!BR46</f>
        <v>8.6818181818181822E-2</v>
      </c>
      <c r="AQ39" s="55">
        <f>'LUC-2012-08-10-Run4'!BS46</f>
        <v>8.7636363636363637E-2</v>
      </c>
      <c r="AR39" s="55">
        <f>'LUC-2012-08-10-Run4'!BT46</f>
        <v>8.8454545454545452E-2</v>
      </c>
      <c r="AS39" s="55">
        <f>'LUC-2012-08-10-Run4'!BU46</f>
        <v>8.9272727272727267E-2</v>
      </c>
      <c r="AT39" s="55">
        <f>'LUC-2012-08-10-Run4'!BV46</f>
        <v>9.0090909090909083E-2</v>
      </c>
      <c r="AU39" s="55">
        <f>'LUC-2012-08-10-Run4'!BW46</f>
        <v>9.0909090909090912E-2</v>
      </c>
      <c r="AV39" s="55">
        <f>'LUC-2012-08-10-Run4'!BX46</f>
        <v>9.1727272727272727E-2</v>
      </c>
      <c r="AW39" s="55">
        <f>'LUC-2012-08-10-Run4'!BY46</f>
        <v>9.2545454545454542E-2</v>
      </c>
      <c r="AX39" s="55">
        <f>'LUC-2012-08-10-Run4'!BZ46</f>
        <v>9.3363636363636357E-2</v>
      </c>
      <c r="AY39" s="55">
        <f>'LUC-2012-08-10-Run4'!CA46</f>
        <v>9.4181818181818172E-2</v>
      </c>
      <c r="AZ39" s="55">
        <f>'LUC-2012-08-10-Run4'!CB46</f>
        <v>9.5000000000000001E-2</v>
      </c>
      <c r="BA39" s="55">
        <f>'LUC-2012-08-10-Run4'!CC46</f>
        <v>9.5818181818181816E-2</v>
      </c>
      <c r="BB39" s="55">
        <f>'LUC-2012-08-10-Run4'!CD46</f>
        <v>9.6636363636363631E-2</v>
      </c>
      <c r="BC39" s="55">
        <f>'LUC-2012-08-10-Run4'!CE46</f>
        <v>9.7454545454545446E-2</v>
      </c>
      <c r="BD39" s="55">
        <f>'LUC-2012-08-10-Run4'!CF46</f>
        <v>9.8272727272727262E-2</v>
      </c>
      <c r="BE39" s="55">
        <f>'LUC-2012-08-10-Run4'!CG46</f>
        <v>9.9090909090909091E-2</v>
      </c>
      <c r="BF39" s="55">
        <f>'LUC-2012-08-10-Run4'!CH46</f>
        <v>9.9909090909090906E-2</v>
      </c>
      <c r="BG39" s="55">
        <f>'LUC-2012-08-10-Run4'!CI46</f>
        <v>0.10072727272727272</v>
      </c>
      <c r="BH39" s="55">
        <f>'LUC-2012-08-10-Run4'!CJ46</f>
        <v>0.10154545454545455</v>
      </c>
      <c r="BI39" s="55">
        <f>'LUC-2012-08-10-Run4'!CK46</f>
        <v>0.10236363636363635</v>
      </c>
      <c r="BJ39" s="55">
        <f>'LUC-2012-08-10-Run4'!CL46</f>
        <v>0.10318181818181818</v>
      </c>
      <c r="BK39" s="55">
        <f>'LUC-2012-08-10-Run4'!CM46</f>
        <v>0.104</v>
      </c>
      <c r="BM39" s="109"/>
      <c r="BN39" s="58" t="s">
        <v>104</v>
      </c>
      <c r="BO39" s="84">
        <f t="shared" si="21"/>
        <v>0.86618671127481961</v>
      </c>
      <c r="BP39" s="84">
        <f t="shared" si="22"/>
        <v>0.9303922102831238</v>
      </c>
      <c r="BQ39" s="84">
        <f t="shared" si="23"/>
        <v>1.043298969072165</v>
      </c>
      <c r="BR39" s="84">
        <f t="shared" si="24"/>
        <v>1.2185567010309277</v>
      </c>
      <c r="BS39" s="84">
        <f t="shared" si="25"/>
        <v>1.3938144329896907</v>
      </c>
      <c r="BT39" s="84">
        <f t="shared" si="26"/>
        <v>1.5690721649484536</v>
      </c>
      <c r="BU39" s="84">
        <f t="shared" si="27"/>
        <v>1.7443298969072165</v>
      </c>
    </row>
    <row r="40" spans="1:74" x14ac:dyDescent="0.25">
      <c r="A40" s="56" t="s">
        <v>38</v>
      </c>
      <c r="B40" s="54" t="s">
        <v>104</v>
      </c>
      <c r="C40" s="56" t="s">
        <v>107</v>
      </c>
      <c r="D40" s="55">
        <f>'LUC-2012-08-10-Run4'!AF50</f>
        <v>8.6618671127481966E-4</v>
      </c>
      <c r="E40" s="55">
        <f>'LUC-2012-08-10-Run4'!AG50</f>
        <v>8.7332065560907562E-4</v>
      </c>
      <c r="F40" s="55">
        <f>'LUC-2012-08-10-Run4'!AH50</f>
        <v>8.8045459994333169E-4</v>
      </c>
      <c r="G40" s="55">
        <f>'LUC-2012-08-10-Run4'!AI50</f>
        <v>8.8758854427758765E-4</v>
      </c>
      <c r="H40" s="55">
        <f>'LUC-2012-08-10-Run4'!AJ50</f>
        <v>8.9472248861184372E-4</v>
      </c>
      <c r="I40" s="55">
        <f>'LUC-2012-08-10-Run4'!AK50</f>
        <v>9.0185643294609969E-4</v>
      </c>
      <c r="J40" s="55">
        <f>'LUC-2012-08-10-Run4'!AL50</f>
        <v>9.0899037728035576E-4</v>
      </c>
      <c r="K40" s="55">
        <f>'LUC-2012-08-10-Run4'!AM50</f>
        <v>9.1612432161461172E-4</v>
      </c>
      <c r="L40" s="55">
        <f>'LUC-2012-08-10-Run4'!AN50</f>
        <v>9.2325826594886768E-4</v>
      </c>
      <c r="M40" s="55">
        <f>'LUC-2012-08-10-Run4'!AO50</f>
        <v>9.3039221028312375E-4</v>
      </c>
      <c r="N40" s="55">
        <f>'LUC-2012-08-10-Run4'!AP50</f>
        <v>9.3752615461737982E-4</v>
      </c>
      <c r="O40" s="55">
        <f>'LUC-2012-08-10-Run4'!AQ50</f>
        <v>9.4466009895163578E-4</v>
      </c>
      <c r="P40" s="55">
        <f>'LUC-2012-08-10-Run4'!AR50</f>
        <v>9.5179404328589175E-4</v>
      </c>
      <c r="Q40" s="55">
        <f>'LUC-2012-08-10-Run4'!AS50</f>
        <v>9.5892798762014782E-4</v>
      </c>
      <c r="R40" s="55">
        <f>'LUC-2012-08-10-Run4'!AT50</f>
        <v>9.6606193195440389E-4</v>
      </c>
      <c r="S40" s="55">
        <f>'LUC-2012-08-10-Run4'!AU50</f>
        <v>9.7319587628865985E-4</v>
      </c>
      <c r="T40" s="55">
        <f>'LUC-2012-08-10-Run4'!AV50</f>
        <v>9.9072164948453621E-4</v>
      </c>
      <c r="U40" s="55">
        <f>'LUC-2012-08-10-Run4'!AW50</f>
        <v>1.0082474226804125E-3</v>
      </c>
      <c r="V40" s="55">
        <f>'LUC-2012-08-10-Run4'!AX50</f>
        <v>1.0257731958762887E-3</v>
      </c>
      <c r="W40" s="55">
        <f>'LUC-2012-08-10-Run4'!AY50</f>
        <v>1.043298969072165E-3</v>
      </c>
      <c r="X40" s="55">
        <f>'LUC-2012-08-10-Run4'!AZ50</f>
        <v>1.0608247422680412E-3</v>
      </c>
      <c r="Y40" s="55">
        <f>'LUC-2012-08-10-Run4'!BA50</f>
        <v>1.0783505154639175E-3</v>
      </c>
      <c r="Z40" s="55">
        <f>'LUC-2012-08-10-Run4'!BB50</f>
        <v>1.095876288659794E-3</v>
      </c>
      <c r="AA40" s="55">
        <f>'LUC-2012-08-10-Run4'!BC50</f>
        <v>1.1134020618556702E-3</v>
      </c>
      <c r="AB40" s="55">
        <f>'LUC-2012-08-10-Run4'!BD50</f>
        <v>1.1309278350515465E-3</v>
      </c>
      <c r="AC40" s="55">
        <f>'LUC-2012-08-10-Run4'!BE50</f>
        <v>1.1484536082474227E-3</v>
      </c>
      <c r="AD40" s="55">
        <f>'LUC-2012-08-10-Run4'!BF50</f>
        <v>1.165979381443299E-3</v>
      </c>
      <c r="AE40" s="55">
        <f>'LUC-2012-08-10-Run4'!BG50</f>
        <v>1.1835051546391752E-3</v>
      </c>
      <c r="AF40" s="55">
        <f>'LUC-2012-08-10-Run4'!BH50</f>
        <v>1.2010309278350515E-3</v>
      </c>
      <c r="AG40" s="55">
        <f>'LUC-2012-08-10-Run4'!BI50</f>
        <v>1.2185567010309277E-3</v>
      </c>
      <c r="AH40" s="55">
        <f>'LUC-2012-08-10-Run4'!BJ50</f>
        <v>1.236082474226804E-3</v>
      </c>
      <c r="AI40" s="55">
        <f>'LUC-2012-08-10-Run4'!BK50</f>
        <v>1.2536082474226805E-3</v>
      </c>
      <c r="AJ40" s="55">
        <f>'LUC-2012-08-10-Run4'!BL50</f>
        <v>1.2711340206185567E-3</v>
      </c>
      <c r="AK40" s="55">
        <f>'LUC-2012-08-10-Run4'!BM50</f>
        <v>1.288659793814433E-3</v>
      </c>
      <c r="AL40" s="55">
        <f>'LUC-2012-08-10-Run4'!BN50</f>
        <v>1.3061855670103092E-3</v>
      </c>
      <c r="AM40" s="55">
        <f>'LUC-2012-08-10-Run4'!BO50</f>
        <v>1.3237113402061855E-3</v>
      </c>
      <c r="AN40" s="55">
        <f>'LUC-2012-08-10-Run4'!BP50</f>
        <v>1.3412371134020619E-3</v>
      </c>
      <c r="AO40" s="55">
        <f>'LUC-2012-08-10-Run4'!BQ50</f>
        <v>1.3587628865979382E-3</v>
      </c>
      <c r="AP40" s="55">
        <f>'LUC-2012-08-10-Run4'!BR50</f>
        <v>1.3762886597938145E-3</v>
      </c>
      <c r="AQ40" s="55">
        <f>'LUC-2012-08-10-Run4'!BS50</f>
        <v>1.3938144329896907E-3</v>
      </c>
      <c r="AR40" s="55">
        <f>'LUC-2012-08-10-Run4'!BT50</f>
        <v>1.411340206185567E-3</v>
      </c>
      <c r="AS40" s="55">
        <f>'LUC-2012-08-10-Run4'!BU50</f>
        <v>1.4288659793814432E-3</v>
      </c>
      <c r="AT40" s="55">
        <f>'LUC-2012-08-10-Run4'!BV50</f>
        <v>1.4463917525773195E-3</v>
      </c>
      <c r="AU40" s="55">
        <f>'LUC-2012-08-10-Run4'!BW50</f>
        <v>1.4639175257731957E-3</v>
      </c>
      <c r="AV40" s="55">
        <f>'LUC-2012-08-10-Run4'!BX50</f>
        <v>1.481443298969072E-3</v>
      </c>
      <c r="AW40" s="55">
        <f>'LUC-2012-08-10-Run4'!BY50</f>
        <v>1.4989690721649482E-3</v>
      </c>
      <c r="AX40" s="55">
        <f>'LUC-2012-08-10-Run4'!BZ50</f>
        <v>1.5164948453608247E-3</v>
      </c>
      <c r="AY40" s="55">
        <f>'LUC-2012-08-10-Run4'!CA50</f>
        <v>1.534020618556701E-3</v>
      </c>
      <c r="AZ40" s="55">
        <f>'LUC-2012-08-10-Run4'!CB50</f>
        <v>1.5515463917525772E-3</v>
      </c>
      <c r="BA40" s="55">
        <f>'LUC-2012-08-10-Run4'!CC50</f>
        <v>1.5690721649484537E-3</v>
      </c>
      <c r="BB40" s="55">
        <f>'LUC-2012-08-10-Run4'!CD50</f>
        <v>1.5865979381443299E-3</v>
      </c>
      <c r="BC40" s="55">
        <f>'LUC-2012-08-10-Run4'!CE50</f>
        <v>1.6041237113402062E-3</v>
      </c>
      <c r="BD40" s="55">
        <f>'LUC-2012-08-10-Run4'!CF50</f>
        <v>1.6216494845360824E-3</v>
      </c>
      <c r="BE40" s="55">
        <f>'LUC-2012-08-10-Run4'!CG50</f>
        <v>1.6391752577319587E-3</v>
      </c>
      <c r="BF40" s="55">
        <f>'LUC-2012-08-10-Run4'!CH50</f>
        <v>1.656701030927835E-3</v>
      </c>
      <c r="BG40" s="55">
        <f>'LUC-2012-08-10-Run4'!CI50</f>
        <v>1.6742268041237112E-3</v>
      </c>
      <c r="BH40" s="55">
        <f>'LUC-2012-08-10-Run4'!CJ50</f>
        <v>1.6917525773195875E-3</v>
      </c>
      <c r="BI40" s="55">
        <f>'LUC-2012-08-10-Run4'!CK50</f>
        <v>1.7092783505154637E-3</v>
      </c>
      <c r="BJ40" s="55">
        <f>'LUC-2012-08-10-Run4'!CL50</f>
        <v>1.72680412371134E-3</v>
      </c>
      <c r="BK40" s="55">
        <f>'LUC-2012-08-10-Run4'!CM50</f>
        <v>1.7443298969072164E-3</v>
      </c>
      <c r="BN40" s="56" t="s">
        <v>113</v>
      </c>
      <c r="BO40" s="51"/>
      <c r="BP40" s="51"/>
      <c r="BQ40" s="51"/>
      <c r="BR40" s="51"/>
      <c r="BS40" s="51"/>
      <c r="BT40" s="51"/>
      <c r="BU40" s="51"/>
    </row>
    <row r="41" spans="1:74" x14ac:dyDescent="0.25">
      <c r="BM41" s="61" t="s">
        <v>93</v>
      </c>
      <c r="BN41" s="61" t="s">
        <v>94</v>
      </c>
      <c r="BO41" s="61">
        <v>1991</v>
      </c>
      <c r="BP41" s="61">
        <v>2000</v>
      </c>
      <c r="BQ41" s="61">
        <v>2010</v>
      </c>
      <c r="BR41" s="61">
        <v>2020</v>
      </c>
      <c r="BS41" s="61">
        <v>2030</v>
      </c>
      <c r="BT41" s="61">
        <v>2040</v>
      </c>
      <c r="BU41" s="61">
        <v>2050</v>
      </c>
    </row>
    <row r="42" spans="1:74" x14ac:dyDescent="0.25">
      <c r="A42" s="54" t="s">
        <v>38</v>
      </c>
      <c r="B42" s="54" t="s">
        <v>105</v>
      </c>
      <c r="C42" s="54" t="s">
        <v>108</v>
      </c>
      <c r="D42" s="54">
        <f>SUM('25% by 2050 Ag'!AF15:AF16)</f>
        <v>264298.13384870189</v>
      </c>
      <c r="E42" s="54">
        <f>SUM('25% by 2050 Ag'!AG15:AG16)</f>
        <v>520633.93324715138</v>
      </c>
      <c r="F42" s="54">
        <f>SUM('25% by 2050 Ag'!AH15:AH16)</f>
        <v>769361.87263473251</v>
      </c>
      <c r="G42" s="54">
        <f>SUM('25% by 2050 Ag'!AI15:AI16)</f>
        <v>1010815.693040224</v>
      </c>
      <c r="H42" s="54">
        <f>SUM('25% by 2050 Ag'!AJ15:AJ16)</f>
        <v>1245309.8961211501</v>
      </c>
      <c r="I42" s="54">
        <f>SUM('25% by 2050 Ag'!AK15:AK16)</f>
        <v>1473141.1108468894</v>
      </c>
      <c r="J42" s="54">
        <f>SUM('25% by 2050 Ag'!AL15:AL16)</f>
        <v>1694589.3453137057</v>
      </c>
      <c r="K42" s="54">
        <f>SUM('25% by 2050 Ag'!AM15:AM16)</f>
        <v>1909919.13479971</v>
      </c>
      <c r="L42" s="54">
        <f>SUM('25% by 2050 Ag'!AN15:AN16)</f>
        <v>2119380.5959568662</v>
      </c>
      <c r="M42" s="54">
        <f>SUM('25% by 2050 Ag'!AO15:AO16)</f>
        <v>2323210.3959727613</v>
      </c>
      <c r="N42" s="54">
        <f>SUM('25% by 2050 Ag'!AP15:AP16)</f>
        <v>2501128.3875601627</v>
      </c>
      <c r="O42" s="54">
        <f>SUM('25% by 2050 Ag'!AQ15:AQ16)</f>
        <v>2992716.5447963728</v>
      </c>
      <c r="P42" s="54">
        <f>SUM('25% by 2050 Ag'!AR15:AR16)</f>
        <v>3870875.3137433636</v>
      </c>
      <c r="Q42" s="54">
        <f>SUM('25% by 2050 Ag'!AS15:AS16)</f>
        <v>4626359.6083531128</v>
      </c>
      <c r="R42" s="54">
        <f>SUM('25% by 2050 Ag'!AT15:AT16)</f>
        <v>5253285.8776954524</v>
      </c>
      <c r="S42" s="54">
        <f>SUM('25% by 2050 Ag'!AU15:AU16)</f>
        <v>6490042.973514053</v>
      </c>
      <c r="T42" s="54">
        <f>SUM('25% by 2050 Ag'!AV15:AV16)</f>
        <v>8626704.6787839495</v>
      </c>
      <c r="U42" s="54">
        <f>SUM('25% by 2050 Ag'!AW15:AW16)</f>
        <v>12227198.579180621</v>
      </c>
      <c r="V42" s="54">
        <f>SUM('25% by 2050 Ag'!AX15:AX16)</f>
        <v>13126471.001578134</v>
      </c>
      <c r="W42" s="54">
        <f>SUM('25% by 2050 Ag'!AY15:AY16)</f>
        <v>14105284.902994657</v>
      </c>
      <c r="X42" s="54">
        <f>SUM('25% by 2050 Ag'!AZ15:AZ16)</f>
        <v>15075644.188851245</v>
      </c>
      <c r="Y42" s="54">
        <f>SUM('25% by 2050 Ag'!BA15:BA16)</f>
        <v>16037657.929637915</v>
      </c>
      <c r="Z42" s="54">
        <f>SUM('25% by 2050 Ag'!BB15:BB16)</f>
        <v>16991433.327763122</v>
      </c>
      <c r="AA42" s="54">
        <f>SUM('25% by 2050 Ag'!BC15:BC16)</f>
        <v>17937075.757377177</v>
      </c>
      <c r="AB42" s="54">
        <f>SUM('25% by 2050 Ag'!BD15:BD16)</f>
        <v>18874688.803181317</v>
      </c>
      <c r="AC42" s="54">
        <f>SUM('25% by 2050 Ag'!BE15:BE16)</f>
        <v>19804374.298252288</v>
      </c>
      <c r="AD42" s="54">
        <f>SUM('25% by 2050 Ag'!BF15:BF16)</f>
        <v>20726232.360911638</v>
      </c>
      <c r="AE42" s="54">
        <f>SUM('25% by 2050 Ag'!BG15:BG16)</f>
        <v>21640361.430667602</v>
      </c>
      <c r="AF42" s="54">
        <f>SUM('25% by 2050 Ag'!BH15:BH16)</f>
        <v>22546858.967190493</v>
      </c>
      <c r="AG42" s="54">
        <f>SUM('25% by 2050 Ag'!BI15:BI16)</f>
        <v>24342282.691129331</v>
      </c>
      <c r="AH42" s="54">
        <f>SUM('25% by 2050 Ag'!BJ15:BJ16)</f>
        <v>26101073.490691878</v>
      </c>
      <c r="AI42" s="54">
        <f>SUM('25% by 2050 Ag'!BK15:BK16)</f>
        <v>27823777.346020684</v>
      </c>
      <c r="AJ42" s="54">
        <f>SUM('25% by 2050 Ag'!BL15:BL16)</f>
        <v>29510933.060536064</v>
      </c>
      <c r="AK42" s="54">
        <f>SUM('25% by 2050 Ag'!BM15:BM16)</f>
        <v>31163072.348484688</v>
      </c>
      <c r="AL42" s="54">
        <f>SUM('25% by 2050 Ag'!BN15:BN16)</f>
        <v>32780719.921488293</v>
      </c>
      <c r="AM42" s="54">
        <f>SUM('25% by 2050 Ag'!BO15:BO16)</f>
        <v>34364393.574103065</v>
      </c>
      <c r="AN42" s="54">
        <f>SUM('25% by 2050 Ag'!BP15:BP16)</f>
        <v>35914604.268399544</v>
      </c>
      <c r="AO42" s="54">
        <f>SUM('25% by 2050 Ag'!BQ15:BQ16)</f>
        <v>37431856.217573404</v>
      </c>
      <c r="AP42" s="54">
        <f>SUM('25% by 2050 Ag'!BR15:BR16)</f>
        <v>38916646.968596838</v>
      </c>
      <c r="AQ42" s="54">
        <f>SUM('25% by 2050 Ag'!BS15:BS16)</f>
        <v>40369467.483920813</v>
      </c>
      <c r="AR42" s="54">
        <f>SUM('25% by 2050 Ag'!BT15:BT16)</f>
        <v>41790802.222237781</v>
      </c>
      <c r="AS42" s="54">
        <f>SUM('25% by 2050 Ag'!BU15:BU16)</f>
        <v>43181129.218314737</v>
      </c>
      <c r="AT42" s="54">
        <f>SUM('25% by 2050 Ag'!BV15:BV16)</f>
        <v>44540920.161906488</v>
      </c>
      <c r="AU42" s="54">
        <f>SUM('25% by 2050 Ag'!BW15:BW16)</f>
        <v>45870640.475758456</v>
      </c>
      <c r="AV42" s="54">
        <f>SUM('25% by 2050 Ag'!BX15:BX16)</f>
        <v>47170749.392708987</v>
      </c>
      <c r="AW42" s="54">
        <f>SUM('25% by 2050 Ag'!BY15:BY16)</f>
        <v>48441700.031900316</v>
      </c>
      <c r="AX42" s="54">
        <f>SUM('25% by 2050 Ag'!BZ15:BZ16)</f>
        <v>49683939.474107847</v>
      </c>
      <c r="AY42" s="54">
        <f>SUM('25% by 2050 Ag'!CA15:CA16)</f>
        <v>50897908.83619687</v>
      </c>
      <c r="AZ42" s="54">
        <f>SUM('25% by 2050 Ag'!CB15:CB16)</f>
        <v>52084043.344716303</v>
      </c>
      <c r="BA42" s="54">
        <f>SUM('25% by 2050 Ag'!CC15:CC16)</f>
        <v>53242772.408638254</v>
      </c>
      <c r="BB42" s="54">
        <f>SUM('25% by 2050 Ag'!CD15:CD16)</f>
        <v>54374519.691252902</v>
      </c>
      <c r="BC42" s="54">
        <f>SUM('25% by 2050 Ag'!CE15:CE16)</f>
        <v>55479703.181227438</v>
      </c>
      <c r="BD42" s="54">
        <f>SUM('25% by 2050 Ag'!CF15:CF16)</f>
        <v>56558735.2628382</v>
      </c>
      <c r="BE42" s="54">
        <f>SUM('25% by 2050 Ag'!CG15:CG16)</f>
        <v>57612022.785384849</v>
      </c>
      <c r="BF42" s="54">
        <f>SUM('25% by 2050 Ag'!CH15:CH16)</f>
        <v>58639967.131795295</v>
      </c>
      <c r="BG42" s="54">
        <f>SUM('25% by 2050 Ag'!CI15:CI16)</f>
        <v>59642964.286430314</v>
      </c>
      <c r="BH42" s="54">
        <f>SUM('25% by 2050 Ag'!CJ15:CJ16)</f>
        <v>60621404.902096272</v>
      </c>
      <c r="BI42" s="54">
        <f>SUM('25% by 2050 Ag'!CK15:CK16)</f>
        <v>61575674.366274685</v>
      </c>
      <c r="BJ42" s="54">
        <f>SUM('25% by 2050 Ag'!CL15:CL16)</f>
        <v>62506152.866577119</v>
      </c>
      <c r="BK42" s="54">
        <f>SUM('25% by 2050 Ag'!CM15:CM16)</f>
        <v>63413215.455433682</v>
      </c>
      <c r="BM42" s="103" t="s">
        <v>38</v>
      </c>
      <c r="BN42" s="59" t="s">
        <v>105</v>
      </c>
      <c r="BO42" s="80">
        <f>D42/1000000</f>
        <v>0.26429813384870188</v>
      </c>
      <c r="BP42" s="79">
        <f>M42/1000000</f>
        <v>2.3232103959727612</v>
      </c>
      <c r="BQ42" s="64">
        <f>W42/1000000</f>
        <v>14.105284902994656</v>
      </c>
      <c r="BR42" s="64">
        <f>AG42/1000000</f>
        <v>24.342282691129331</v>
      </c>
      <c r="BS42" s="64">
        <f>AQ42/1000000</f>
        <v>40.369467483920815</v>
      </c>
      <c r="BT42" s="64">
        <f>BA42/1000000</f>
        <v>53.242772408638253</v>
      </c>
      <c r="BU42" s="64">
        <f>BK42/1000000</f>
        <v>63.413215455433679</v>
      </c>
    </row>
    <row r="43" spans="1:74" x14ac:dyDescent="0.25">
      <c r="A43" s="54" t="s">
        <v>38</v>
      </c>
      <c r="B43" s="54" t="s">
        <v>106</v>
      </c>
      <c r="C43" s="54" t="s">
        <v>108</v>
      </c>
      <c r="D43" s="54">
        <f>'25% by 2050 Ag'!AF23</f>
        <v>0</v>
      </c>
      <c r="E43" s="54">
        <f>'25% by 2050 Ag'!AG23</f>
        <v>0</v>
      </c>
      <c r="F43" s="54">
        <f>'25% by 2050 Ag'!AH23</f>
        <v>0</v>
      </c>
      <c r="G43" s="54">
        <f>'25% by 2050 Ag'!AI23</f>
        <v>0</v>
      </c>
      <c r="H43" s="54">
        <f>'25% by 2050 Ag'!AJ23</f>
        <v>0</v>
      </c>
      <c r="I43" s="54">
        <f>'25% by 2050 Ag'!AK23</f>
        <v>0</v>
      </c>
      <c r="J43" s="54">
        <f>'25% by 2050 Ag'!AL23</f>
        <v>0</v>
      </c>
      <c r="K43" s="54">
        <f>'25% by 2050 Ag'!AM23</f>
        <v>0</v>
      </c>
      <c r="L43" s="54">
        <f>'25% by 2050 Ag'!AN23</f>
        <v>0</v>
      </c>
      <c r="M43" s="54">
        <f>'25% by 2050 Ag'!AO23</f>
        <v>0</v>
      </c>
      <c r="N43" s="54">
        <f>'25% by 2050 Ag'!AP23</f>
        <v>26902.341993431211</v>
      </c>
      <c r="O43" s="54">
        <f>'25% by 2050 Ag'!AQ23</f>
        <v>32526.606109635377</v>
      </c>
      <c r="P43" s="54">
        <f>'25% by 2050 Ag'!AR23</f>
        <v>43564.042547470432</v>
      </c>
      <c r="Q43" s="54">
        <f>'25% by 2050 Ag'!AS23</f>
        <v>84536.761375307266</v>
      </c>
      <c r="R43" s="54">
        <f>'25% by 2050 Ag'!AT23</f>
        <v>271911.14066607878</v>
      </c>
      <c r="S43" s="54">
        <f>'25% by 2050 Ag'!AU23</f>
        <v>741604.83511076646</v>
      </c>
      <c r="T43" s="54">
        <f>'25% by 2050 Ag'!AV23</f>
        <v>1435703.7325092244</v>
      </c>
      <c r="U43" s="54">
        <f>'25% by 2050 Ag'!AW23</f>
        <v>1777556.8524855981</v>
      </c>
      <c r="V43" s="54">
        <f>'25% by 2050 Ag'!AX23</f>
        <v>1863278.5505074349</v>
      </c>
      <c r="W43" s="54">
        <f>'25% by 2050 Ag'!AY23</f>
        <v>1947310.4713917852</v>
      </c>
      <c r="X43" s="54">
        <f>'25% by 2050 Ag'!AZ23</f>
        <v>2029702.0917361467</v>
      </c>
      <c r="Y43" s="54">
        <f>'25% by 2050 Ag'!BA23</f>
        <v>2110500.9752444732</v>
      </c>
      <c r="Z43" s="54">
        <f>'25% by 2050 Ag'!BB23</f>
        <v>2189752.8642889517</v>
      </c>
      <c r="AA43" s="54">
        <f>'25% by 2050 Ag'!BC23</f>
        <v>2267501.7662624517</v>
      </c>
      <c r="AB43" s="54">
        <f>'25% by 2050 Ag'!BD23</f>
        <v>2343790.0350641971</v>
      </c>
      <c r="AC43" s="54">
        <f>'25% by 2050 Ag'!BE23</f>
        <v>2418658.4480356607</v>
      </c>
      <c r="AD43" s="54">
        <f>'25% by 2050 Ag'!BF23</f>
        <v>2492146.2786403401</v>
      </c>
      <c r="AE43" s="54">
        <f>'25% by 2050 Ag'!BG23</f>
        <v>2564291.3651595972</v>
      </c>
      <c r="AF43" s="54">
        <f>'25% by 2050 Ag'!BH23</f>
        <v>2635128.1051006331</v>
      </c>
      <c r="AG43" s="54">
        <f>'25% by 2050 Ag'!BI23</f>
        <v>3380614.92258952</v>
      </c>
      <c r="AH43" s="54">
        <f>'25% by 2050 Ag'!BJ23</f>
        <v>4112843.8300739746</v>
      </c>
      <c r="AI43" s="54">
        <f>'25% by 2050 Ag'!BK23</f>
        <v>4832165.3829819951</v>
      </c>
      <c r="AJ43" s="54">
        <f>'25% by 2050 Ag'!BL23</f>
        <v>5538917.885895811</v>
      </c>
      <c r="AK43" s="54">
        <f>'25% by 2050 Ag'!BM23</f>
        <v>6233427.9230790483</v>
      </c>
      <c r="AL43" s="54">
        <f>'25% by 2050 Ag'!BN23</f>
        <v>6916010.861671024</v>
      </c>
      <c r="AM43" s="54">
        <f>'25% by 2050 Ag'!BO23</f>
        <v>7586971.3291770834</v>
      </c>
      <c r="AN43" s="54">
        <f>'25% by 2050 Ag'!BP23</f>
        <v>8246603.6667738743</v>
      </c>
      <c r="AO43" s="54">
        <f>'25% by 2050 Ag'!BQ23</f>
        <v>8895192.3598467596</v>
      </c>
      <c r="AP43" s="54">
        <f>'25% by 2050 Ag'!BR23</f>
        <v>9533012.4470824003</v>
      </c>
      <c r="AQ43" s="54">
        <f>'25% by 2050 Ag'!BS23</f>
        <v>10160329.909352459</v>
      </c>
      <c r="AR43" s="54">
        <f>'25% by 2050 Ag'!BT23</f>
        <v>10777402.039543582</v>
      </c>
      <c r="AS43" s="54">
        <f>'25% by 2050 Ag'!BU23</f>
        <v>11384477.794413984</v>
      </c>
      <c r="AT43" s="54">
        <f>'25% by 2050 Ag'!BV23</f>
        <v>11981798.12948755</v>
      </c>
      <c r="AU43" s="54">
        <f>'25% by 2050 Ag'!BW23</f>
        <v>12569596.31793182</v>
      </c>
      <c r="AV43" s="54">
        <f>'25% by 2050 Ag'!BX23</f>
        <v>13148098.254306495</v>
      </c>
      <c r="AW43" s="54">
        <f>'25% by 2050 Ag'!BY23</f>
        <v>13717522.744013244</v>
      </c>
      <c r="AX43" s="54">
        <f>'25% by 2050 Ag'!BZ23</f>
        <v>14278081.779226134</v>
      </c>
      <c r="AY43" s="54">
        <f>'25% by 2050 Ag'!CA23</f>
        <v>14829980.802033508</v>
      </c>
      <c r="AZ43" s="54">
        <f>'25% by 2050 Ag'!CB23</f>
        <v>15373418.955477731</v>
      </c>
      <c r="BA43" s="54">
        <f>'25% by 2050 Ag'!CC23</f>
        <v>15908589.32313695</v>
      </c>
      <c r="BB43" s="54">
        <f>'25% by 2050 Ag'!CD23</f>
        <v>16435679.157854637</v>
      </c>
      <c r="BC43" s="54">
        <f>'25% by 2050 Ag'!CE23</f>
        <v>16954870.100185946</v>
      </c>
      <c r="BD43" s="54">
        <f>'25% by 2050 Ag'!CF23</f>
        <v>17466338.387096308</v>
      </c>
      <c r="BE43" s="54">
        <f>'25% by 2050 Ag'!CG23</f>
        <v>17970255.051416021</v>
      </c>
      <c r="BF43" s="54">
        <f>'25% by 2050 Ag'!CH23</f>
        <v>18466786.112524856</v>
      </c>
      <c r="BG43" s="54">
        <f>'25% by 2050 Ag'!CI23</f>
        <v>18956092.758713588</v>
      </c>
      <c r="BH43" s="54">
        <f>'25% by 2050 Ag'!CJ23</f>
        <v>19438331.521642867</v>
      </c>
      <c r="BI43" s="54">
        <f>'25% by 2050 Ag'!CK23</f>
        <v>19913654.443296492</v>
      </c>
      <c r="BJ43" s="54">
        <f>'25% by 2050 Ag'!CL23</f>
        <v>20382209.235802721</v>
      </c>
      <c r="BK43" s="54">
        <f>'25% by 2050 Ag'!CM23</f>
        <v>20844139.434476919</v>
      </c>
      <c r="BM43" s="104"/>
      <c r="BN43" s="57" t="s">
        <v>106</v>
      </c>
      <c r="BO43" s="65">
        <f t="shared" ref="BO43:BO45" si="28">D43/1000000</f>
        <v>0</v>
      </c>
      <c r="BP43" s="65">
        <f>M43/1000000</f>
        <v>0</v>
      </c>
      <c r="BQ43" s="77">
        <f>W43/1000000</f>
        <v>1.9473104713917853</v>
      </c>
      <c r="BR43" s="77">
        <f>AG43/1000000</f>
        <v>3.3806149225895199</v>
      </c>
      <c r="BS43" s="65">
        <f>AQ43/1000000</f>
        <v>10.160329909352459</v>
      </c>
      <c r="BT43" s="65">
        <f>BA43/1000000</f>
        <v>15.908589323136949</v>
      </c>
      <c r="BU43" s="65">
        <f>BK43/1000000</f>
        <v>20.844139434476919</v>
      </c>
    </row>
    <row r="44" spans="1:74" x14ac:dyDescent="0.25">
      <c r="A44" s="54" t="s">
        <v>71</v>
      </c>
      <c r="B44" s="54" t="s">
        <v>105</v>
      </c>
      <c r="C44" s="54" t="s">
        <v>108</v>
      </c>
      <c r="D44" s="54">
        <f>SUM('25% by 2050 Ag'!AF17:AF22)</f>
        <v>639775.14095076662</v>
      </c>
      <c r="E44" s="54">
        <f>SUM('25% by 2050 Ag'!AG17:AG22)</f>
        <v>1261564.3955121778</v>
      </c>
      <c r="F44" s="54">
        <f>SUM('25% by 2050 Ag'!AH17:AH22)</f>
        <v>1866165.2287806324</v>
      </c>
      <c r="G44" s="54">
        <f>SUM('25% by 2050 Ag'!AI17:AI22)</f>
        <v>2454326.7097856458</v>
      </c>
      <c r="H44" s="54">
        <f>SUM('25% by 2050 Ag'!AJ17:AJ22)</f>
        <v>3026753.2265974297</v>
      </c>
      <c r="I44" s="54">
        <f>SUM('25% by 2050 Ag'!AK17:AK22)</f>
        <v>3584107.8585047484</v>
      </c>
      <c r="J44" s="54">
        <f>SUM('25% by 2050 Ag'!AL17:AL22)</f>
        <v>4127015.44203889</v>
      </c>
      <c r="K44" s="54">
        <f>SUM('25% by 2050 Ag'!AM17:AM22)</f>
        <v>4656065.3631483382</v>
      </c>
      <c r="L44" s="54">
        <f>SUM('25% by 2050 Ag'!AN17:AN22)</f>
        <v>5171814.103962685</v>
      </c>
      <c r="M44" s="54">
        <f>SUM('25% by 2050 Ag'!AO17:AO22)</f>
        <v>5674787.5692337193</v>
      </c>
      <c r="N44" s="54">
        <f>SUM('25% by 2050 Ag'!AP17:AP22)</f>
        <v>5987186.5592947425</v>
      </c>
      <c r="O44" s="54">
        <f>SUM('25% by 2050 Ag'!AQ17:AQ22)</f>
        <v>6646565.032981636</v>
      </c>
      <c r="P44" s="54">
        <f>SUM('25% by 2050 Ag'!AR17:AR22)</f>
        <v>7493689.1952211857</v>
      </c>
      <c r="Q44" s="54">
        <f>SUM('25% by 2050 Ag'!AS17:AS22)</f>
        <v>7044951.5862929411</v>
      </c>
      <c r="R44" s="54">
        <f>SUM('25% by 2050 Ag'!AT17:AT22)</f>
        <v>7915663.2393809231</v>
      </c>
      <c r="S44" s="54">
        <f>SUM('25% by 2050 Ag'!AU17:AU22)</f>
        <v>9212256.2733300738</v>
      </c>
      <c r="T44" s="54">
        <f>SUM('25% by 2050 Ag'!AV17:AV22)</f>
        <v>11085966.479006425</v>
      </c>
      <c r="U44" s="54">
        <f>SUM('25% by 2050 Ag'!AW17:AW22)</f>
        <v>12071020.644982615</v>
      </c>
      <c r="V44" s="54">
        <f>SUM('25% by 2050 Ag'!AX17:AX22)</f>
        <v>16509643.710017523</v>
      </c>
      <c r="W44" s="54">
        <f>SUM('25% by 2050 Ag'!AY17:AY22)</f>
        <v>18389105.21070018</v>
      </c>
      <c r="X44" s="54">
        <f>SUM('25% by 2050 Ag'!AZ17:AZ22)</f>
        <v>20238761.659286596</v>
      </c>
      <c r="Y44" s="54">
        <f>SUM('25% by 2050 Ag'!BA17:BA22)</f>
        <v>22059331.113750409</v>
      </c>
      <c r="Z44" s="54">
        <f>SUM('25% by 2050 Ag'!BB17:BB22)</f>
        <v>23851508.415274251</v>
      </c>
      <c r="AA44" s="54">
        <f>SUM('25% by 2050 Ag'!BC17:BC22)</f>
        <v>25615966.1348009</v>
      </c>
      <c r="AB44" s="54">
        <f>SUM('25% by 2050 Ag'!BD17:BD22)</f>
        <v>27353355.472757764</v>
      </c>
      <c r="AC44" s="54">
        <f>SUM('25% by 2050 Ag'!BE17:BE22)</f>
        <v>29064307.11469413</v>
      </c>
      <c r="AD44" s="54">
        <f>SUM('25% by 2050 Ag'!BF17:BF22)</f>
        <v>30749432.045384534</v>
      </c>
      <c r="AE44" s="54">
        <f>SUM('25% by 2050 Ag'!BG17:BG22)</f>
        <v>32409322.323779803</v>
      </c>
      <c r="AF44" s="54">
        <f>SUM('25% by 2050 Ag'!BH17:BH22)</f>
        <v>34044549.100456543</v>
      </c>
      <c r="AG44" s="54">
        <f>SUM('25% by 2050 Ag'!BI17:BI22)</f>
        <v>38082841.403496012</v>
      </c>
      <c r="AH44" s="54">
        <f>SUM('25% by 2050 Ag'!BJ17:BJ22)</f>
        <v>39292013.182219692</v>
      </c>
      <c r="AI44" s="54">
        <f>SUM('25% by 2050 Ag'!BK17:BK22)</f>
        <v>40475602.303126752</v>
      </c>
      <c r="AJ44" s="54">
        <f>SUM('25% by 2050 Ag'!BL17:BL22)</f>
        <v>41633962.586526401</v>
      </c>
      <c r="AK44" s="54">
        <f>SUM('25% by 2050 Ag'!BM17:BM22)</f>
        <v>42767444.580654174</v>
      </c>
      <c r="AL44" s="54">
        <f>SUM('25% by 2050 Ag'!BN17:BN22)</f>
        <v>43876395.537723362</v>
      </c>
      <c r="AM44" s="54">
        <f>SUM('25% by 2050 Ag'!BO17:BO22)</f>
        <v>44961159.393543325</v>
      </c>
      <c r="AN44" s="54">
        <f>SUM('25% by 2050 Ag'!BP17:BP22)</f>
        <v>46022076.750473008</v>
      </c>
      <c r="AO44" s="54">
        <f>SUM('25% by 2050 Ag'!BQ17:BQ22)</f>
        <v>47059484.863493562</v>
      </c>
      <c r="AP44" s="54">
        <f>SUM('25% by 2050 Ag'!BR17:BR22)</f>
        <v>48073717.629197642</v>
      </c>
      <c r="AQ44" s="54">
        <f>SUM('25% by 2050 Ag'!BS17:BS22)</f>
        <v>49065105.577506348</v>
      </c>
      <c r="AR44" s="54">
        <f>SUM('25% by 2050 Ag'!BT17:BT22)</f>
        <v>50033975.865936562</v>
      </c>
      <c r="AS44" s="54">
        <f>SUM('25% by 2050 Ag'!BU17:BU22)</f>
        <v>50980652.276252985</v>
      </c>
      <c r="AT44" s="54">
        <f>SUM('25% by 2050 Ag'!BV17:BV22)</f>
        <v>51905455.213349357</v>
      </c>
      <c r="AU44" s="54">
        <f>SUM('25% by 2050 Ag'!BW17:BW22)</f>
        <v>52808701.706213526</v>
      </c>
      <c r="AV44" s="54">
        <f>SUM('25% by 2050 Ag'!BX17:BX22)</f>
        <v>53690705.410839409</v>
      </c>
      <c r="AW44" s="54">
        <f>SUM('25% by 2050 Ag'!BY17:BY22)</f>
        <v>54551776.6149581</v>
      </c>
      <c r="AX44" s="54">
        <f>SUM('25% by 2050 Ag'!BZ17:BZ22)</f>
        <v>55392222.244467899</v>
      </c>
      <c r="AY44" s="54">
        <f>SUM('25% by 2050 Ag'!CA17:CA22)</f>
        <v>56212345.871450067</v>
      </c>
      <c r="AZ44" s="54">
        <f>SUM('25% by 2050 Ag'!CB17:CB22)</f>
        <v>57012447.72366479</v>
      </c>
      <c r="BA44" s="54">
        <f>SUM('25% by 2050 Ag'!CC17:CC22)</f>
        <v>57792824.695427522</v>
      </c>
      <c r="BB44" s="54">
        <f>SUM('25% by 2050 Ag'!CD17:CD22)</f>
        <v>58553770.359772064</v>
      </c>
      <c r="BC44" s="54">
        <f>SUM('25% by 2050 Ag'!CE17:CE22)</f>
        <v>59295574.981812716</v>
      </c>
      <c r="BD44" s="54">
        <f>SUM('25% by 2050 Ag'!CF17:CF22)</f>
        <v>60018525.533222347</v>
      </c>
      <c r="BE44" s="54">
        <f>SUM('25% by 2050 Ag'!CG17:CG22)</f>
        <v>60722905.707749024</v>
      </c>
      <c r="BF44" s="54">
        <f>SUM('25% by 2050 Ag'!CH17:CH22)</f>
        <v>61408995.937697619</v>
      </c>
      <c r="BG44" s="54">
        <f>SUM('25% by 2050 Ag'!CI17:CI22)</f>
        <v>62077073.411307558</v>
      </c>
      <c r="BH44" s="54">
        <f>SUM('25% by 2050 Ag'!CJ17:CJ22)</f>
        <v>62727412.090962142</v>
      </c>
      <c r="BI44" s="54">
        <f>SUM('25% by 2050 Ag'!CK17:CK22)</f>
        <v>63360282.732167773</v>
      </c>
      <c r="BJ44" s="54">
        <f>SUM('25% by 2050 Ag'!CL17:CL22)</f>
        <v>63975952.903246164</v>
      </c>
      <c r="BK44" s="54">
        <f>SUM('25% by 2050 Ag'!CM17:CM22)</f>
        <v>64574687.005684897</v>
      </c>
      <c r="BM44" s="104" t="s">
        <v>71</v>
      </c>
      <c r="BN44" s="57" t="s">
        <v>105</v>
      </c>
      <c r="BO44" s="82">
        <f t="shared" si="28"/>
        <v>0.6397751409507666</v>
      </c>
      <c r="BP44" s="77">
        <f>M44/1000000</f>
        <v>5.6747875692337191</v>
      </c>
      <c r="BQ44" s="65">
        <f>W44/1000000</f>
        <v>18.38910521070018</v>
      </c>
      <c r="BR44" s="65">
        <f>AG44/1000000</f>
        <v>38.082841403496012</v>
      </c>
      <c r="BS44" s="65">
        <f>AQ44/1000000</f>
        <v>49.065105577506351</v>
      </c>
      <c r="BT44" s="65">
        <f>BA44/1000000</f>
        <v>57.79282469542752</v>
      </c>
      <c r="BU44" s="65">
        <f>BK44/1000000</f>
        <v>64.574687005684893</v>
      </c>
    </row>
    <row r="45" spans="1:74" x14ac:dyDescent="0.25">
      <c r="A45" s="54" t="s">
        <v>71</v>
      </c>
      <c r="B45" s="54" t="s">
        <v>106</v>
      </c>
      <c r="C45" s="54" t="s">
        <v>108</v>
      </c>
      <c r="D45" s="54">
        <f>'25% by 2050 Ag'!AF24</f>
        <v>138599.56472198345</v>
      </c>
      <c r="E45" s="54">
        <f>'25% by 2050 Ag'!AG24</f>
        <v>273457.71379753767</v>
      </c>
      <c r="F45" s="54">
        <f>'25% by 2050 Ag'!AH24</f>
        <v>404723.92573324346</v>
      </c>
      <c r="G45" s="54">
        <f>'25% by 2050 Ag'!AI24</f>
        <v>532539.82098634238</v>
      </c>
      <c r="H45" s="54">
        <f>'25% by 2050 Ag'!AJ24</f>
        <v>657039.67163612996</v>
      </c>
      <c r="I45" s="54">
        <f>'25% by 2050 Ag'!AK24</f>
        <v>778350.87189472397</v>
      </c>
      <c r="J45" s="54">
        <f>'25% by 2050 Ag'!AL24</f>
        <v>896594.37292321946</v>
      </c>
      <c r="K45" s="54">
        <f>'25% by 2050 Ag'!AM24</f>
        <v>1011885.0850730242</v>
      </c>
      <c r="L45" s="54">
        <f>'25% by 2050 Ag'!AN24</f>
        <v>1124332.2503643718</v>
      </c>
      <c r="M45" s="54">
        <f>'25% by 2050 Ag'!AO24</f>
        <v>1234039.7877399891</v>
      </c>
      <c r="N45" s="54">
        <f>'25% by 2050 Ag'!AP24</f>
        <v>1527995.2742244024</v>
      </c>
      <c r="O45" s="54">
        <f>'25% by 2050 Ag'!AQ24</f>
        <v>1967130.5156948098</v>
      </c>
      <c r="P45" s="54">
        <f>'25% by 2050 Ag'!AR24</f>
        <v>2598021.0199561203</v>
      </c>
      <c r="Q45" s="54">
        <f>'25% by 2050 Ag'!AS24</f>
        <v>3251413.8990502795</v>
      </c>
      <c r="R45" s="54">
        <f>'25% by 2050 Ag'!AT24</f>
        <v>4998965.2574780276</v>
      </c>
      <c r="S45" s="54">
        <f>'25% by 2050 Ag'!AU24</f>
        <v>8192818.5498469528</v>
      </c>
      <c r="T45" s="54">
        <f>'25% by 2050 Ag'!AV24</f>
        <v>10999483.226062525</v>
      </c>
      <c r="U45" s="54">
        <f>'25% by 2050 Ag'!AW24</f>
        <v>16417552.904479241</v>
      </c>
      <c r="V45" s="54">
        <f>'25% by 2050 Ag'!AX24</f>
        <v>19071444.584975265</v>
      </c>
      <c r="W45" s="54">
        <f>'25% by 2050 Ag'!AY24</f>
        <v>21673021.79211675</v>
      </c>
      <c r="X45" s="54">
        <f>'25% by 2050 Ag'!AZ24</f>
        <v>24223816.291296955</v>
      </c>
      <c r="Y45" s="54">
        <f>'25% by 2050 Ag'!BA24</f>
        <v>26725300.625887387</v>
      </c>
      <c r="Z45" s="54">
        <f>'25% by 2050 Ag'!BB24</f>
        <v>29178890.951934762</v>
      </c>
      <c r="AA45" s="54">
        <f>'25% by 2050 Ag'!BC24</f>
        <v>31585949.711580537</v>
      </c>
      <c r="AB45" s="54">
        <f>'25% by 2050 Ag'!BD24</f>
        <v>33947788.155807592</v>
      </c>
      <c r="AC45" s="54">
        <f>'25% by 2050 Ag'!BE24</f>
        <v>36265668.726328865</v>
      </c>
      <c r="AD45" s="54">
        <f>'25% by 2050 Ag'!BF24</f>
        <v>38540807.305709042</v>
      </c>
      <c r="AE45" s="54">
        <f>'25% by 2050 Ag'!BG24</f>
        <v>40774375.344146028</v>
      </c>
      <c r="AF45" s="54">
        <f>'25% by 2050 Ag'!BH24</f>
        <v>42967496.11918278</v>
      </c>
      <c r="AG45" s="54">
        <f>'25% by 2050 Ag'!BI24</f>
        <v>63445631.558931202</v>
      </c>
      <c r="AH45" s="54">
        <f>'25% by 2050 Ag'!BJ24</f>
        <v>83559579.101121262</v>
      </c>
      <c r="AI45" s="54">
        <f>'25% by 2050 Ag'!BK24</f>
        <v>103318968.32117303</v>
      </c>
      <c r="AJ45" s="54">
        <f>'25% by 2050 Ag'!BL24</f>
        <v>122733092.27014014</v>
      </c>
      <c r="AK45" s="54">
        <f>'25% by 2050 Ag'!BM24</f>
        <v>141810922.04801551</v>
      </c>
      <c r="AL45" s="54">
        <f>'25% by 2050 Ag'!BN24</f>
        <v>160561120.62621683</v>
      </c>
      <c r="AM45" s="54">
        <f>'25% by 2050 Ag'!BO24</f>
        <v>178992055.96399805</v>
      </c>
      <c r="AN45" s="54">
        <f>'25% by 2050 Ag'!BP24</f>
        <v>197111813.46050981</v>
      </c>
      <c r="AO45" s="54">
        <f>'25% by 2050 Ag'!BQ24</f>
        <v>214928207.78143814</v>
      </c>
      <c r="AP45" s="54">
        <f>'25% by 2050 Ag'!BR24</f>
        <v>232448794.09656546</v>
      </c>
      <c r="AQ45" s="54">
        <f>'25% by 2050 Ag'!BS24</f>
        <v>249680878.76220351</v>
      </c>
      <c r="AR45" s="54">
        <f>'25% by 2050 Ag'!BT24</f>
        <v>266631529.48023075</v>
      </c>
      <c r="AS45" s="54">
        <f>'25% by 2050 Ag'!BU24</f>
        <v>283307584.96341038</v>
      </c>
      <c r="AT45" s="54">
        <f>'25% by 2050 Ag'!BV24</f>
        <v>299715664.13475633</v>
      </c>
      <c r="AU45" s="54">
        <f>'25% by 2050 Ag'!BW24</f>
        <v>315862174.8869468</v>
      </c>
      <c r="AV45" s="54">
        <f>'25% by 2050 Ag'!BX24</f>
        <v>331753322.42613709</v>
      </c>
      <c r="AW45" s="54">
        <f>'25% by 2050 Ag'!BY24</f>
        <v>347395117.22299582</v>
      </c>
      <c r="AX45" s="54">
        <f>'25% by 2050 Ag'!BZ24</f>
        <v>362793382.59237021</v>
      </c>
      <c r="AY45" s="54">
        <f>'25% by 2050 Ag'!CA24</f>
        <v>377953761.92165697</v>
      </c>
      <c r="AZ45" s="54">
        <f>'25% by 2050 Ag'!CB24</f>
        <v>392881725.56673294</v>
      </c>
      <c r="BA45" s="54">
        <f>'25% by 2050 Ag'!CC24</f>
        <v>407582577.43314278</v>
      </c>
      <c r="BB45" s="54">
        <f>'25% by 2050 Ag'!CD24</f>
        <v>422061461.25917965</v>
      </c>
      <c r="BC45" s="54">
        <f>'25% by 2050 Ag'!CE24</f>
        <v>436323366.61649287</v>
      </c>
      <c r="BD45" s="54">
        <f>'25% by 2050 Ag'!CF24</f>
        <v>450373134.64293116</v>
      </c>
      <c r="BE45" s="54">
        <f>'25% by 2050 Ag'!CG24</f>
        <v>464215463.52145505</v>
      </c>
      <c r="BF45" s="54">
        <f>'25% by 2050 Ag'!CH24</f>
        <v>477854913.71814525</v>
      </c>
      <c r="BG45" s="54">
        <f>'25% by 2050 Ag'!CI24</f>
        <v>491295912.99157792</v>
      </c>
      <c r="BH45" s="54">
        <f>'25% by 2050 Ag'!CJ24</f>
        <v>504542761.18512064</v>
      </c>
      <c r="BI45" s="54">
        <f>'25% by 2050 Ag'!CK24</f>
        <v>517599634.81305027</v>
      </c>
      <c r="BJ45" s="54">
        <f>'25% by 2050 Ag'!CL24</f>
        <v>530470591.45076257</v>
      </c>
      <c r="BK45" s="54">
        <f>'25% by 2050 Ag'!CM24</f>
        <v>543159573.93877423</v>
      </c>
      <c r="BM45" s="105"/>
      <c r="BN45" s="58" t="s">
        <v>106</v>
      </c>
      <c r="BO45" s="81">
        <f t="shared" si="28"/>
        <v>0.13859956472198345</v>
      </c>
      <c r="BP45" s="78">
        <f>M45/1000000</f>
        <v>1.2340397877399891</v>
      </c>
      <c r="BQ45" s="66">
        <f>W45/1000000</f>
        <v>21.673021792116749</v>
      </c>
      <c r="BR45" s="66">
        <f>AG45/1000000</f>
        <v>63.445631558931204</v>
      </c>
      <c r="BS45" s="66">
        <f>AQ45/1000000</f>
        <v>249.68087876220352</v>
      </c>
      <c r="BT45" s="66">
        <f>BA45/1000000</f>
        <v>407.58257743314277</v>
      </c>
      <c r="BU45" s="66">
        <f>BK45/1000000</f>
        <v>543.1595739387742</v>
      </c>
      <c r="BV45" s="51">
        <f>SUM(BU42:BU45)</f>
        <v>691.99161583436967</v>
      </c>
    </row>
    <row r="46" spans="1:74" x14ac:dyDescent="0.25">
      <c r="BN46" s="54" t="s">
        <v>110</v>
      </c>
    </row>
    <row r="47" spans="1:74" x14ac:dyDescent="0.25">
      <c r="A47" s="54" t="s">
        <v>38</v>
      </c>
      <c r="B47" s="54" t="s">
        <v>105</v>
      </c>
      <c r="C47" s="54" t="s">
        <v>109</v>
      </c>
      <c r="D47" s="54">
        <f>D52*$D$61</f>
        <v>20945863829.462044</v>
      </c>
      <c r="E47" s="54">
        <f t="shared" ref="E47:BK47" si="29">E52*$D$61</f>
        <v>41891727658.924088</v>
      </c>
      <c r="F47" s="54">
        <f t="shared" si="29"/>
        <v>62837591488.386124</v>
      </c>
      <c r="G47" s="54">
        <f t="shared" si="29"/>
        <v>83783455317.848175</v>
      </c>
      <c r="H47" s="54">
        <f t="shared" si="29"/>
        <v>104729319147.31021</v>
      </c>
      <c r="I47" s="54">
        <f t="shared" si="29"/>
        <v>125675182976.77226</v>
      </c>
      <c r="J47" s="54">
        <f t="shared" si="29"/>
        <v>146621046806.23428</v>
      </c>
      <c r="K47" s="54">
        <f t="shared" si="29"/>
        <v>167566910635.69635</v>
      </c>
      <c r="L47" s="54">
        <f t="shared" si="29"/>
        <v>188512774465.15839</v>
      </c>
      <c r="M47" s="54">
        <f t="shared" si="29"/>
        <v>209458638294.62042</v>
      </c>
      <c r="N47" s="54">
        <f t="shared" si="29"/>
        <v>228531004354.98901</v>
      </c>
      <c r="O47" s="54">
        <f t="shared" si="29"/>
        <v>277075236804.16864</v>
      </c>
      <c r="P47" s="54">
        <f t="shared" si="29"/>
        <v>363069578260.54443</v>
      </c>
      <c r="Q47" s="54">
        <f t="shared" si="29"/>
        <v>439537659874.07227</v>
      </c>
      <c r="R47" s="54">
        <f t="shared" si="29"/>
        <v>505467316536.44946</v>
      </c>
      <c r="S47" s="54">
        <f t="shared" si="29"/>
        <v>632333281993.57776</v>
      </c>
      <c r="T47" s="54">
        <f t="shared" si="29"/>
        <v>844221116548.12439</v>
      </c>
      <c r="U47" s="54">
        <f t="shared" si="29"/>
        <v>1201828972498.7693</v>
      </c>
      <c r="V47" s="54">
        <f t="shared" si="29"/>
        <v>1295865108043.647</v>
      </c>
      <c r="W47" s="54">
        <f t="shared" si="29"/>
        <v>1398561414890.4773</v>
      </c>
      <c r="X47" s="54">
        <f t="shared" si="29"/>
        <v>1501257721737.3079</v>
      </c>
      <c r="Y47" s="54">
        <f t="shared" si="29"/>
        <v>1603954028584.1382</v>
      </c>
      <c r="Z47" s="54">
        <f t="shared" si="29"/>
        <v>1706650335430.969</v>
      </c>
      <c r="AA47" s="54">
        <f t="shared" si="29"/>
        <v>1809346642277.7991</v>
      </c>
      <c r="AB47" s="54">
        <f t="shared" si="29"/>
        <v>1912042949124.6296</v>
      </c>
      <c r="AC47" s="54">
        <f t="shared" si="29"/>
        <v>2014739255971.46</v>
      </c>
      <c r="AD47" s="54">
        <f t="shared" si="29"/>
        <v>2117435562818.2905</v>
      </c>
      <c r="AE47" s="54">
        <f t="shared" si="29"/>
        <v>2220131869665.1211</v>
      </c>
      <c r="AF47" s="54">
        <f t="shared" si="29"/>
        <v>2322828244911.9058</v>
      </c>
      <c r="AG47" s="54">
        <f t="shared" si="29"/>
        <v>2661665417062.3276</v>
      </c>
      <c r="AH47" s="54">
        <f t="shared" si="29"/>
        <v>3000502589212.7495</v>
      </c>
      <c r="AI47" s="54">
        <f t="shared" si="29"/>
        <v>3339339761363.1714</v>
      </c>
      <c r="AJ47" s="54">
        <f t="shared" si="29"/>
        <v>3678176933513.5937</v>
      </c>
      <c r="AK47" s="54">
        <f t="shared" si="29"/>
        <v>4017014105664.0156</v>
      </c>
      <c r="AL47" s="54">
        <f t="shared" si="29"/>
        <v>4355851277814.4375</v>
      </c>
      <c r="AM47" s="54">
        <f t="shared" si="29"/>
        <v>4694688449964.8594</v>
      </c>
      <c r="AN47" s="54">
        <f t="shared" si="29"/>
        <v>5033525622115.2812</v>
      </c>
      <c r="AO47" s="54">
        <f t="shared" si="29"/>
        <v>5372362794265.7031</v>
      </c>
      <c r="AP47" s="54">
        <f t="shared" si="29"/>
        <v>5711199966416.125</v>
      </c>
      <c r="AQ47" s="54">
        <f t="shared" si="29"/>
        <v>6050037138566.5469</v>
      </c>
      <c r="AR47" s="54">
        <f t="shared" si="29"/>
        <v>6388874310716.9687</v>
      </c>
      <c r="AS47" s="54">
        <f t="shared" si="29"/>
        <v>6727711482867.3906</v>
      </c>
      <c r="AT47" s="54">
        <f t="shared" si="29"/>
        <v>7066548655017.8135</v>
      </c>
      <c r="AU47" s="54">
        <f t="shared" si="29"/>
        <v>7405385827168.2354</v>
      </c>
      <c r="AV47" s="54">
        <f t="shared" si="29"/>
        <v>7744222999318.6572</v>
      </c>
      <c r="AW47" s="54">
        <f t="shared" si="29"/>
        <v>8083060171469.0791</v>
      </c>
      <c r="AX47" s="54">
        <f t="shared" si="29"/>
        <v>8421897343619.501</v>
      </c>
      <c r="AY47" s="54">
        <f t="shared" si="29"/>
        <v>8760734515769.9229</v>
      </c>
      <c r="AZ47" s="54">
        <f t="shared" si="29"/>
        <v>9099571687920.3437</v>
      </c>
      <c r="BA47" s="54">
        <f t="shared" si="29"/>
        <v>9438408860070.7656</v>
      </c>
      <c r="BB47" s="54">
        <f t="shared" si="29"/>
        <v>9777246032221.1875</v>
      </c>
      <c r="BC47" s="54">
        <f t="shared" si="29"/>
        <v>10116083204371.607</v>
      </c>
      <c r="BD47" s="54">
        <f t="shared" si="29"/>
        <v>10454920376522.029</v>
      </c>
      <c r="BE47" s="54">
        <f t="shared" si="29"/>
        <v>10793757548672.449</v>
      </c>
      <c r="BF47" s="54">
        <f t="shared" si="29"/>
        <v>11132594720822.871</v>
      </c>
      <c r="BG47" s="54">
        <f t="shared" si="29"/>
        <v>11471431892973.291</v>
      </c>
      <c r="BH47" s="54">
        <f t="shared" si="29"/>
        <v>11810269065123.713</v>
      </c>
      <c r="BI47" s="54">
        <f t="shared" si="29"/>
        <v>12149106237274.133</v>
      </c>
      <c r="BJ47" s="54">
        <f t="shared" si="29"/>
        <v>12487943409424.555</v>
      </c>
      <c r="BK47" s="54">
        <f t="shared" si="29"/>
        <v>12826780581574.98</v>
      </c>
      <c r="BM47" s="61" t="s">
        <v>93</v>
      </c>
      <c r="BN47" s="61" t="s">
        <v>94</v>
      </c>
      <c r="BO47" s="61">
        <v>1991</v>
      </c>
      <c r="BP47" s="61">
        <v>2000</v>
      </c>
      <c r="BQ47" s="61">
        <v>2010</v>
      </c>
      <c r="BR47" s="61">
        <v>2020</v>
      </c>
      <c r="BS47" s="61">
        <v>2030</v>
      </c>
      <c r="BT47" s="61">
        <v>2040</v>
      </c>
      <c r="BU47" s="61">
        <v>2050</v>
      </c>
    </row>
    <row r="48" spans="1:74" x14ac:dyDescent="0.25">
      <c r="A48" s="54" t="s">
        <v>38</v>
      </c>
      <c r="B48" s="54" t="s">
        <v>106</v>
      </c>
      <c r="C48" s="54" t="s">
        <v>109</v>
      </c>
      <c r="D48" s="54">
        <f>D53*$D$62</f>
        <v>0</v>
      </c>
      <c r="E48" s="54">
        <f t="shared" ref="E48:BK48" si="30">E53*$D$62</f>
        <v>0</v>
      </c>
      <c r="F48" s="54">
        <f t="shared" si="30"/>
        <v>0</v>
      </c>
      <c r="G48" s="54">
        <f t="shared" si="30"/>
        <v>0</v>
      </c>
      <c r="H48" s="54">
        <f t="shared" si="30"/>
        <v>0</v>
      </c>
      <c r="I48" s="54">
        <f t="shared" si="30"/>
        <v>0</v>
      </c>
      <c r="J48" s="54">
        <f t="shared" si="30"/>
        <v>0</v>
      </c>
      <c r="K48" s="54">
        <f t="shared" si="30"/>
        <v>0</v>
      </c>
      <c r="L48" s="54">
        <f t="shared" si="30"/>
        <v>0</v>
      </c>
      <c r="M48" s="54">
        <f t="shared" si="30"/>
        <v>0</v>
      </c>
      <c r="N48" s="54">
        <f t="shared" si="30"/>
        <v>1209973112.2397101</v>
      </c>
      <c r="O48" s="54">
        <f t="shared" si="30"/>
        <v>1480539550.5759602</v>
      </c>
      <c r="P48" s="54">
        <f t="shared" si="30"/>
        <v>2006520706.7016301</v>
      </c>
      <c r="Q48" s="54">
        <f t="shared" si="30"/>
        <v>3939447342.1758003</v>
      </c>
      <c r="R48" s="54">
        <f t="shared" si="30"/>
        <v>12818355582.618181</v>
      </c>
      <c r="S48" s="54">
        <f t="shared" si="30"/>
        <v>35361951224.794533</v>
      </c>
      <c r="T48" s="54">
        <f t="shared" si="30"/>
        <v>69161110701.758881</v>
      </c>
      <c r="U48" s="54">
        <f t="shared" si="30"/>
        <v>86498642090.850327</v>
      </c>
      <c r="V48" s="54">
        <f t="shared" si="30"/>
        <v>91581621587.894943</v>
      </c>
      <c r="W48" s="54">
        <f t="shared" si="30"/>
        <v>96664601084.939575</v>
      </c>
      <c r="X48" s="54">
        <f t="shared" si="30"/>
        <v>101747580581.98418</v>
      </c>
      <c r="Y48" s="54">
        <f t="shared" si="30"/>
        <v>106830560079.02878</v>
      </c>
      <c r="Z48" s="54">
        <f t="shared" si="30"/>
        <v>111913539576.07339</v>
      </c>
      <c r="AA48" s="54">
        <f t="shared" si="30"/>
        <v>116996519073.11803</v>
      </c>
      <c r="AB48" s="54">
        <f t="shared" si="30"/>
        <v>122079498570.16263</v>
      </c>
      <c r="AC48" s="54">
        <f t="shared" si="30"/>
        <v>127162478067.20724</v>
      </c>
      <c r="AD48" s="54">
        <f t="shared" si="30"/>
        <v>132245457564.25186</v>
      </c>
      <c r="AE48" s="54">
        <f t="shared" si="30"/>
        <v>137328437061.29648</v>
      </c>
      <c r="AF48" s="54">
        <f t="shared" si="30"/>
        <v>142411304658.41595</v>
      </c>
      <c r="AG48" s="54">
        <f t="shared" si="30"/>
        <v>184353957584.67859</v>
      </c>
      <c r="AH48" s="54">
        <f t="shared" si="30"/>
        <v>226296610510.94125</v>
      </c>
      <c r="AI48" s="54">
        <f t="shared" si="30"/>
        <v>268239263437.20392</v>
      </c>
      <c r="AJ48" s="54">
        <f t="shared" si="30"/>
        <v>310181916363.46655</v>
      </c>
      <c r="AK48" s="54">
        <f t="shared" si="30"/>
        <v>352124569289.72925</v>
      </c>
      <c r="AL48" s="54">
        <f t="shared" si="30"/>
        <v>394067222215.99188</v>
      </c>
      <c r="AM48" s="54">
        <f t="shared" si="30"/>
        <v>436009875142.25452</v>
      </c>
      <c r="AN48" s="54">
        <f t="shared" si="30"/>
        <v>477952528068.51721</v>
      </c>
      <c r="AO48" s="54">
        <f t="shared" si="30"/>
        <v>519895180994.77985</v>
      </c>
      <c r="AP48" s="54">
        <f t="shared" si="30"/>
        <v>561837833921.04248</v>
      </c>
      <c r="AQ48" s="54">
        <f t="shared" si="30"/>
        <v>603780486847.30518</v>
      </c>
      <c r="AR48" s="54">
        <f t="shared" si="30"/>
        <v>645723139773.56787</v>
      </c>
      <c r="AS48" s="54">
        <f t="shared" si="30"/>
        <v>687665792699.83044</v>
      </c>
      <c r="AT48" s="54">
        <f t="shared" si="30"/>
        <v>729608445626.09302</v>
      </c>
      <c r="AU48" s="54">
        <f t="shared" si="30"/>
        <v>771551098552.35559</v>
      </c>
      <c r="AV48" s="54">
        <f t="shared" si="30"/>
        <v>813493751478.61816</v>
      </c>
      <c r="AW48" s="54">
        <f t="shared" si="30"/>
        <v>855436404404.88074</v>
      </c>
      <c r="AX48" s="54">
        <f t="shared" si="30"/>
        <v>897379057331.14331</v>
      </c>
      <c r="AY48" s="54">
        <f t="shared" si="30"/>
        <v>939321710257.40601</v>
      </c>
      <c r="AZ48" s="54">
        <f t="shared" si="30"/>
        <v>981264363183.66858</v>
      </c>
      <c r="BA48" s="54">
        <f t="shared" si="30"/>
        <v>1023207016109.9312</v>
      </c>
      <c r="BB48" s="54">
        <f t="shared" si="30"/>
        <v>1065149669036.1937</v>
      </c>
      <c r="BC48" s="54">
        <f t="shared" si="30"/>
        <v>1107092321962.4563</v>
      </c>
      <c r="BD48" s="54">
        <f t="shared" si="30"/>
        <v>1149034974888.719</v>
      </c>
      <c r="BE48" s="54">
        <f t="shared" si="30"/>
        <v>1190977627814.9814</v>
      </c>
      <c r="BF48" s="54">
        <f t="shared" si="30"/>
        <v>1232920280741.2441</v>
      </c>
      <c r="BG48" s="54">
        <f t="shared" si="30"/>
        <v>1274862933667.5068</v>
      </c>
      <c r="BH48" s="54">
        <f t="shared" si="30"/>
        <v>1316805586593.7695</v>
      </c>
      <c r="BI48" s="54">
        <f t="shared" si="30"/>
        <v>1358748239520.0322</v>
      </c>
      <c r="BJ48" s="54">
        <f t="shared" si="30"/>
        <v>1400690892446.2949</v>
      </c>
      <c r="BK48" s="54">
        <f t="shared" si="30"/>
        <v>1442633545372.5579</v>
      </c>
      <c r="BM48" s="103" t="s">
        <v>38</v>
      </c>
      <c r="BN48" s="59" t="s">
        <v>105</v>
      </c>
      <c r="BO48" s="70">
        <f>D47/1000000000000</f>
        <v>2.0945863829462043E-2</v>
      </c>
      <c r="BP48" s="70">
        <f>M47/1000000000000</f>
        <v>0.20945863829462041</v>
      </c>
      <c r="BQ48" s="71">
        <f>W47/1000000000000</f>
        <v>1.3985614148904773</v>
      </c>
      <c r="BR48" s="71">
        <f>AG47/1000000000000</f>
        <v>2.6616654170623275</v>
      </c>
      <c r="BS48" s="71">
        <f>AQ47/1000000000000</f>
        <v>6.0500371385665472</v>
      </c>
      <c r="BT48" s="62">
        <f>BA47/1000000000000</f>
        <v>9.4384088600707656</v>
      </c>
      <c r="BU48" s="62">
        <f>BK47/1000000000000</f>
        <v>12.826780581574981</v>
      </c>
    </row>
    <row r="49" spans="1:74" x14ac:dyDescent="0.25">
      <c r="A49" s="54" t="s">
        <v>71</v>
      </c>
      <c r="B49" s="54" t="s">
        <v>105</v>
      </c>
      <c r="C49" s="54" t="s">
        <v>109</v>
      </c>
      <c r="D49" s="54">
        <f>D54*$D$61</f>
        <v>38467632636.660408</v>
      </c>
      <c r="E49" s="54">
        <f t="shared" ref="E49:BK49" si="31">E54*$D$61</f>
        <v>76935265273.320816</v>
      </c>
      <c r="F49" s="54">
        <f t="shared" si="31"/>
        <v>115402897909.9812</v>
      </c>
      <c r="G49" s="54">
        <f t="shared" si="31"/>
        <v>153870530546.64163</v>
      </c>
      <c r="H49" s="54">
        <f t="shared" si="31"/>
        <v>192338163183.30203</v>
      </c>
      <c r="I49" s="54">
        <f t="shared" si="31"/>
        <v>230805795819.9624</v>
      </c>
      <c r="J49" s="54">
        <f t="shared" si="31"/>
        <v>269273428456.62283</v>
      </c>
      <c r="K49" s="54">
        <f t="shared" si="31"/>
        <v>307741061093.28326</v>
      </c>
      <c r="L49" s="54">
        <f t="shared" si="31"/>
        <v>346208693729.94366</v>
      </c>
      <c r="M49" s="54">
        <f t="shared" si="31"/>
        <v>384676326366.60406</v>
      </c>
      <c r="N49" s="54">
        <f t="shared" si="31"/>
        <v>413014964761.60956</v>
      </c>
      <c r="O49" s="54">
        <f t="shared" si="31"/>
        <v>473042309596.35553</v>
      </c>
      <c r="P49" s="54">
        <f t="shared" si="31"/>
        <v>560404066267.67346</v>
      </c>
      <c r="Q49" s="54">
        <f t="shared" si="31"/>
        <v>574487053735.35046</v>
      </c>
      <c r="R49" s="54">
        <f t="shared" si="31"/>
        <v>655601171659.73401</v>
      </c>
      <c r="S49" s="54">
        <f t="shared" si="31"/>
        <v>788161062010.43115</v>
      </c>
      <c r="T49" s="54">
        <f t="shared" si="31"/>
        <v>990135632416.01428</v>
      </c>
      <c r="U49" s="54">
        <f t="shared" si="31"/>
        <v>1207767007800.8113</v>
      </c>
      <c r="V49" s="54">
        <f t="shared" si="31"/>
        <v>1506726640075.9741</v>
      </c>
      <c r="W49" s="54">
        <f t="shared" si="31"/>
        <v>1667034381553.0754</v>
      </c>
      <c r="X49" s="54">
        <f t="shared" si="31"/>
        <v>1827342123030.177</v>
      </c>
      <c r="Y49" s="54">
        <f t="shared" si="31"/>
        <v>1987649864507.2786</v>
      </c>
      <c r="Z49" s="54">
        <f t="shared" si="31"/>
        <v>2147957605984.3799</v>
      </c>
      <c r="AA49" s="54">
        <f t="shared" si="31"/>
        <v>2308265347461.481</v>
      </c>
      <c r="AB49" s="54">
        <f t="shared" si="31"/>
        <v>2468573088938.583</v>
      </c>
      <c r="AC49" s="54">
        <f t="shared" si="31"/>
        <v>2628880830415.6846</v>
      </c>
      <c r="AD49" s="54">
        <f t="shared" si="31"/>
        <v>2789188571892.7856</v>
      </c>
      <c r="AE49" s="54">
        <f t="shared" si="31"/>
        <v>2949496313369.8872</v>
      </c>
      <c r="AF49" s="54">
        <f t="shared" si="31"/>
        <v>3109803918047.0796</v>
      </c>
      <c r="AG49" s="54">
        <f t="shared" si="31"/>
        <v>3320733124110.478</v>
      </c>
      <c r="AH49" s="54">
        <f t="shared" si="31"/>
        <v>3531662330173.8765</v>
      </c>
      <c r="AI49" s="54">
        <f t="shared" si="31"/>
        <v>3742591536237.2749</v>
      </c>
      <c r="AJ49" s="54">
        <f t="shared" si="31"/>
        <v>3953520742300.6733</v>
      </c>
      <c r="AK49" s="54">
        <f t="shared" si="31"/>
        <v>4164449948364.0718</v>
      </c>
      <c r="AL49" s="54">
        <f t="shared" si="31"/>
        <v>4375379154427.4702</v>
      </c>
      <c r="AM49" s="54">
        <f t="shared" si="31"/>
        <v>4586308360490.8682</v>
      </c>
      <c r="AN49" s="54">
        <f t="shared" si="31"/>
        <v>4797237566554.2666</v>
      </c>
      <c r="AO49" s="54">
        <f t="shared" si="31"/>
        <v>5008166772617.665</v>
      </c>
      <c r="AP49" s="54">
        <f t="shared" si="31"/>
        <v>5219095978681.0635</v>
      </c>
      <c r="AQ49" s="54">
        <f t="shared" si="31"/>
        <v>5430025184744.4619</v>
      </c>
      <c r="AR49" s="54">
        <f t="shared" si="31"/>
        <v>5640954390807.8604</v>
      </c>
      <c r="AS49" s="54">
        <f t="shared" si="31"/>
        <v>5851883596871.2588</v>
      </c>
      <c r="AT49" s="54">
        <f t="shared" si="31"/>
        <v>6062812802934.6572</v>
      </c>
      <c r="AU49" s="54">
        <f t="shared" si="31"/>
        <v>6273742008998.0557</v>
      </c>
      <c r="AV49" s="54">
        <f t="shared" si="31"/>
        <v>6484671215061.4541</v>
      </c>
      <c r="AW49" s="54">
        <f t="shared" si="31"/>
        <v>6695600421124.8525</v>
      </c>
      <c r="AX49" s="54">
        <f t="shared" si="31"/>
        <v>6906529627188.251</v>
      </c>
      <c r="AY49" s="54">
        <f t="shared" si="31"/>
        <v>7117458833251.6494</v>
      </c>
      <c r="AZ49" s="54">
        <f t="shared" si="31"/>
        <v>7328388039315.0479</v>
      </c>
      <c r="BA49" s="54">
        <f t="shared" si="31"/>
        <v>7539317245378.4463</v>
      </c>
      <c r="BB49" s="54">
        <f t="shared" si="31"/>
        <v>7750246451441.8447</v>
      </c>
      <c r="BC49" s="54">
        <f t="shared" si="31"/>
        <v>7961175657505.2432</v>
      </c>
      <c r="BD49" s="54">
        <f t="shared" si="31"/>
        <v>8172104863568.6416</v>
      </c>
      <c r="BE49" s="54">
        <f t="shared" si="31"/>
        <v>8383034069632.04</v>
      </c>
      <c r="BF49" s="54">
        <f t="shared" si="31"/>
        <v>8593963275695.4385</v>
      </c>
      <c r="BG49" s="54">
        <f t="shared" si="31"/>
        <v>8804892481758.8379</v>
      </c>
      <c r="BH49" s="54">
        <f t="shared" si="31"/>
        <v>9015821687822.2363</v>
      </c>
      <c r="BI49" s="54">
        <f t="shared" si="31"/>
        <v>9226750893885.6348</v>
      </c>
      <c r="BJ49" s="54">
        <f t="shared" si="31"/>
        <v>9437680099949.0332</v>
      </c>
      <c r="BK49" s="54">
        <f t="shared" si="31"/>
        <v>9648609306012.4395</v>
      </c>
      <c r="BM49" s="104"/>
      <c r="BN49" s="57" t="s">
        <v>106</v>
      </c>
      <c r="BO49" s="72">
        <f>D48/1000000000000</f>
        <v>0</v>
      </c>
      <c r="BP49" s="72">
        <f>M48/1000000000000</f>
        <v>0</v>
      </c>
      <c r="BQ49" s="73">
        <f>W48/1000000000000</f>
        <v>9.6664601084939572E-2</v>
      </c>
      <c r="BR49" s="73">
        <f>AG48/1000000000000</f>
        <v>0.1843539575846786</v>
      </c>
      <c r="BS49" s="73">
        <f>AQ48/1000000000000</f>
        <v>0.60378048684730523</v>
      </c>
      <c r="BT49" s="74">
        <f>BA48/1000000000000</f>
        <v>1.0232070161099311</v>
      </c>
      <c r="BU49" s="74">
        <f>BK48/1000000000000</f>
        <v>1.4426335453725578</v>
      </c>
    </row>
    <row r="50" spans="1:74" x14ac:dyDescent="0.25">
      <c r="A50" s="54" t="s">
        <v>71</v>
      </c>
      <c r="B50" s="54" t="s">
        <v>106</v>
      </c>
      <c r="C50" s="54" t="s">
        <v>109</v>
      </c>
      <c r="D50" s="54">
        <f>D55*$D$62</f>
        <v>3290087890.1688004</v>
      </c>
      <c r="E50" s="54">
        <f t="shared" ref="E50:BK50" si="32">E55*$D$62</f>
        <v>6580175780.3376007</v>
      </c>
      <c r="F50" s="54">
        <f t="shared" si="32"/>
        <v>9870263670.506403</v>
      </c>
      <c r="G50" s="54">
        <f t="shared" si="32"/>
        <v>13160351560.675201</v>
      </c>
      <c r="H50" s="54">
        <f t="shared" si="32"/>
        <v>16450439450.844002</v>
      </c>
      <c r="I50" s="54">
        <f t="shared" si="32"/>
        <v>19740527341.012802</v>
      </c>
      <c r="J50" s="54">
        <f t="shared" si="32"/>
        <v>23030615231.181599</v>
      </c>
      <c r="K50" s="54">
        <f t="shared" si="32"/>
        <v>26320703121.350399</v>
      </c>
      <c r="L50" s="54">
        <f t="shared" si="32"/>
        <v>29610791011.519199</v>
      </c>
      <c r="M50" s="54">
        <f t="shared" si="32"/>
        <v>32900878901.688004</v>
      </c>
      <c r="N50" s="54">
        <f t="shared" si="32"/>
        <v>41234325202.444504</v>
      </c>
      <c r="O50" s="54">
        <f t="shared" si="32"/>
        <v>53723671996.045807</v>
      </c>
      <c r="P50" s="54">
        <f t="shared" si="32"/>
        <v>71797510076.907303</v>
      </c>
      <c r="Q50" s="54">
        <f t="shared" si="32"/>
        <v>90910323280.980011</v>
      </c>
      <c r="R50" s="54">
        <f t="shared" si="32"/>
        <v>141395856143.01758</v>
      </c>
      <c r="S50" s="54">
        <f t="shared" si="32"/>
        <v>234394952327.95343</v>
      </c>
      <c r="T50" s="54">
        <f t="shared" si="32"/>
        <v>317922058639.61383</v>
      </c>
      <c r="U50" s="54">
        <f t="shared" si="32"/>
        <v>479341979089.91705</v>
      </c>
      <c r="V50" s="54">
        <f t="shared" si="32"/>
        <v>562425994966.79285</v>
      </c>
      <c r="W50" s="54">
        <f t="shared" si="32"/>
        <v>645510010843.6687</v>
      </c>
      <c r="X50" s="54">
        <f t="shared" si="32"/>
        <v>728594026720.54443</v>
      </c>
      <c r="Y50" s="54">
        <f t="shared" si="32"/>
        <v>811678042597.42029</v>
      </c>
      <c r="Z50" s="54">
        <f t="shared" si="32"/>
        <v>894762058474.29614</v>
      </c>
      <c r="AA50" s="54">
        <f t="shared" si="32"/>
        <v>977846074351.17212</v>
      </c>
      <c r="AB50" s="54">
        <f t="shared" si="32"/>
        <v>1060930090228.048</v>
      </c>
      <c r="AC50" s="54">
        <f t="shared" si="32"/>
        <v>1144014106104.9241</v>
      </c>
      <c r="AD50" s="54">
        <f t="shared" si="32"/>
        <v>1227098121981.7996</v>
      </c>
      <c r="AE50" s="54">
        <f t="shared" si="32"/>
        <v>1310182137858.6755</v>
      </c>
      <c r="AF50" s="54">
        <f t="shared" si="32"/>
        <v>1393265967235.6758</v>
      </c>
      <c r="AG50" s="54">
        <f t="shared" si="32"/>
        <v>2075915808900.6438</v>
      </c>
      <c r="AH50" s="54">
        <f t="shared" si="32"/>
        <v>2758565650565.6113</v>
      </c>
      <c r="AI50" s="54">
        <f t="shared" si="32"/>
        <v>3441215492230.5796</v>
      </c>
      <c r="AJ50" s="54">
        <f t="shared" si="32"/>
        <v>4123865333895.5469</v>
      </c>
      <c r="AK50" s="54">
        <f t="shared" si="32"/>
        <v>4806515175560.5146</v>
      </c>
      <c r="AL50" s="54">
        <f t="shared" si="32"/>
        <v>5489165017225.4824</v>
      </c>
      <c r="AM50" s="54">
        <f t="shared" si="32"/>
        <v>6171814858890.4502</v>
      </c>
      <c r="AN50" s="54">
        <f t="shared" si="32"/>
        <v>6854464700555.417</v>
      </c>
      <c r="AO50" s="54">
        <f t="shared" si="32"/>
        <v>7537114542220.3848</v>
      </c>
      <c r="AP50" s="54">
        <f t="shared" si="32"/>
        <v>8219764383885.3525</v>
      </c>
      <c r="AQ50" s="54">
        <f t="shared" si="32"/>
        <v>8902414225550.3203</v>
      </c>
      <c r="AR50" s="54">
        <f t="shared" si="32"/>
        <v>9585064067215.2871</v>
      </c>
      <c r="AS50" s="54">
        <f t="shared" si="32"/>
        <v>10267713908880.256</v>
      </c>
      <c r="AT50" s="54">
        <f t="shared" si="32"/>
        <v>10950363750545.223</v>
      </c>
      <c r="AU50" s="54">
        <f t="shared" si="32"/>
        <v>11633013592210.191</v>
      </c>
      <c r="AV50" s="54">
        <f t="shared" si="32"/>
        <v>12315663433875.158</v>
      </c>
      <c r="AW50" s="54">
        <f t="shared" si="32"/>
        <v>12998313275540.127</v>
      </c>
      <c r="AX50" s="54">
        <f t="shared" si="32"/>
        <v>13680963117205.094</v>
      </c>
      <c r="AY50" s="54">
        <f t="shared" si="32"/>
        <v>14363612958870.061</v>
      </c>
      <c r="AZ50" s="54">
        <f t="shared" si="32"/>
        <v>15046262800535.029</v>
      </c>
      <c r="BA50" s="54">
        <f t="shared" si="32"/>
        <v>15728912642199.996</v>
      </c>
      <c r="BB50" s="54">
        <f t="shared" si="32"/>
        <v>16411562483864.965</v>
      </c>
      <c r="BC50" s="54">
        <f t="shared" si="32"/>
        <v>17094212325529.932</v>
      </c>
      <c r="BD50" s="54">
        <f t="shared" si="32"/>
        <v>17776862167194.898</v>
      </c>
      <c r="BE50" s="54">
        <f t="shared" si="32"/>
        <v>18459512008859.867</v>
      </c>
      <c r="BF50" s="54">
        <f t="shared" si="32"/>
        <v>19142161850524.836</v>
      </c>
      <c r="BG50" s="54">
        <f t="shared" si="32"/>
        <v>19824811692189.805</v>
      </c>
      <c r="BH50" s="54">
        <f t="shared" si="32"/>
        <v>20507461533854.77</v>
      </c>
      <c r="BI50" s="54">
        <f t="shared" si="32"/>
        <v>21190111375519.738</v>
      </c>
      <c r="BJ50" s="54">
        <f t="shared" si="32"/>
        <v>21872761217184.707</v>
      </c>
      <c r="BK50" s="54">
        <f t="shared" si="32"/>
        <v>22555411058849.68</v>
      </c>
      <c r="BM50" s="104" t="s">
        <v>71</v>
      </c>
      <c r="BN50" s="57" t="s">
        <v>105</v>
      </c>
      <c r="BO50" s="73">
        <f>D49/1000000000000</f>
        <v>3.8467632636660407E-2</v>
      </c>
      <c r="BP50" s="73">
        <f>M49/1000000000000</f>
        <v>0.38467632636660404</v>
      </c>
      <c r="BQ50" s="74">
        <f>W49/1000000000000</f>
        <v>1.6670343815530755</v>
      </c>
      <c r="BR50" s="74">
        <f>AG49/1000000000000</f>
        <v>3.3207331241104781</v>
      </c>
      <c r="BS50" s="74">
        <f>AQ49/1000000000000</f>
        <v>5.4300251847444621</v>
      </c>
      <c r="BT50" s="74">
        <f>BA49/1000000000000</f>
        <v>7.5393172453784461</v>
      </c>
      <c r="BU50" s="74">
        <f>BK49/1000000000000</f>
        <v>9.6486093060124389</v>
      </c>
    </row>
    <row r="51" spans="1:74" x14ac:dyDescent="0.25">
      <c r="BM51" s="105"/>
      <c r="BN51" s="58" t="s">
        <v>106</v>
      </c>
      <c r="BO51" s="75">
        <f>D50/1000000000000</f>
        <v>3.2900878901688003E-3</v>
      </c>
      <c r="BP51" s="75">
        <f>M50/1000000000000</f>
        <v>3.2900878901688003E-2</v>
      </c>
      <c r="BQ51" s="75">
        <f>W50/1000000000000</f>
        <v>0.64551001084366866</v>
      </c>
      <c r="BR51" s="76">
        <f>AG50/1000000000000</f>
        <v>2.075915808900644</v>
      </c>
      <c r="BS51" s="63">
        <f>AQ50/1000000000000</f>
        <v>8.90241422555032</v>
      </c>
      <c r="BT51" s="63">
        <f>BA50/1000000000000</f>
        <v>15.728912642199996</v>
      </c>
      <c r="BU51" s="63">
        <f>BK50/1000000000000</f>
        <v>22.555411058849678</v>
      </c>
      <c r="BV51" s="51">
        <f>SUM(BU48:BU51)</f>
        <v>46.473434491809655</v>
      </c>
    </row>
    <row r="52" spans="1:74" x14ac:dyDescent="0.25">
      <c r="A52" s="54" t="s">
        <v>38</v>
      </c>
      <c r="B52" s="54" t="s">
        <v>105</v>
      </c>
      <c r="C52" s="54" t="s">
        <v>114</v>
      </c>
      <c r="D52" s="54">
        <v>161792820</v>
      </c>
      <c r="E52" s="54">
        <v>323585640</v>
      </c>
      <c r="F52" s="54">
        <v>485378460</v>
      </c>
      <c r="G52" s="54">
        <v>647171280</v>
      </c>
      <c r="H52" s="54">
        <v>808964100</v>
      </c>
      <c r="I52" s="54">
        <v>970756920.00000012</v>
      </c>
      <c r="J52" s="54">
        <v>1132549740</v>
      </c>
      <c r="K52" s="54">
        <v>1294342560</v>
      </c>
      <c r="L52" s="54">
        <v>1456135380</v>
      </c>
      <c r="M52" s="54">
        <v>1617928200</v>
      </c>
      <c r="N52" s="54">
        <v>1765249500</v>
      </c>
      <c r="O52" s="54">
        <v>2140221300</v>
      </c>
      <c r="P52" s="54">
        <v>2804470200</v>
      </c>
      <c r="Q52" s="54">
        <v>3395135100</v>
      </c>
      <c r="R52" s="54">
        <v>3904397700</v>
      </c>
      <c r="S52" s="54">
        <v>4884352620</v>
      </c>
      <c r="T52" s="54">
        <v>6521044740</v>
      </c>
      <c r="U52" s="54">
        <v>9283326780</v>
      </c>
      <c r="V52" s="54">
        <v>10009693172.696001</v>
      </c>
      <c r="W52" s="54">
        <v>10802953609.392</v>
      </c>
      <c r="X52" s="54">
        <v>11596214046.088001</v>
      </c>
      <c r="Y52" s="54">
        <v>12389474482.784</v>
      </c>
      <c r="Z52" s="54">
        <v>13182734919.480001</v>
      </c>
      <c r="AA52" s="54">
        <v>13975995356.175999</v>
      </c>
      <c r="AB52" s="54">
        <v>14769255792.872</v>
      </c>
      <c r="AC52" s="54">
        <v>15562516229.567999</v>
      </c>
      <c r="AD52" s="54">
        <v>16355776666.264</v>
      </c>
      <c r="AE52" s="54">
        <v>17149037102.959999</v>
      </c>
      <c r="AF52" s="54">
        <v>17942298068</v>
      </c>
      <c r="AG52" s="54">
        <v>20559589102.13398</v>
      </c>
      <c r="AH52" s="54">
        <v>23176880136.26796</v>
      </c>
      <c r="AI52" s="54">
        <v>25794171170.401939</v>
      </c>
      <c r="AJ52" s="54">
        <v>28411462204.535919</v>
      </c>
      <c r="AK52" s="54">
        <v>31028753238.669899</v>
      </c>
      <c r="AL52" s="54">
        <v>33646044272.803879</v>
      </c>
      <c r="AM52" s="54">
        <v>36263335306.937859</v>
      </c>
      <c r="AN52" s="54">
        <v>38880626341.071838</v>
      </c>
      <c r="AO52" s="54">
        <v>41497917375.205818</v>
      </c>
      <c r="AP52" s="54">
        <v>44115208409.339798</v>
      </c>
      <c r="AQ52" s="54">
        <v>46732499443.473778</v>
      </c>
      <c r="AR52" s="54">
        <v>49349790477.607758</v>
      </c>
      <c r="AS52" s="54">
        <v>51967081511.741737</v>
      </c>
      <c r="AT52" s="54">
        <v>54584372545.875717</v>
      </c>
      <c r="AU52" s="54">
        <v>57201663580.009697</v>
      </c>
      <c r="AV52" s="54">
        <v>59818954614.143677</v>
      </c>
      <c r="AW52" s="54">
        <v>62436245648.277657</v>
      </c>
      <c r="AX52" s="54">
        <v>65053536682.411636</v>
      </c>
      <c r="AY52" s="54">
        <v>67670827716.545616</v>
      </c>
      <c r="AZ52" s="54">
        <v>70288118750.679596</v>
      </c>
      <c r="BA52" s="54">
        <v>72905409784.813568</v>
      </c>
      <c r="BB52" s="54">
        <v>75522700818.94754</v>
      </c>
      <c r="BC52" s="54">
        <v>78139991853.081512</v>
      </c>
      <c r="BD52" s="54">
        <v>80757282887.215485</v>
      </c>
      <c r="BE52" s="54">
        <v>83374573921.349457</v>
      </c>
      <c r="BF52" s="54">
        <v>85991864955.483429</v>
      </c>
      <c r="BG52" s="54">
        <v>88609155989.617401</v>
      </c>
      <c r="BH52" s="54">
        <v>91226447023.751373</v>
      </c>
      <c r="BI52" s="54">
        <v>93843738057.885345</v>
      </c>
      <c r="BJ52" s="54">
        <v>96461029092.019318</v>
      </c>
      <c r="BK52" s="54">
        <v>99078320126.153336</v>
      </c>
      <c r="BM52" s="69" t="s">
        <v>120</v>
      </c>
    </row>
    <row r="53" spans="1:74" x14ac:dyDescent="0.25">
      <c r="A53" s="54" t="s">
        <v>38</v>
      </c>
      <c r="B53" s="54" t="s">
        <v>106</v>
      </c>
      <c r="C53" s="54" t="s">
        <v>114</v>
      </c>
      <c r="D53" s="54">
        <v>0</v>
      </c>
      <c r="E53" s="54">
        <v>0</v>
      </c>
      <c r="F53" s="54">
        <v>0</v>
      </c>
      <c r="G53" s="54">
        <v>0</v>
      </c>
      <c r="H53" s="54">
        <v>0</v>
      </c>
      <c r="I53" s="54">
        <v>0</v>
      </c>
      <c r="J53" s="54">
        <v>0</v>
      </c>
      <c r="K53" s="54">
        <v>0</v>
      </c>
      <c r="L53" s="54">
        <v>0</v>
      </c>
      <c r="M53" s="54">
        <v>0</v>
      </c>
      <c r="N53" s="54">
        <v>8569470</v>
      </c>
      <c r="O53" s="54">
        <v>10485720</v>
      </c>
      <c r="P53" s="54">
        <v>14210910</v>
      </c>
      <c r="Q53" s="54">
        <v>27900600</v>
      </c>
      <c r="R53" s="54">
        <v>90784260</v>
      </c>
      <c r="S53" s="54">
        <v>250446210</v>
      </c>
      <c r="T53" s="54">
        <v>489824160</v>
      </c>
      <c r="U53" s="54">
        <v>612614868</v>
      </c>
      <c r="V53" s="54">
        <v>648614378.95600009</v>
      </c>
      <c r="W53" s="54">
        <v>684613889.91200018</v>
      </c>
      <c r="X53" s="54">
        <v>720613400.86800015</v>
      </c>
      <c r="Y53" s="54">
        <v>756612911.82400012</v>
      </c>
      <c r="Z53" s="54">
        <v>792612422.78000021</v>
      </c>
      <c r="AA53" s="54">
        <v>828611933.7360003</v>
      </c>
      <c r="AB53" s="54">
        <v>864611444.69200027</v>
      </c>
      <c r="AC53" s="54">
        <v>900610955.64800036</v>
      </c>
      <c r="AD53" s="54">
        <v>936610466.60400045</v>
      </c>
      <c r="AE53" s="54">
        <v>972609977.56000042</v>
      </c>
      <c r="AF53" s="54">
        <v>1008608696.0000001</v>
      </c>
      <c r="AG53" s="54">
        <v>1305661830.7648768</v>
      </c>
      <c r="AH53" s="54">
        <v>1602714965.5297537</v>
      </c>
      <c r="AI53" s="54">
        <v>1899768100.2946305</v>
      </c>
      <c r="AJ53" s="54">
        <v>2196821235.0595074</v>
      </c>
      <c r="AK53" s="54">
        <v>2493874369.8243842</v>
      </c>
      <c r="AL53" s="54">
        <v>2790927504.5892611</v>
      </c>
      <c r="AM53" s="54">
        <v>3087980639.3541379</v>
      </c>
      <c r="AN53" s="54">
        <v>3385033774.1190147</v>
      </c>
      <c r="AO53" s="54">
        <v>3682086908.8838916</v>
      </c>
      <c r="AP53" s="54">
        <v>3979140043.6487684</v>
      </c>
      <c r="AQ53" s="54">
        <v>4276193178.4136453</v>
      </c>
      <c r="AR53" s="54">
        <v>4573246313.1785221</v>
      </c>
      <c r="AS53" s="54">
        <v>4870299447.9433985</v>
      </c>
      <c r="AT53" s="54">
        <v>5167352582.7082748</v>
      </c>
      <c r="AU53" s="54">
        <v>5464405717.4731512</v>
      </c>
      <c r="AV53" s="54">
        <v>5761458852.2380276</v>
      </c>
      <c r="AW53" s="54">
        <v>6058511987.0029039</v>
      </c>
      <c r="AX53" s="54">
        <v>6355565121.7677803</v>
      </c>
      <c r="AY53" s="54">
        <v>6652618256.5326567</v>
      </c>
      <c r="AZ53" s="54">
        <v>6949671391.297533</v>
      </c>
      <c r="BA53" s="54">
        <v>7246724526.0624094</v>
      </c>
      <c r="BB53" s="54">
        <v>7543777660.8272858</v>
      </c>
      <c r="BC53" s="54">
        <v>7840830795.5921621</v>
      </c>
      <c r="BD53" s="54">
        <v>8137883930.3570385</v>
      </c>
      <c r="BE53" s="54">
        <v>8434937065.1219149</v>
      </c>
      <c r="BF53" s="54">
        <v>8731990199.8867912</v>
      </c>
      <c r="BG53" s="54">
        <v>9029043334.6516685</v>
      </c>
      <c r="BH53" s="54">
        <v>9326096469.4165459</v>
      </c>
      <c r="BI53" s="54">
        <v>9623149604.1814232</v>
      </c>
      <c r="BJ53" s="54">
        <v>9920202738.9463005</v>
      </c>
      <c r="BK53" s="54">
        <v>10217255873.71118</v>
      </c>
    </row>
    <row r="54" spans="1:74" x14ac:dyDescent="0.25">
      <c r="A54" s="54" t="s">
        <v>71</v>
      </c>
      <c r="B54" s="54" t="s">
        <v>105</v>
      </c>
      <c r="C54" s="54" t="s">
        <v>114</v>
      </c>
      <c r="D54" s="54">
        <v>297136791</v>
      </c>
      <c r="E54" s="54">
        <v>594273582</v>
      </c>
      <c r="F54" s="54">
        <v>891410372.99999988</v>
      </c>
      <c r="G54" s="54">
        <v>1188547164</v>
      </c>
      <c r="H54" s="54">
        <v>1485683955</v>
      </c>
      <c r="I54" s="54">
        <v>1782820745.9999998</v>
      </c>
      <c r="J54" s="54">
        <v>2079957537</v>
      </c>
      <c r="K54" s="54">
        <v>2377094328</v>
      </c>
      <c r="L54" s="54">
        <v>2674231119</v>
      </c>
      <c r="M54" s="54">
        <v>2971367910</v>
      </c>
      <c r="N54" s="54">
        <v>3190264979.9999995</v>
      </c>
      <c r="O54" s="54">
        <v>3653936159.9999995</v>
      </c>
      <c r="P54" s="54">
        <v>4328747430</v>
      </c>
      <c r="Q54" s="54">
        <v>4437529110</v>
      </c>
      <c r="R54" s="54">
        <v>5064081540</v>
      </c>
      <c r="S54" s="54">
        <v>6088018230</v>
      </c>
      <c r="T54" s="54">
        <v>7648137000.000001</v>
      </c>
      <c r="U54" s="54">
        <v>9329194140</v>
      </c>
      <c r="V54" s="54">
        <v>11638457790.608002</v>
      </c>
      <c r="W54" s="54">
        <v>12876728113.216002</v>
      </c>
      <c r="X54" s="54">
        <v>14114998435.824003</v>
      </c>
      <c r="Y54" s="54">
        <v>15353268758.432003</v>
      </c>
      <c r="Z54" s="54">
        <v>16591539081.040003</v>
      </c>
      <c r="AA54" s="54">
        <v>17829809403.648003</v>
      </c>
      <c r="AB54" s="54">
        <v>19068079726.256004</v>
      </c>
      <c r="AC54" s="54">
        <v>20306350048.864006</v>
      </c>
      <c r="AD54" s="54">
        <v>21544620371.472004</v>
      </c>
      <c r="AE54" s="54">
        <v>22782890694.080006</v>
      </c>
      <c r="AF54" s="54">
        <v>24021159960</v>
      </c>
      <c r="AG54" s="54">
        <v>25650447314.640213</v>
      </c>
      <c r="AH54" s="54">
        <v>27279734669.280426</v>
      </c>
      <c r="AI54" s="54">
        <v>28909022023.920639</v>
      </c>
      <c r="AJ54" s="54">
        <v>30538309378.560852</v>
      </c>
      <c r="AK54" s="54">
        <v>32167596733.201065</v>
      </c>
      <c r="AL54" s="54">
        <v>33796884087.841278</v>
      </c>
      <c r="AM54" s="54">
        <v>35426171442.481491</v>
      </c>
      <c r="AN54" s="54">
        <v>37055458797.121704</v>
      </c>
      <c r="AO54" s="54">
        <v>38684746151.761917</v>
      </c>
      <c r="AP54" s="54">
        <v>40314033506.40213</v>
      </c>
      <c r="AQ54" s="54">
        <v>41943320861.042343</v>
      </c>
      <c r="AR54" s="54">
        <v>43572608215.682556</v>
      </c>
      <c r="AS54" s="54">
        <v>45201895570.322769</v>
      </c>
      <c r="AT54" s="54">
        <v>46831182924.962982</v>
      </c>
      <c r="AU54" s="54">
        <v>48460470279.603195</v>
      </c>
      <c r="AV54" s="54">
        <v>50089757634.243408</v>
      </c>
      <c r="AW54" s="54">
        <v>51719044988.883621</v>
      </c>
      <c r="AX54" s="54">
        <v>53348332343.523834</v>
      </c>
      <c r="AY54" s="54">
        <v>54977619698.164047</v>
      </c>
      <c r="AZ54" s="54">
        <v>56606907052.80426</v>
      </c>
      <c r="BA54" s="54">
        <v>58236194407.444473</v>
      </c>
      <c r="BB54" s="54">
        <v>59865481762.084686</v>
      </c>
      <c r="BC54" s="54">
        <v>61494769116.724899</v>
      </c>
      <c r="BD54" s="54">
        <v>63124056471.365112</v>
      </c>
      <c r="BE54" s="54">
        <v>64753343826.005325</v>
      </c>
      <c r="BF54" s="54">
        <v>66382631180.645538</v>
      </c>
      <c r="BG54" s="54">
        <v>68011918535.285751</v>
      </c>
      <c r="BH54" s="54">
        <v>69641205889.925964</v>
      </c>
      <c r="BI54" s="54">
        <v>71270493244.566177</v>
      </c>
      <c r="BJ54" s="54">
        <v>72899780599.20639</v>
      </c>
      <c r="BK54" s="54">
        <v>74529067953.846664</v>
      </c>
    </row>
    <row r="55" spans="1:74" x14ac:dyDescent="0.25">
      <c r="A55" s="54" t="s">
        <v>71</v>
      </c>
      <c r="B55" s="54" t="s">
        <v>106</v>
      </c>
      <c r="C55" s="54" t="s">
        <v>114</v>
      </c>
      <c r="D55" s="54">
        <v>23301600</v>
      </c>
      <c r="E55" s="54">
        <v>46603200</v>
      </c>
      <c r="F55" s="54">
        <v>69904800.000000015</v>
      </c>
      <c r="G55" s="54">
        <v>93206400</v>
      </c>
      <c r="H55" s="54">
        <v>116508000</v>
      </c>
      <c r="I55" s="54">
        <v>139809600</v>
      </c>
      <c r="J55" s="54">
        <v>163111199.99999997</v>
      </c>
      <c r="K55" s="54">
        <v>186412799.99999997</v>
      </c>
      <c r="L55" s="54">
        <v>209714399.99999997</v>
      </c>
      <c r="M55" s="54">
        <v>233016000</v>
      </c>
      <c r="N55" s="54">
        <v>292036500</v>
      </c>
      <c r="O55" s="54">
        <v>380490600</v>
      </c>
      <c r="P55" s="54">
        <v>508496100</v>
      </c>
      <c r="Q55" s="54">
        <v>643860000</v>
      </c>
      <c r="R55" s="54">
        <v>1001416920</v>
      </c>
      <c r="S55" s="54">
        <v>1660070370</v>
      </c>
      <c r="T55" s="54">
        <v>2251639740</v>
      </c>
      <c r="U55" s="54">
        <v>3394874372</v>
      </c>
      <c r="V55" s="54">
        <v>3983305614.2600002</v>
      </c>
      <c r="W55" s="54">
        <v>4571736856.5200005</v>
      </c>
      <c r="X55" s="54">
        <v>5160168098.7799997</v>
      </c>
      <c r="Y55" s="54">
        <v>5748599341.04</v>
      </c>
      <c r="Z55" s="54">
        <v>6337030583.3000002</v>
      </c>
      <c r="AA55" s="54">
        <v>6925461825.5600014</v>
      </c>
      <c r="AB55" s="54">
        <v>7513893067.8200016</v>
      </c>
      <c r="AC55" s="54">
        <v>8102324310.0800028</v>
      </c>
      <c r="AD55" s="54">
        <v>8690755552.3400021</v>
      </c>
      <c r="AE55" s="54">
        <v>9279186794.6000023</v>
      </c>
      <c r="AF55" s="54">
        <v>9867616716</v>
      </c>
      <c r="AG55" s="54">
        <v>14702391372.954317</v>
      </c>
      <c r="AH55" s="54">
        <v>19537166029.908634</v>
      </c>
      <c r="AI55" s="54">
        <v>24371940686.862953</v>
      </c>
      <c r="AJ55" s="54">
        <v>29206715343.817268</v>
      </c>
      <c r="AK55" s="54">
        <v>34041490000.771584</v>
      </c>
      <c r="AL55" s="54">
        <v>38876264657.725899</v>
      </c>
      <c r="AM55" s="54">
        <v>43711039314.680214</v>
      </c>
      <c r="AN55" s="54">
        <v>48545813971.634529</v>
      </c>
      <c r="AO55" s="54">
        <v>53380588628.588844</v>
      </c>
      <c r="AP55" s="54">
        <v>58215363285.543159</v>
      </c>
      <c r="AQ55" s="54">
        <v>63050137942.497475</v>
      </c>
      <c r="AR55" s="54">
        <v>67884912599.45179</v>
      </c>
      <c r="AS55" s="54">
        <v>72719687256.406113</v>
      </c>
      <c r="AT55" s="54">
        <v>77554461913.360428</v>
      </c>
      <c r="AU55" s="54">
        <v>82389236570.314743</v>
      </c>
      <c r="AV55" s="54">
        <v>87224011227.269058</v>
      </c>
      <c r="AW55" s="54">
        <v>92058785884.223373</v>
      </c>
      <c r="AX55" s="54">
        <v>96893560541.177689</v>
      </c>
      <c r="AY55" s="54">
        <v>101728335198.132</v>
      </c>
      <c r="AZ55" s="54">
        <v>106563109855.08632</v>
      </c>
      <c r="BA55" s="54">
        <v>111397884512.04063</v>
      </c>
      <c r="BB55" s="54">
        <v>116232659168.99495</v>
      </c>
      <c r="BC55" s="54">
        <v>121067433825.94926</v>
      </c>
      <c r="BD55" s="54">
        <v>125902208482.90358</v>
      </c>
      <c r="BE55" s="54">
        <v>130736983139.85789</v>
      </c>
      <c r="BF55" s="54">
        <v>135571757796.81221</v>
      </c>
      <c r="BG55" s="54">
        <v>140406532453.76654</v>
      </c>
      <c r="BH55" s="54">
        <v>145241307110.72086</v>
      </c>
      <c r="BI55" s="54">
        <v>150076081767.67517</v>
      </c>
      <c r="BJ55" s="54">
        <v>154910856424.62949</v>
      </c>
      <c r="BK55" s="54">
        <v>159745631081.58383</v>
      </c>
    </row>
    <row r="58" spans="1:74" x14ac:dyDescent="0.25">
      <c r="D58" s="54">
        <v>34.200000000000003</v>
      </c>
      <c r="E58" s="54" t="s">
        <v>115</v>
      </c>
      <c r="F58" s="54" t="s">
        <v>116</v>
      </c>
    </row>
    <row r="59" spans="1:74" x14ac:dyDescent="0.25">
      <c r="D59" s="54">
        <v>37.299999999999997</v>
      </c>
      <c r="E59" s="54" t="s">
        <v>115</v>
      </c>
      <c r="F59" s="54" t="s">
        <v>117</v>
      </c>
    </row>
    <row r="60" spans="1:74" x14ac:dyDescent="0.25">
      <c r="D60" s="54">
        <v>3.7854100000000002</v>
      </c>
      <c r="E60" s="54" t="s">
        <v>118</v>
      </c>
    </row>
    <row r="61" spans="1:74" x14ac:dyDescent="0.25">
      <c r="D61" s="54">
        <f>D58*D60</f>
        <v>129.46102200000001</v>
      </c>
      <c r="E61" s="54" t="s">
        <v>119</v>
      </c>
      <c r="F61" s="54" t="s">
        <v>116</v>
      </c>
    </row>
    <row r="62" spans="1:74" x14ac:dyDescent="0.25">
      <c r="D62" s="54">
        <f>D59*D60</f>
        <v>141.19579300000001</v>
      </c>
      <c r="E62" s="54" t="s">
        <v>119</v>
      </c>
      <c r="F62" s="54" t="s">
        <v>117</v>
      </c>
    </row>
    <row r="63" spans="1:74" x14ac:dyDescent="0.25">
      <c r="D63" s="54">
        <v>24</v>
      </c>
      <c r="E63" s="54" t="s">
        <v>115</v>
      </c>
      <c r="F63" s="54" t="s">
        <v>105</v>
      </c>
    </row>
    <row r="64" spans="1:74" x14ac:dyDescent="0.25">
      <c r="D64" s="54">
        <v>33</v>
      </c>
      <c r="E64" s="54" t="s">
        <v>115</v>
      </c>
      <c r="F64" s="54" t="s">
        <v>132</v>
      </c>
    </row>
    <row r="65" spans="4:6" x14ac:dyDescent="0.25">
      <c r="D65" s="54">
        <f>D60*D63</f>
        <v>90.84984</v>
      </c>
      <c r="E65" s="54" t="s">
        <v>119</v>
      </c>
      <c r="F65" s="54" t="s">
        <v>105</v>
      </c>
    </row>
    <row r="66" spans="4:6" x14ac:dyDescent="0.25">
      <c r="D66" s="54">
        <f>D60*D64</f>
        <v>124.91853</v>
      </c>
      <c r="E66" s="54" t="s">
        <v>119</v>
      </c>
      <c r="F66" s="54" t="s">
        <v>132</v>
      </c>
    </row>
  </sheetData>
  <mergeCells count="8">
    <mergeCell ref="BM44:BM45"/>
    <mergeCell ref="BM48:BM49"/>
    <mergeCell ref="BM50:BM51"/>
    <mergeCell ref="BM2:BM12"/>
    <mergeCell ref="BM13:BM23"/>
    <mergeCell ref="BM26:BM32"/>
    <mergeCell ref="BM33:BM39"/>
    <mergeCell ref="BM42:BM4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32"/>
  <sheetViews>
    <sheetView topLeftCell="BG1" workbookViewId="0">
      <selection activeCell="BN40" sqref="BN40"/>
    </sheetView>
  </sheetViews>
  <sheetFormatPr defaultRowHeight="15" x14ac:dyDescent="0.25"/>
  <cols>
    <col min="1" max="1" width="43" bestFit="1" customWidth="1"/>
    <col min="2" max="2" width="9.85546875" style="54" bestFit="1" customWidth="1"/>
    <col min="3" max="3" width="5.5703125" style="54" bestFit="1" customWidth="1"/>
    <col min="67" max="67" width="19.7109375" style="54" bestFit="1" customWidth="1"/>
  </cols>
  <sheetData>
    <row r="1" spans="1:71" s="54" customFormat="1" x14ac:dyDescent="0.25">
      <c r="A1" s="54" t="s">
        <v>34</v>
      </c>
      <c r="B1" s="54" t="s">
        <v>122</v>
      </c>
      <c r="C1" s="54" t="s">
        <v>73</v>
      </c>
      <c r="D1" s="54">
        <v>1991</v>
      </c>
      <c r="E1" s="54">
        <v>1992</v>
      </c>
      <c r="F1" s="54">
        <v>1993</v>
      </c>
      <c r="G1" s="54">
        <v>1994</v>
      </c>
      <c r="H1" s="54">
        <v>1995</v>
      </c>
      <c r="I1" s="54">
        <v>1996</v>
      </c>
      <c r="J1" s="54">
        <v>1997</v>
      </c>
      <c r="K1" s="54">
        <v>1998</v>
      </c>
      <c r="L1" s="54">
        <v>1999</v>
      </c>
      <c r="M1" s="54">
        <v>2000</v>
      </c>
      <c r="N1" s="54">
        <v>2001</v>
      </c>
      <c r="O1" s="54">
        <v>2002</v>
      </c>
      <c r="P1" s="54">
        <v>2003</v>
      </c>
      <c r="Q1" s="54">
        <v>2004</v>
      </c>
      <c r="R1" s="54">
        <v>2005</v>
      </c>
      <c r="S1" s="54">
        <v>2006</v>
      </c>
      <c r="T1" s="54">
        <v>2007</v>
      </c>
      <c r="U1" s="54">
        <v>2008</v>
      </c>
      <c r="V1" s="54">
        <v>2009</v>
      </c>
      <c r="W1" s="54">
        <v>2010</v>
      </c>
      <c r="X1" s="54">
        <v>2011</v>
      </c>
      <c r="Y1" s="54">
        <v>2012</v>
      </c>
      <c r="Z1" s="54">
        <v>2013</v>
      </c>
      <c r="AA1" s="54">
        <v>2014</v>
      </c>
      <c r="AB1" s="54">
        <v>2015</v>
      </c>
      <c r="AC1" s="54">
        <v>2016</v>
      </c>
      <c r="AD1" s="54">
        <v>2017</v>
      </c>
      <c r="AE1" s="54">
        <v>2018</v>
      </c>
      <c r="AF1" s="54">
        <v>2019</v>
      </c>
      <c r="AG1" s="54">
        <v>2020</v>
      </c>
      <c r="AH1" s="54">
        <v>2021</v>
      </c>
      <c r="AI1" s="54">
        <v>2022</v>
      </c>
      <c r="AJ1" s="54">
        <v>2023</v>
      </c>
      <c r="AK1" s="54">
        <v>2024</v>
      </c>
      <c r="AL1" s="54">
        <v>2025</v>
      </c>
      <c r="AM1" s="54">
        <v>2026</v>
      </c>
      <c r="AN1" s="54">
        <v>2027</v>
      </c>
      <c r="AO1" s="54">
        <v>2028</v>
      </c>
      <c r="AP1" s="54">
        <v>2029</v>
      </c>
      <c r="AQ1" s="54">
        <v>2030</v>
      </c>
      <c r="AR1" s="54">
        <v>2031</v>
      </c>
      <c r="AS1" s="54">
        <v>2032</v>
      </c>
      <c r="AT1" s="54">
        <v>2033</v>
      </c>
      <c r="AU1" s="54">
        <v>2034</v>
      </c>
      <c r="AV1" s="54">
        <v>2035</v>
      </c>
      <c r="AW1" s="54">
        <v>2036</v>
      </c>
      <c r="AX1" s="54">
        <v>2037</v>
      </c>
      <c r="AY1" s="54">
        <v>2038</v>
      </c>
      <c r="AZ1" s="54">
        <v>2039</v>
      </c>
      <c r="BA1" s="54">
        <v>2040</v>
      </c>
      <c r="BB1" s="54">
        <v>2041</v>
      </c>
      <c r="BC1" s="54">
        <v>2042</v>
      </c>
      <c r="BD1" s="54">
        <v>2043</v>
      </c>
      <c r="BE1" s="54">
        <v>2044</v>
      </c>
      <c r="BF1" s="54">
        <v>2045</v>
      </c>
      <c r="BG1" s="54">
        <v>2046</v>
      </c>
      <c r="BH1" s="54">
        <v>2047</v>
      </c>
      <c r="BI1" s="54">
        <v>2048</v>
      </c>
      <c r="BJ1" s="54">
        <v>2049</v>
      </c>
      <c r="BK1" s="54">
        <v>2050</v>
      </c>
      <c r="BN1" s="87" t="s">
        <v>34</v>
      </c>
      <c r="BO1" s="87" t="s">
        <v>126</v>
      </c>
      <c r="BP1" s="87">
        <v>2020</v>
      </c>
      <c r="BQ1" s="87">
        <v>2030</v>
      </c>
      <c r="BR1" s="87">
        <v>2040</v>
      </c>
      <c r="BS1" s="87">
        <v>2050</v>
      </c>
    </row>
    <row r="2" spans="1:71" x14ac:dyDescent="0.25">
      <c r="A2" s="54" t="s">
        <v>38</v>
      </c>
      <c r="B2" s="54" t="s">
        <v>125</v>
      </c>
      <c r="C2" s="54" t="s">
        <v>121</v>
      </c>
      <c r="D2" s="48">
        <v>264298.13384870189</v>
      </c>
      <c r="E2" s="48">
        <v>520633.93324715138</v>
      </c>
      <c r="F2" s="48">
        <v>769361.87263473251</v>
      </c>
      <c r="G2" s="48">
        <v>1010815.693040224</v>
      </c>
      <c r="H2" s="48">
        <v>1245309.8961211501</v>
      </c>
      <c r="I2" s="48">
        <v>1473141.1108468894</v>
      </c>
      <c r="J2" s="48">
        <v>1694589.3453137057</v>
      </c>
      <c r="K2" s="48">
        <v>1909919.13479971</v>
      </c>
      <c r="L2" s="48">
        <v>2119380.5959568662</v>
      </c>
      <c r="M2" s="48">
        <v>2323210.3959727613</v>
      </c>
      <c r="N2" s="48">
        <v>2528030.7295535938</v>
      </c>
      <c r="O2" s="48">
        <v>3025243.1509060082</v>
      </c>
      <c r="P2" s="48">
        <v>3914439.356290834</v>
      </c>
      <c r="Q2" s="48">
        <v>4710896.3697284199</v>
      </c>
      <c r="R2" s="48">
        <v>5525197.0183615312</v>
      </c>
      <c r="S2" s="48">
        <v>7231647.8086248199</v>
      </c>
      <c r="T2" s="48">
        <v>10062408.411293173</v>
      </c>
      <c r="U2" s="48">
        <v>14189405.105481543</v>
      </c>
      <c r="V2" s="48">
        <v>15797944.519545022</v>
      </c>
      <c r="W2" s="48">
        <v>18242867.069163598</v>
      </c>
      <c r="X2" s="48">
        <v>21644931.750480775</v>
      </c>
      <c r="Y2" s="48">
        <v>25010342.637853604</v>
      </c>
      <c r="Z2" s="48">
        <v>28339782.020597737</v>
      </c>
      <c r="AA2" s="48">
        <v>31633912.565954678</v>
      </c>
      <c r="AB2" s="48">
        <v>34893378.109103166</v>
      </c>
      <c r="AC2" s="48">
        <v>38118804.402366176</v>
      </c>
      <c r="AD2" s="48">
        <v>41310799.82615076</v>
      </c>
      <c r="AE2" s="48">
        <v>44469956.063975215</v>
      </c>
      <c r="AF2" s="48">
        <v>47596848.74377133</v>
      </c>
      <c r="AG2" s="48">
        <v>49556285.501762286</v>
      </c>
      <c r="AH2" s="48">
        <v>51476133.357354373</v>
      </c>
      <c r="AI2" s="48">
        <v>53357103.689151615</v>
      </c>
      <c r="AJ2" s="48">
        <v>55199892.591257662</v>
      </c>
      <c r="AK2" s="48">
        <v>57005181.355855428</v>
      </c>
      <c r="AL2" s="48">
        <v>58773636.933713466</v>
      </c>
      <c r="AM2" s="48">
        <v>60505912.373896964</v>
      </c>
      <c r="AN2" s="48">
        <v>62202647.24387449</v>
      </c>
      <c r="AO2" s="48">
        <v>63864468.031133346</v>
      </c>
      <c r="AP2" s="48">
        <v>65491988.527341507</v>
      </c>
      <c r="AQ2" s="48">
        <v>67085810.196027875</v>
      </c>
      <c r="AR2" s="48">
        <v>68646522.524687812</v>
      </c>
      <c r="AS2" s="48">
        <v>70174703.362163767</v>
      </c>
      <c r="AT2" s="48">
        <v>71670919.242095917</v>
      </c>
      <c r="AU2" s="48">
        <v>73135725.693187952</v>
      </c>
      <c r="AV2" s="48">
        <v>74569667.5369858</v>
      </c>
      <c r="AW2" s="48">
        <v>75973279.173823923</v>
      </c>
      <c r="AX2" s="48">
        <v>77347084.857553944</v>
      </c>
      <c r="AY2" s="48">
        <v>78691598.959631622</v>
      </c>
      <c r="AZ2" s="48">
        <v>80007326.223104283</v>
      </c>
      <c r="BA2" s="48">
        <v>81294762.007007778</v>
      </c>
      <c r="BB2" s="48">
        <v>82554392.521651208</v>
      </c>
      <c r="BC2" s="48">
        <v>83786695.055240288</v>
      </c>
      <c r="BD2" s="48">
        <v>84992138.192262843</v>
      </c>
      <c r="BE2" s="48">
        <v>86171182.024035797</v>
      </c>
      <c r="BF2" s="48">
        <v>87324278.351789445</v>
      </c>
      <c r="BG2" s="48">
        <v>88451870.882644176</v>
      </c>
      <c r="BH2" s="48">
        <v>89554395.41881302</v>
      </c>
      <c r="BI2" s="48">
        <v>90632280.040346593</v>
      </c>
      <c r="BJ2" s="48">
        <v>91685945.281717375</v>
      </c>
      <c r="BK2" s="48">
        <v>92715804.30194822</v>
      </c>
      <c r="BN2" s="88" t="s">
        <v>38</v>
      </c>
      <c r="BO2" s="89" t="s">
        <v>130</v>
      </c>
      <c r="BP2" s="64">
        <f>AG2/1000000</f>
        <v>49.556285501762282</v>
      </c>
      <c r="BQ2" s="64">
        <f>AQ2/1000000</f>
        <v>67.085810196027879</v>
      </c>
      <c r="BR2" s="64">
        <f>BA2/1000000</f>
        <v>81.294762007007776</v>
      </c>
      <c r="BS2" s="64">
        <f>BK2/1000000</f>
        <v>92.715804301948225</v>
      </c>
    </row>
    <row r="3" spans="1:71" x14ac:dyDescent="0.25">
      <c r="A3" s="54" t="s">
        <v>71</v>
      </c>
      <c r="B3" s="54" t="s">
        <v>125</v>
      </c>
      <c r="C3" s="54" t="s">
        <v>121</v>
      </c>
      <c r="D3" s="48">
        <v>778374.70567275002</v>
      </c>
      <c r="E3" s="48">
        <v>1535022.1093097155</v>
      </c>
      <c r="F3" s="48">
        <v>2270889.154513876</v>
      </c>
      <c r="G3" s="48">
        <v>2986866.5307719884</v>
      </c>
      <c r="H3" s="48">
        <v>3683792.8982335599</v>
      </c>
      <c r="I3" s="48">
        <v>4362458.7303994726</v>
      </c>
      <c r="J3" s="48">
        <v>5023609.8149621096</v>
      </c>
      <c r="K3" s="48">
        <v>5667950.4482213622</v>
      </c>
      <c r="L3" s="48">
        <v>6296146.3543270566</v>
      </c>
      <c r="M3" s="48">
        <v>6908827.3569737086</v>
      </c>
      <c r="N3" s="48">
        <v>7515181.8335191449</v>
      </c>
      <c r="O3" s="48">
        <v>8613695.5486764461</v>
      </c>
      <c r="P3" s="48">
        <v>10091710.215177305</v>
      </c>
      <c r="Q3" s="48">
        <v>10296365.485343222</v>
      </c>
      <c r="R3" s="48">
        <v>12914628.496858951</v>
      </c>
      <c r="S3" s="48">
        <v>17405074.823177025</v>
      </c>
      <c r="T3" s="48">
        <v>22085449.70506895</v>
      </c>
      <c r="U3" s="48">
        <v>28231323.549744397</v>
      </c>
      <c r="V3" s="48">
        <v>30621595.045509823</v>
      </c>
      <c r="W3" s="48">
        <v>32341703.830018461</v>
      </c>
      <c r="X3" s="48">
        <v>51727280.825275332</v>
      </c>
      <c r="Y3" s="48">
        <v>70742838.168249413</v>
      </c>
      <c r="Z3" s="48">
        <v>89398913.805538431</v>
      </c>
      <c r="AA3" s="48">
        <v>107705648.41422251</v>
      </c>
      <c r="AB3" s="48">
        <v>125672803.98151574</v>
      </c>
      <c r="AC3" s="48">
        <v>143309781.34978732</v>
      </c>
      <c r="AD3" s="48">
        <v>160625636.79363835</v>
      </c>
      <c r="AE3" s="48">
        <v>177629097.69084603</v>
      </c>
      <c r="AF3" s="48">
        <v>194328577.34451342</v>
      </c>
      <c r="AG3" s="48">
        <v>222208852.97707891</v>
      </c>
      <c r="AH3" s="48">
        <v>238299385.15507683</v>
      </c>
      <c r="AI3" s="48">
        <v>254101706.44889736</v>
      </c>
      <c r="AJ3" s="48">
        <v>269623064.49129468</v>
      </c>
      <c r="AK3" s="48">
        <v>284870464.70725036</v>
      </c>
      <c r="AL3" s="48">
        <v>299850680.54579437</v>
      </c>
      <c r="AM3" s="48">
        <v>314570263.19176239</v>
      </c>
      <c r="AN3" s="48">
        <v>329035550.78817892</v>
      </c>
      <c r="AO3" s="48">
        <v>343252677.19791365</v>
      </c>
      <c r="AP3" s="48">
        <v>357227580.33134544</v>
      </c>
      <c r="AQ3" s="48">
        <v>370966010.06501532</v>
      </c>
      <c r="AR3" s="48">
        <v>384473535.77461541</v>
      </c>
      <c r="AS3" s="48">
        <v>397755553.50414735</v>
      </c>
      <c r="AT3" s="48">
        <v>410817292.79168439</v>
      </c>
      <c r="AU3" s="48">
        <v>423663823.1708644</v>
      </c>
      <c r="AV3" s="48">
        <v>436300060.36603624</v>
      </c>
      <c r="AW3" s="48">
        <v>448730772.19785047</v>
      </c>
      <c r="AX3" s="48">
        <v>460960584.21505004</v>
      </c>
      <c r="AY3" s="48">
        <v>472993985.0672313</v>
      </c>
      <c r="AZ3" s="48">
        <v>484835331.63245362</v>
      </c>
      <c r="BA3" s="48">
        <v>496488853.91271812</v>
      </c>
      <c r="BB3" s="48">
        <v>507958659.70956063</v>
      </c>
      <c r="BC3" s="48">
        <v>519248739.09126461</v>
      </c>
      <c r="BD3" s="48">
        <v>530362968.66251838</v>
      </c>
      <c r="BE3" s="48">
        <v>541305115.64669895</v>
      </c>
      <c r="BF3" s="48">
        <v>552078841.79037046</v>
      </c>
      <c r="BG3" s="48">
        <v>562687707.09902966</v>
      </c>
      <c r="BH3" s="48">
        <v>573135173.41260135</v>
      </c>
      <c r="BI3" s="48">
        <v>583424607.82870936</v>
      </c>
      <c r="BJ3" s="48">
        <v>593559285.98128545</v>
      </c>
      <c r="BK3" s="48">
        <v>603542395.16661298</v>
      </c>
      <c r="BN3" s="90" t="s">
        <v>71</v>
      </c>
      <c r="BO3" s="91" t="s">
        <v>130</v>
      </c>
      <c r="BP3" s="66">
        <f t="shared" ref="BP3:BP5" si="0">AG3/1000000</f>
        <v>222.20885297707892</v>
      </c>
      <c r="BQ3" s="66">
        <f t="shared" ref="BQ3:BQ5" si="1">AQ3/1000000</f>
        <v>370.96601006501533</v>
      </c>
      <c r="BR3" s="66">
        <f t="shared" ref="BR3:BR5" si="2">BA3/1000000</f>
        <v>496.48885391271813</v>
      </c>
      <c r="BS3" s="66">
        <f t="shared" ref="BS3:BS5" si="3">BK3/1000000</f>
        <v>603.54239516661301</v>
      </c>
    </row>
    <row r="4" spans="1:71" x14ac:dyDescent="0.25">
      <c r="A4" s="54" t="s">
        <v>38</v>
      </c>
      <c r="B4" s="54" t="s">
        <v>123</v>
      </c>
      <c r="C4" s="54" t="s">
        <v>121</v>
      </c>
      <c r="D4">
        <v>264298.13384870189</v>
      </c>
      <c r="E4">
        <v>520633.93324715138</v>
      </c>
      <c r="F4">
        <v>769361.87263473251</v>
      </c>
      <c r="G4">
        <v>1010815.693040224</v>
      </c>
      <c r="H4">
        <v>1245309.8961211501</v>
      </c>
      <c r="I4">
        <v>1473141.1108468894</v>
      </c>
      <c r="J4">
        <v>1694589.3453137057</v>
      </c>
      <c r="K4">
        <v>1909919.13479971</v>
      </c>
      <c r="L4">
        <v>2119380.5959568662</v>
      </c>
      <c r="M4">
        <v>2323210.3959727613</v>
      </c>
      <c r="N4">
        <v>2528030.7295535938</v>
      </c>
      <c r="O4">
        <v>3025243.1509060082</v>
      </c>
      <c r="P4">
        <v>3914439.356290834</v>
      </c>
      <c r="Q4">
        <v>4710896.3697284199</v>
      </c>
      <c r="R4">
        <v>5525197.0183615312</v>
      </c>
      <c r="S4">
        <v>7231647.8086248199</v>
      </c>
      <c r="T4">
        <v>10062408.411293173</v>
      </c>
      <c r="U4">
        <v>14189405.105481543</v>
      </c>
      <c r="V4">
        <v>15797944.519545022</v>
      </c>
      <c r="W4">
        <v>18242867.069163598</v>
      </c>
      <c r="X4">
        <v>21644931.750480775</v>
      </c>
      <c r="Y4">
        <v>25010342.637853604</v>
      </c>
      <c r="Z4">
        <v>28339782.020597737</v>
      </c>
      <c r="AA4">
        <v>31633912.565954678</v>
      </c>
      <c r="AB4">
        <v>34893378.109103166</v>
      </c>
      <c r="AC4">
        <v>38118804.402366176</v>
      </c>
      <c r="AD4">
        <v>41310799.82615076</v>
      </c>
      <c r="AE4">
        <v>44469956.063975215</v>
      </c>
      <c r="AF4">
        <v>47596848.74377133</v>
      </c>
      <c r="AG4">
        <v>49511094.406045981</v>
      </c>
      <c r="AH4">
        <v>51371987.575322554</v>
      </c>
      <c r="AI4">
        <v>53180768.981281802</v>
      </c>
      <c r="AJ4">
        <v>54938650.678186543</v>
      </c>
      <c r="AK4">
        <v>56646816.811468519</v>
      </c>
      <c r="AL4">
        <v>58306424.356770068</v>
      </c>
      <c r="AM4">
        <v>59918603.832818002</v>
      </c>
      <c r="AN4">
        <v>61484459.989418238</v>
      </c>
      <c r="AO4">
        <v>63005072.471780166</v>
      </c>
      <c r="AP4">
        <v>64481496.462302886</v>
      </c>
      <c r="AQ4">
        <v>65914763.300887689</v>
      </c>
      <c r="AR4">
        <v>67305881.084774628</v>
      </c>
      <c r="AS4">
        <v>68655835.248842657</v>
      </c>
      <c r="AT4">
        <v>69965589.127255678</v>
      </c>
      <c r="AU4">
        <v>71236084.497286275</v>
      </c>
      <c r="AV4">
        <v>72468242.106099531</v>
      </c>
      <c r="AW4">
        <v>73662962.181234837</v>
      </c>
      <c r="AX4">
        <v>74821124.925482512</v>
      </c>
      <c r="AY4">
        <v>75943590.996811047</v>
      </c>
      <c r="AZ4">
        <v>77031201.973967031</v>
      </c>
      <c r="BA4">
        <v>78084780.808333293</v>
      </c>
      <c r="BB4">
        <v>79105132.26260072</v>
      </c>
      <c r="BC4">
        <v>80093043.33677882</v>
      </c>
      <c r="BD4">
        <v>81049283.682042465</v>
      </c>
      <c r="BE4">
        <v>81974606.002886221</v>
      </c>
      <c r="BF4">
        <v>82869746.448033333</v>
      </c>
      <c r="BG4">
        <v>83735424.99052386</v>
      </c>
      <c r="BH4">
        <v>84572345.797384322</v>
      </c>
      <c r="BI4">
        <v>85381197.589262396</v>
      </c>
      <c r="BJ4">
        <v>86162653.990389749</v>
      </c>
      <c r="BK4">
        <v>86917373.868643135</v>
      </c>
      <c r="BN4" s="88" t="s">
        <v>38</v>
      </c>
      <c r="BO4" s="98" t="s">
        <v>129</v>
      </c>
      <c r="BP4" s="64">
        <f t="shared" si="0"/>
        <v>49.511094406045977</v>
      </c>
      <c r="BQ4" s="64">
        <f t="shared" si="1"/>
        <v>65.914763300887685</v>
      </c>
      <c r="BR4" s="64">
        <f t="shared" si="2"/>
        <v>78.084780808333292</v>
      </c>
      <c r="BS4" s="64">
        <f t="shared" si="3"/>
        <v>86.917373868643139</v>
      </c>
    </row>
    <row r="5" spans="1:71" x14ac:dyDescent="0.25">
      <c r="A5" s="54" t="s">
        <v>71</v>
      </c>
      <c r="B5" s="54" t="s">
        <v>123</v>
      </c>
      <c r="C5" s="54" t="s">
        <v>121</v>
      </c>
      <c r="D5">
        <v>778374.70567275002</v>
      </c>
      <c r="E5">
        <v>1535022.1093097155</v>
      </c>
      <c r="F5">
        <v>2270889.154513876</v>
      </c>
      <c r="G5">
        <v>2986866.5307719884</v>
      </c>
      <c r="H5">
        <v>3683792.8982335599</v>
      </c>
      <c r="I5">
        <v>4362458.7303994726</v>
      </c>
      <c r="J5">
        <v>5023609.8149621096</v>
      </c>
      <c r="K5">
        <v>5667950.4482213622</v>
      </c>
      <c r="L5">
        <v>6296146.3543270566</v>
      </c>
      <c r="M5">
        <v>6908827.3569737086</v>
      </c>
      <c r="N5">
        <v>7515181.8335191449</v>
      </c>
      <c r="O5">
        <v>8613695.5486764461</v>
      </c>
      <c r="P5">
        <v>10091710.215177305</v>
      </c>
      <c r="Q5">
        <v>10296365.485343222</v>
      </c>
      <c r="R5">
        <v>12914628.496858951</v>
      </c>
      <c r="S5">
        <v>17405074.823177025</v>
      </c>
      <c r="T5">
        <v>22085449.70506895</v>
      </c>
      <c r="U5">
        <v>28231323.549744397</v>
      </c>
      <c r="V5">
        <v>30621595.045509823</v>
      </c>
      <c r="W5">
        <v>32341703.830018461</v>
      </c>
      <c r="X5">
        <v>51727280.825275332</v>
      </c>
      <c r="Y5">
        <v>70742838.168249413</v>
      </c>
      <c r="Z5">
        <v>89398913.805538431</v>
      </c>
      <c r="AA5">
        <v>107705648.41422251</v>
      </c>
      <c r="AB5">
        <v>125672803.98151574</v>
      </c>
      <c r="AC5">
        <v>143309781.34978732</v>
      </c>
      <c r="AD5">
        <v>160625636.79363835</v>
      </c>
      <c r="AE5">
        <v>177629097.69084603</v>
      </c>
      <c r="AF5">
        <v>194328577.34451342</v>
      </c>
      <c r="AG5">
        <v>222208852.97707891</v>
      </c>
      <c r="AH5">
        <v>238229247.83970243</v>
      </c>
      <c r="AI5">
        <v>253948711.19172147</v>
      </c>
      <c r="AJ5">
        <v>269374993.10510945</v>
      </c>
      <c r="AK5">
        <v>284515588.62119752</v>
      </c>
      <c r="AL5">
        <v>299377748.25573355</v>
      </c>
      <c r="AM5">
        <v>313968487.97859573</v>
      </c>
      <c r="AN5">
        <v>328294598.69894862</v>
      </c>
      <c r="AO5">
        <v>342362655.28458202</v>
      </c>
      <c r="AP5">
        <v>356179025.14226067</v>
      </c>
      <c r="AQ5">
        <v>369749876.38415611</v>
      </c>
      <c r="AR5">
        <v>383081185.60379922</v>
      </c>
      <c r="AS5">
        <v>396178745.28347266</v>
      </c>
      <c r="AT5">
        <v>409048170.85356551</v>
      </c>
      <c r="AU5">
        <v>421694907.42310184</v>
      </c>
      <c r="AV5">
        <v>434124236.19944823</v>
      </c>
      <c r="AW5">
        <v>446341280.61407495</v>
      </c>
      <c r="AX5">
        <v>458351012.1702047</v>
      </c>
      <c r="AY5">
        <v>470158256.027201</v>
      </c>
      <c r="AZ5">
        <v>481767696.33564961</v>
      </c>
      <c r="BA5">
        <v>493183881.33623165</v>
      </c>
      <c r="BB5">
        <v>504411228.23470807</v>
      </c>
      <c r="BC5">
        <v>515454027.8645944</v>
      </c>
      <c r="BD5">
        <v>526316449.14842296</v>
      </c>
      <c r="BE5">
        <v>537002543.36784625</v>
      </c>
      <c r="BF5">
        <v>547516248.25223875</v>
      </c>
      <c r="BG5">
        <v>557861391.89489806</v>
      </c>
      <c r="BH5">
        <v>568041696.50541675</v>
      </c>
      <c r="BI5">
        <v>578060782.00631607</v>
      </c>
      <c r="BJ5">
        <v>587922169.48156774</v>
      </c>
      <c r="BK5">
        <v>597629284.46916795</v>
      </c>
      <c r="BN5" s="90" t="s">
        <v>71</v>
      </c>
      <c r="BO5" s="94" t="s">
        <v>129</v>
      </c>
      <c r="BP5" s="66">
        <f t="shared" si="0"/>
        <v>222.20885297707892</v>
      </c>
      <c r="BQ5" s="66">
        <f t="shared" si="1"/>
        <v>369.7498763841561</v>
      </c>
      <c r="BR5" s="66">
        <f t="shared" si="2"/>
        <v>493.18388133623165</v>
      </c>
      <c r="BS5" s="66">
        <f t="shared" si="3"/>
        <v>597.62928446916794</v>
      </c>
    </row>
    <row r="6" spans="1:71" x14ac:dyDescent="0.25">
      <c r="A6" s="54" t="s">
        <v>38</v>
      </c>
      <c r="B6" s="54" t="s">
        <v>124</v>
      </c>
      <c r="C6" s="54" t="s">
        <v>121</v>
      </c>
      <c r="D6">
        <v>264298.13384870189</v>
      </c>
      <c r="E6">
        <v>520633.93324715138</v>
      </c>
      <c r="F6">
        <v>769361.87263473251</v>
      </c>
      <c r="G6">
        <v>1010815.693040224</v>
      </c>
      <c r="H6">
        <v>1245309.8961211501</v>
      </c>
      <c r="I6">
        <v>1473141.1108468894</v>
      </c>
      <c r="J6">
        <v>1694589.3453137057</v>
      </c>
      <c r="K6">
        <v>1909919.13479971</v>
      </c>
      <c r="L6">
        <v>2119380.5959568662</v>
      </c>
      <c r="M6">
        <v>2323210.3959727613</v>
      </c>
      <c r="N6">
        <v>2528030.7295535938</v>
      </c>
      <c r="O6">
        <v>3025243.1509060082</v>
      </c>
      <c r="P6">
        <v>3914439.356290834</v>
      </c>
      <c r="Q6">
        <v>4710896.3697284199</v>
      </c>
      <c r="R6">
        <v>5525197.0183615312</v>
      </c>
      <c r="S6">
        <v>7231647.8086248199</v>
      </c>
      <c r="T6">
        <v>10062408.411293173</v>
      </c>
      <c r="U6">
        <v>14189405.105481543</v>
      </c>
      <c r="V6">
        <v>15797944.519545022</v>
      </c>
      <c r="W6">
        <v>18242867.069163598</v>
      </c>
      <c r="X6">
        <v>21644931.750480775</v>
      </c>
      <c r="Y6">
        <v>25010342.637853604</v>
      </c>
      <c r="Z6">
        <v>28339782.020597737</v>
      </c>
      <c r="AA6">
        <v>31633912.565954678</v>
      </c>
      <c r="AB6">
        <v>34893378.109103166</v>
      </c>
      <c r="AC6">
        <v>38118804.402366176</v>
      </c>
      <c r="AD6">
        <v>41310799.82615076</v>
      </c>
      <c r="AE6">
        <v>44469956.063975215</v>
      </c>
      <c r="AF6">
        <v>47596848.74377133</v>
      </c>
      <c r="AG6">
        <v>49603070.105662473</v>
      </c>
      <c r="AH6">
        <v>51584486.576389253</v>
      </c>
      <c r="AI6">
        <v>53541472.727950081</v>
      </c>
      <c r="AJ6">
        <v>55474393.071860045</v>
      </c>
      <c r="AK6">
        <v>57383602.472240299</v>
      </c>
      <c r="AL6">
        <v>59269446.537688687</v>
      </c>
      <c r="AM6">
        <v>61132261.993199393</v>
      </c>
      <c r="AN6">
        <v>62972377.033312932</v>
      </c>
      <c r="AO6">
        <v>64790111.657599464</v>
      </c>
      <c r="AP6">
        <v>66585777.989503719</v>
      </c>
      <c r="AQ6">
        <v>68359680.579513699</v>
      </c>
      <c r="AR6">
        <v>70112116.693550617</v>
      </c>
      <c r="AS6">
        <v>71843376.587420493</v>
      </c>
      <c r="AT6">
        <v>73553743.768113196</v>
      </c>
      <c r="AU6">
        <v>75243495.242684633</v>
      </c>
      <c r="AV6">
        <v>76912901.755411252</v>
      </c>
      <c r="AW6">
        <v>78562228.013862014</v>
      </c>
      <c r="AX6">
        <v>80191732.904494256</v>
      </c>
      <c r="AY6">
        <v>81801669.698340312</v>
      </c>
      <c r="AZ6">
        <v>83392286.24731873</v>
      </c>
      <c r="BA6">
        <v>84963825.171670109</v>
      </c>
      <c r="BB6">
        <v>86516524.038988039</v>
      </c>
      <c r="BC6">
        <v>88050615.535286903</v>
      </c>
      <c r="BD6">
        <v>89566327.628522366</v>
      </c>
      <c r="BE6">
        <v>91063883.724955454</v>
      </c>
      <c r="BF6">
        <v>92543502.818728149</v>
      </c>
      <c r="BG6">
        <v>94005399.634997219</v>
      </c>
      <c r="BH6">
        <v>95449784.766952664</v>
      </c>
      <c r="BI6">
        <v>96876864.807028577</v>
      </c>
      <c r="BJ6">
        <v>98286842.472596154</v>
      </c>
      <c r="BK6">
        <v>99679916.725836277</v>
      </c>
      <c r="BN6" s="92" t="s">
        <v>38</v>
      </c>
      <c r="BO6" s="93" t="s">
        <v>131</v>
      </c>
      <c r="BP6" s="65">
        <f>AG6/1000000</f>
        <v>49.603070105662475</v>
      </c>
      <c r="BQ6" s="65">
        <f>AQ6/1000000</f>
        <v>68.359680579513693</v>
      </c>
      <c r="BR6" s="65">
        <f>BA6/1000000</f>
        <v>84.963825171670109</v>
      </c>
      <c r="BS6" s="65">
        <f>BK6/1000000</f>
        <v>99.679916725836279</v>
      </c>
    </row>
    <row r="7" spans="1:71" x14ac:dyDescent="0.25">
      <c r="A7" s="54" t="s">
        <v>71</v>
      </c>
      <c r="B7" s="54" t="s">
        <v>124</v>
      </c>
      <c r="C7" s="54" t="s">
        <v>121</v>
      </c>
      <c r="D7">
        <v>778374.70567275002</v>
      </c>
      <c r="E7">
        <v>1535022.1093097155</v>
      </c>
      <c r="F7">
        <v>2270889.154513876</v>
      </c>
      <c r="G7">
        <v>2986866.5307719884</v>
      </c>
      <c r="H7">
        <v>3683792.8982335599</v>
      </c>
      <c r="I7">
        <v>4362458.7303994726</v>
      </c>
      <c r="J7">
        <v>5023609.8149621096</v>
      </c>
      <c r="K7">
        <v>5667950.4482213622</v>
      </c>
      <c r="L7">
        <v>6296146.3543270566</v>
      </c>
      <c r="M7">
        <v>6908827.3569737086</v>
      </c>
      <c r="N7">
        <v>7515181.8335191449</v>
      </c>
      <c r="O7">
        <v>8613695.5486764461</v>
      </c>
      <c r="P7">
        <v>10091710.215177305</v>
      </c>
      <c r="Q7">
        <v>10296365.485343222</v>
      </c>
      <c r="R7">
        <v>12914628.496858951</v>
      </c>
      <c r="S7">
        <v>17405074.823177025</v>
      </c>
      <c r="T7">
        <v>22085449.70506895</v>
      </c>
      <c r="U7">
        <v>28231323.549744397</v>
      </c>
      <c r="V7">
        <v>30621595.045509823</v>
      </c>
      <c r="W7">
        <v>32341703.830018461</v>
      </c>
      <c r="X7">
        <v>51727280.825275332</v>
      </c>
      <c r="Y7">
        <v>70742838.168249413</v>
      </c>
      <c r="Z7">
        <v>89398913.805538431</v>
      </c>
      <c r="AA7">
        <v>107705648.41422251</v>
      </c>
      <c r="AB7">
        <v>125672803.98151574</v>
      </c>
      <c r="AC7">
        <v>143309781.34978732</v>
      </c>
      <c r="AD7">
        <v>160625636.79363835</v>
      </c>
      <c r="AE7">
        <v>177629097.69084603</v>
      </c>
      <c r="AF7">
        <v>194328577.34451342</v>
      </c>
      <c r="AG7">
        <v>222208852.97707891</v>
      </c>
      <c r="AH7">
        <v>238370220.3541863</v>
      </c>
      <c r="AI7">
        <v>254256990.89307556</v>
      </c>
      <c r="AJ7">
        <v>269876097.20286536</v>
      </c>
      <c r="AK7">
        <v>285234234.59975314</v>
      </c>
      <c r="AL7">
        <v>300337871.27323407</v>
      </c>
      <c r="AM7">
        <v>315193257.93306476</v>
      </c>
      <c r="AN7">
        <v>329806436.96765178</v>
      </c>
      <c r="AO7">
        <v>344183251.1425035</v>
      </c>
      <c r="AP7">
        <v>358329351.86546957</v>
      </c>
      <c r="AQ7">
        <v>372250207.04374075</v>
      </c>
      <c r="AR7">
        <v>385951108.55594671</v>
      </c>
      <c r="AS7">
        <v>399437179.36117667</v>
      </c>
      <c r="AT7">
        <v>412713380.26534772</v>
      </c>
      <c r="AU7">
        <v>425784516.36403948</v>
      </c>
      <c r="AV7">
        <v>438655243.17970908</v>
      </c>
      <c r="AW7">
        <v>451330072.51006889</v>
      </c>
      <c r="AX7">
        <v>463813378.00337303</v>
      </c>
      <c r="AY7">
        <v>476109400.47537684</v>
      </c>
      <c r="AZ7">
        <v>488222252.98183709</v>
      </c>
      <c r="BA7">
        <v>500155925.65956622</v>
      </c>
      <c r="BB7">
        <v>511914290.34827816</v>
      </c>
      <c r="BC7">
        <v>523501105.00472212</v>
      </c>
      <c r="BD7">
        <v>534920017.91992193</v>
      </c>
      <c r="BE7">
        <v>546174571.74969506</v>
      </c>
      <c r="BF7">
        <v>557268207.36803138</v>
      </c>
      <c r="BG7">
        <v>568204267.55235612</v>
      </c>
      <c r="BH7">
        <v>578986000.50917375</v>
      </c>
      <c r="BI7">
        <v>589616563.24811006</v>
      </c>
      <c r="BJ7">
        <v>600099024.81190538</v>
      </c>
      <c r="BK7">
        <v>610436369.35445356</v>
      </c>
      <c r="BN7" s="90" t="s">
        <v>71</v>
      </c>
      <c r="BO7" s="94" t="s">
        <v>131</v>
      </c>
      <c r="BP7" s="66">
        <f>AG7/1000000</f>
        <v>222.20885297707892</v>
      </c>
      <c r="BQ7" s="66">
        <f>AQ7/1000000</f>
        <v>372.25020704374077</v>
      </c>
      <c r="BR7" s="66">
        <f>BA7/1000000</f>
        <v>500.15592565956621</v>
      </c>
      <c r="BS7" s="66">
        <f>BK7/1000000</f>
        <v>610.43636935445352</v>
      </c>
    </row>
    <row r="8" spans="1:71" x14ac:dyDescent="0.25">
      <c r="A8" s="54"/>
      <c r="BN8" s="96" t="s">
        <v>110</v>
      </c>
    </row>
    <row r="9" spans="1:71" x14ac:dyDescent="0.25">
      <c r="A9" s="54"/>
      <c r="BN9" s="88" t="s">
        <v>38</v>
      </c>
      <c r="BO9" s="98" t="s">
        <v>129</v>
      </c>
      <c r="BP9" s="64">
        <f>BP2-BP4</f>
        <v>4.5191095716305085E-2</v>
      </c>
      <c r="BQ9" s="64">
        <f t="shared" ref="BQ9:BR9" si="4">BQ2-BQ4</f>
        <v>1.1710468951401936</v>
      </c>
      <c r="BR9" s="64">
        <f t="shared" si="4"/>
        <v>3.2099811986744839</v>
      </c>
      <c r="BS9" s="64">
        <f>BS2-BS4</f>
        <v>5.7984304333050858</v>
      </c>
    </row>
    <row r="10" spans="1:71" x14ac:dyDescent="0.25">
      <c r="BN10" s="90" t="s">
        <v>71</v>
      </c>
      <c r="BO10" s="94" t="s">
        <v>129</v>
      </c>
      <c r="BP10" s="66">
        <f>BP3-BP5</f>
        <v>0</v>
      </c>
      <c r="BQ10" s="66">
        <f t="shared" ref="BQ10:BS10" si="5">BQ3-BQ5</f>
        <v>1.2161336808592296</v>
      </c>
      <c r="BR10" s="66">
        <f t="shared" si="5"/>
        <v>3.3049725764864775</v>
      </c>
      <c r="BS10" s="66">
        <f t="shared" si="5"/>
        <v>5.9131106974450631</v>
      </c>
    </row>
    <row r="11" spans="1:71" x14ac:dyDescent="0.25">
      <c r="BN11" s="92" t="s">
        <v>38</v>
      </c>
      <c r="BO11" s="93" t="s">
        <v>131</v>
      </c>
      <c r="BP11" s="65">
        <f t="shared" ref="BP11:BR11" si="6">BP2-BP6</f>
        <v>-4.6784603900192678E-2</v>
      </c>
      <c r="BQ11" s="65">
        <f t="shared" si="6"/>
        <v>-1.2738703834858143</v>
      </c>
      <c r="BR11" s="65">
        <f t="shared" si="6"/>
        <v>-3.6690631646623331</v>
      </c>
      <c r="BS11" s="65">
        <f>BS2-BS6</f>
        <v>-6.9641124238880536</v>
      </c>
    </row>
    <row r="12" spans="1:71" x14ac:dyDescent="0.25">
      <c r="BN12" s="90" t="s">
        <v>71</v>
      </c>
      <c r="BO12" s="94" t="s">
        <v>131</v>
      </c>
      <c r="BP12" s="66">
        <f t="shared" ref="BP12:BR12" si="7">BP3-BP7</f>
        <v>0</v>
      </c>
      <c r="BQ12" s="66">
        <f t="shared" si="7"/>
        <v>-1.284196978725447</v>
      </c>
      <c r="BR12" s="66">
        <f t="shared" si="7"/>
        <v>-3.6670717468480802</v>
      </c>
      <c r="BS12" s="66">
        <f>BS3-BS7</f>
        <v>-6.893974187840513</v>
      </c>
    </row>
    <row r="13" spans="1:71" x14ac:dyDescent="0.25">
      <c r="BN13" s="96" t="s">
        <v>110</v>
      </c>
    </row>
    <row r="14" spans="1:71" s="54" customFormat="1" x14ac:dyDescent="0.25">
      <c r="BN14" s="97" t="s">
        <v>34</v>
      </c>
      <c r="BO14" s="97" t="s">
        <v>126</v>
      </c>
      <c r="BP14" s="97">
        <v>2020</v>
      </c>
      <c r="BQ14" s="97">
        <v>2030</v>
      </c>
      <c r="BR14" s="97">
        <v>2040</v>
      </c>
      <c r="BS14" s="97">
        <v>2050</v>
      </c>
    </row>
    <row r="15" spans="1:71" x14ac:dyDescent="0.25">
      <c r="BN15" s="88" t="s">
        <v>38</v>
      </c>
      <c r="BO15" s="98" t="s">
        <v>129</v>
      </c>
      <c r="BP15" s="64">
        <f>(('Sce 4 Table'!BR$34*BP9*1000)*1000000/'Sce 3 Table'!BR$18)/1000000</f>
        <v>2.6169591933425962</v>
      </c>
      <c r="BQ15" s="64">
        <f>(('Sce 4 Table'!BS$34*BQ9*1000)*1000000/'Sce 3 Table'!BS$18)/1000000</f>
        <v>74.545222609797634</v>
      </c>
      <c r="BR15" s="64">
        <f>(('Sce 4 Table'!BT$34*BR9*1000)*1000000/'Sce 3 Table'!BT$18)/1000000</f>
        <v>216.50723535413545</v>
      </c>
      <c r="BS15" s="64">
        <f>(('Sce 4 Table'!BU$34*BS9*1000)*1000000/'Sce 3 Table'!BU$18)/1000000</f>
        <v>413.07645816958075</v>
      </c>
    </row>
    <row r="16" spans="1:71" x14ac:dyDescent="0.25">
      <c r="BN16" s="90" t="s">
        <v>71</v>
      </c>
      <c r="BO16" s="94" t="s">
        <v>129</v>
      </c>
      <c r="BP16" s="66">
        <f>(('Sce 4 Table'!BR$27*BP10*1000)*1000000/'Sce 3 Table'!BR$7)/1000000</f>
        <v>0</v>
      </c>
      <c r="BQ16" s="66">
        <f>(('Sce 4 Table'!BS$27*BQ10*1000)*1000000/'Sce 3 Table'!BS$7)/1000000</f>
        <v>83.180326752410977</v>
      </c>
      <c r="BR16" s="66">
        <f>(('Sce 4 Table'!BT$27*BR10*1000)*1000000/'Sce 3 Table'!BT$7)/1000000</f>
        <v>242.46129617985306</v>
      </c>
      <c r="BS16" s="66">
        <f>(('Sce 4 Table'!BU$27*BS10*1000)*1000000/'Sce 3 Table'!BU$7)/1000000</f>
        <v>462.48233273422858</v>
      </c>
    </row>
    <row r="17" spans="1:71" x14ac:dyDescent="0.25">
      <c r="BN17" s="92" t="s">
        <v>38</v>
      </c>
      <c r="BO17" s="93" t="s">
        <v>131</v>
      </c>
      <c r="BP17" s="65">
        <f>(('Sce 4 Table'!BR$34*BP11*1000)*1000000/'Sce 3 Table'!BR$18)/1000000</f>
        <v>-2.7092372367357043</v>
      </c>
      <c r="BQ17" s="65">
        <f>(('Sce 4 Table'!BS$34*BQ11*1000)*1000000/'Sce 3 Table'!BS$18)/1000000</f>
        <v>-81.090647784527789</v>
      </c>
      <c r="BR17" s="65">
        <f>(('Sce 4 Table'!BT$34*BR11*1000)*1000000/'Sce 3 Table'!BT$18)/1000000</f>
        <v>-247.47145635892329</v>
      </c>
      <c r="BS17" s="65">
        <f>(('Sce 4 Table'!BU$34*BS11*1000)*1000000/'Sce 3 Table'!BU$18)/1000000</f>
        <v>-496.11889414610704</v>
      </c>
    </row>
    <row r="18" spans="1:71" x14ac:dyDescent="0.25">
      <c r="BN18" s="90" t="s">
        <v>71</v>
      </c>
      <c r="BO18" s="94" t="s">
        <v>131</v>
      </c>
      <c r="BP18" s="66">
        <f>(('Sce 4 Table'!BR$27*BP12*1000)*1000000/'Sce 3 Table'!BR$7)/1000000</f>
        <v>0</v>
      </c>
      <c r="BQ18" s="66">
        <f>(('Sce 4 Table'!BS$27*BQ12*1000)*1000000/'Sce 3 Table'!BS$7)/1000000</f>
        <v>-87.835676279741421</v>
      </c>
      <c r="BR18" s="66">
        <f>(('Sce 4 Table'!BT$27*BR12*1000)*1000000/'Sce 3 Table'!BT$7)/1000000</f>
        <v>-269.02582346705333</v>
      </c>
      <c r="BS18" s="66">
        <f>(('Sce 4 Table'!BU$27*BS12*1000)*1000000/'Sce 3 Table'!BU$7)/1000000</f>
        <v>-539.19864303904501</v>
      </c>
    </row>
    <row r="19" spans="1:71" x14ac:dyDescent="0.25">
      <c r="BN19" s="95" t="s">
        <v>128</v>
      </c>
    </row>
    <row r="28" spans="1:71" x14ac:dyDescent="0.25">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row>
    <row r="29" spans="1:71" x14ac:dyDescent="0.25">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row>
    <row r="30" spans="1:71" x14ac:dyDescent="0.25">
      <c r="A30" s="54"/>
      <c r="BO30"/>
    </row>
    <row r="31" spans="1:71" x14ac:dyDescent="0.25">
      <c r="A31" s="54"/>
      <c r="BO31"/>
    </row>
    <row r="32" spans="1:71" x14ac:dyDescent="0.25">
      <c r="BO32"/>
    </row>
  </sheetData>
  <pageMargins left="0.7" right="0.7" top="0.75" bottom="0.75" header="0.3" footer="0.3"/>
  <pageSetup orientation="portrait" r:id="rId1"/>
  <ignoredErrors>
    <ignoredError sqref="BP16:BS17"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3"/>
  <sheetViews>
    <sheetView workbookViewId="0">
      <selection activeCell="H20" sqref="H20"/>
    </sheetView>
  </sheetViews>
  <sheetFormatPr defaultRowHeight="15" x14ac:dyDescent="0.25"/>
  <sheetData>
    <row r="1" spans="1:61" x14ac:dyDescent="0.25">
      <c r="B1" s="54">
        <v>1991</v>
      </c>
      <c r="C1" s="54">
        <v>1992</v>
      </c>
      <c r="D1" s="54">
        <v>1993</v>
      </c>
      <c r="E1" s="54">
        <v>1994</v>
      </c>
      <c r="F1" s="54">
        <v>1995</v>
      </c>
      <c r="G1" s="54">
        <v>1996</v>
      </c>
      <c r="H1" s="54">
        <v>1997</v>
      </c>
      <c r="I1" s="54">
        <v>1998</v>
      </c>
      <c r="J1" s="54">
        <v>1999</v>
      </c>
      <c r="K1" s="54">
        <v>2000</v>
      </c>
      <c r="L1" s="54">
        <v>2001</v>
      </c>
      <c r="M1" s="54">
        <v>2002</v>
      </c>
      <c r="N1" s="54">
        <v>2003</v>
      </c>
      <c r="O1" s="54">
        <v>2004</v>
      </c>
      <c r="P1" s="54">
        <v>2005</v>
      </c>
      <c r="Q1" s="54">
        <v>2006</v>
      </c>
      <c r="R1" s="54">
        <v>2007</v>
      </c>
      <c r="S1" s="54">
        <v>2008</v>
      </c>
      <c r="T1" s="54">
        <v>2009</v>
      </c>
      <c r="U1" s="54">
        <v>2010</v>
      </c>
      <c r="V1" s="54">
        <v>2011</v>
      </c>
      <c r="W1" s="54">
        <v>2012</v>
      </c>
      <c r="X1" s="54">
        <v>2013</v>
      </c>
      <c r="Y1" s="54">
        <v>2014</v>
      </c>
      <c r="Z1" s="54">
        <v>2015</v>
      </c>
      <c r="AA1" s="54">
        <v>2016</v>
      </c>
      <c r="AB1" s="54">
        <v>2017</v>
      </c>
      <c r="AC1" s="54">
        <v>2018</v>
      </c>
      <c r="AD1" s="54">
        <v>2019</v>
      </c>
      <c r="AE1" s="54">
        <v>2020</v>
      </c>
      <c r="AF1" s="54">
        <v>2021</v>
      </c>
      <c r="AG1" s="54">
        <v>2022</v>
      </c>
      <c r="AH1" s="54">
        <v>2023</v>
      </c>
      <c r="AI1" s="54">
        <v>2024</v>
      </c>
      <c r="AJ1" s="54">
        <v>2025</v>
      </c>
      <c r="AK1" s="54">
        <v>2026</v>
      </c>
      <c r="AL1" s="54">
        <v>2027</v>
      </c>
      <c r="AM1" s="54">
        <v>2028</v>
      </c>
      <c r="AN1" s="54">
        <v>2029</v>
      </c>
      <c r="AO1" s="54">
        <v>2030</v>
      </c>
      <c r="AP1" s="54">
        <v>2031</v>
      </c>
      <c r="AQ1" s="54">
        <v>2032</v>
      </c>
      <c r="AR1" s="54">
        <v>2033</v>
      </c>
      <c r="AS1" s="54">
        <v>2034</v>
      </c>
      <c r="AT1" s="54">
        <v>2035</v>
      </c>
      <c r="AU1" s="54">
        <v>2036</v>
      </c>
      <c r="AV1" s="54">
        <v>2037</v>
      </c>
      <c r="AW1" s="54">
        <v>2038</v>
      </c>
      <c r="AX1" s="54">
        <v>2039</v>
      </c>
      <c r="AY1" s="54">
        <v>2040</v>
      </c>
      <c r="AZ1" s="54">
        <v>2041</v>
      </c>
      <c r="BA1" s="54">
        <v>2042</v>
      </c>
      <c r="BB1" s="54">
        <v>2043</v>
      </c>
      <c r="BC1" s="54">
        <v>2044</v>
      </c>
      <c r="BD1" s="54">
        <v>2045</v>
      </c>
      <c r="BE1" s="54">
        <v>2046</v>
      </c>
      <c r="BF1" s="54">
        <v>2047</v>
      </c>
      <c r="BG1" s="54">
        <v>2048</v>
      </c>
      <c r="BH1" s="54">
        <v>2049</v>
      </c>
      <c r="BI1" s="54">
        <v>2050</v>
      </c>
    </row>
    <row r="2" spans="1:61" x14ac:dyDescent="0.25">
      <c r="A2" s="54" t="s">
        <v>127</v>
      </c>
      <c r="B2" s="55">
        <v>5.1194699999999997</v>
      </c>
      <c r="C2" s="55">
        <v>5.2019500000000001</v>
      </c>
      <c r="D2" s="55">
        <v>5.2831099999999998</v>
      </c>
      <c r="E2" s="55">
        <v>5.3632</v>
      </c>
      <c r="F2" s="55">
        <v>5.4424200000000003</v>
      </c>
      <c r="G2" s="55">
        <v>5.5207499999999996</v>
      </c>
      <c r="H2" s="55">
        <v>5.5981300000000003</v>
      </c>
      <c r="I2" s="55">
        <v>5.67483</v>
      </c>
      <c r="J2" s="55">
        <v>5.7512100000000004</v>
      </c>
      <c r="K2" s="55">
        <v>5.8275300000000003</v>
      </c>
      <c r="L2" s="55">
        <v>5.9039000000000001</v>
      </c>
      <c r="M2" s="55">
        <v>5.9802999999999997</v>
      </c>
      <c r="N2" s="55">
        <v>6.0567299999999999</v>
      </c>
      <c r="O2" s="55">
        <v>6.1331600000000002</v>
      </c>
      <c r="P2" s="55">
        <v>6.2095399999999996</v>
      </c>
      <c r="Q2" s="55">
        <v>6.2858499999999999</v>
      </c>
      <c r="R2" s="55">
        <v>6.36212</v>
      </c>
      <c r="S2" s="55">
        <v>6.4383900000000001</v>
      </c>
      <c r="T2" s="55">
        <v>6.5147000000000004</v>
      </c>
      <c r="U2" s="55">
        <v>6.5910399999999996</v>
      </c>
      <c r="V2" s="55">
        <v>6.6674100000000003</v>
      </c>
      <c r="W2" s="55">
        <v>6.7436800000000003</v>
      </c>
      <c r="X2" s="55">
        <v>6.8196700000000003</v>
      </c>
      <c r="Y2" s="55">
        <v>6.89513</v>
      </c>
      <c r="Z2" s="55">
        <v>6.9698500000000001</v>
      </c>
      <c r="AA2" s="55">
        <v>7.0437500000000002</v>
      </c>
      <c r="AB2" s="55">
        <v>7.1167400000000001</v>
      </c>
      <c r="AC2" s="55">
        <v>7.1886700000000001</v>
      </c>
      <c r="AD2" s="55">
        <v>7.2593699999999997</v>
      </c>
      <c r="AE2" s="55">
        <v>7.3286699999999998</v>
      </c>
      <c r="AF2" s="55">
        <v>7.3965300000000003</v>
      </c>
      <c r="AG2" s="55">
        <v>7.4628899999999998</v>
      </c>
      <c r="AH2" s="55">
        <v>7.5277099999999999</v>
      </c>
      <c r="AI2" s="55">
        <v>7.5910200000000003</v>
      </c>
      <c r="AJ2" s="55">
        <v>7.6528</v>
      </c>
      <c r="AK2" s="55">
        <v>7.7130299999999998</v>
      </c>
      <c r="AL2" s="55">
        <v>7.7717099999999997</v>
      </c>
      <c r="AM2" s="55">
        <v>7.8288799999999998</v>
      </c>
      <c r="AN2" s="55">
        <v>7.8845999999999998</v>
      </c>
      <c r="AO2" s="55">
        <v>7.9389200000000004</v>
      </c>
      <c r="AP2" s="55">
        <v>7.9918399999999998</v>
      </c>
      <c r="AQ2" s="55">
        <v>8.0434000000000001</v>
      </c>
      <c r="AR2" s="55">
        <v>8.0936400000000006</v>
      </c>
      <c r="AS2" s="55">
        <v>8.1426800000000004</v>
      </c>
      <c r="AT2" s="55">
        <v>8.1905699999999992</v>
      </c>
      <c r="AU2" s="55">
        <v>8.2373499999999993</v>
      </c>
      <c r="AV2" s="55">
        <v>8.2829599999999992</v>
      </c>
      <c r="AW2" s="55">
        <v>8.3273700000000002</v>
      </c>
      <c r="AX2" s="55">
        <v>8.3704999999999998</v>
      </c>
      <c r="AY2" s="55">
        <v>8.4122900000000005</v>
      </c>
      <c r="AZ2" s="55">
        <v>8.4526599999999998</v>
      </c>
      <c r="BA2" s="55">
        <v>8.4916199999999993</v>
      </c>
      <c r="BB2" s="55">
        <v>8.5290999999999997</v>
      </c>
      <c r="BC2" s="55">
        <v>8.5650999999999993</v>
      </c>
      <c r="BD2" s="55">
        <v>8.5995799999999996</v>
      </c>
      <c r="BE2" s="55">
        <v>8.63246</v>
      </c>
      <c r="BF2" s="55">
        <v>8.6636600000000001</v>
      </c>
      <c r="BG2" s="55">
        <v>8.6930800000000001</v>
      </c>
      <c r="BH2" s="55">
        <v>8.7205999999999992</v>
      </c>
      <c r="BI2" s="55">
        <v>8.7460500000000003</v>
      </c>
    </row>
    <row r="3" spans="1:61" x14ac:dyDescent="0.2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LUC-2012-08-10-Run1</vt:lpstr>
      <vt:lpstr>LUC-2012-08-10-Run2</vt:lpstr>
      <vt:lpstr>LUC-2012-08-10-Run3</vt:lpstr>
      <vt:lpstr>LUC-2012-08-10-Run4</vt:lpstr>
      <vt:lpstr>Sheet2</vt:lpstr>
      <vt:lpstr>RUN SPECS</vt:lpstr>
      <vt:lpstr>WAO Scenario Ag</vt:lpstr>
      <vt:lpstr>25% by 2050 Ag</vt:lpstr>
      <vt:lpstr>Land Init</vt:lpstr>
      <vt:lpstr>Sce 1 Table</vt:lpstr>
      <vt:lpstr>Sce 2 Table</vt:lpstr>
      <vt:lpstr>Sce 3 Table</vt:lpstr>
      <vt:lpstr>Sce 4 Table</vt:lpstr>
      <vt:lpstr>Cellulosic Sens Anal</vt:lpstr>
      <vt:lpstr>Population</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Peterson</dc:creator>
  <cp:lastModifiedBy>ewarner</cp:lastModifiedBy>
  <dcterms:created xsi:type="dcterms:W3CDTF">2012-08-10T12:58:08Z</dcterms:created>
  <dcterms:modified xsi:type="dcterms:W3CDTF">2013-03-20T22:00:50Z</dcterms:modified>
</cp:coreProperties>
</file>